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codeName="ThisWorkbook" defaultThemeVersion="124226"/>
  <mc:AlternateContent xmlns:mc="http://schemas.openxmlformats.org/markup-compatibility/2006">
    <mc:Choice Requires="x15">
      <x15ac:absPath xmlns:x15ac="http://schemas.microsoft.com/office/spreadsheetml/2010/11/ac" url="/Users/skorpius/My Drive/2024/FO local_EPS ICM/Diario/20250226_CATCHUP/land_CPL/ICoLUPpUA/"/>
    </mc:Choice>
  </mc:AlternateContent>
  <xr:revisionPtr revIDLastSave="0" documentId="13_ncr:1_{0D38DFF2-32E0-9444-8532-A2C7BAD3FA2A}" xr6:coauthVersionLast="47" xr6:coauthVersionMax="47" xr10:uidLastSave="{00000000-0000-0000-0000-000000000000}"/>
  <bookViews>
    <workbookView xWindow="1400" yWindow="-21100" windowWidth="41720" windowHeight="20560" xr2:uid="{00000000-000D-0000-FFFF-FFFF00000000}"/>
  </bookViews>
  <sheets>
    <sheet name="About" sheetId="1" r:id="rId1"/>
    <sheet name="Updated costs 2023" sheetId="21" r:id="rId2"/>
    <sheet name="Cost_DATA" sheetId="22" r:id="rId3"/>
    <sheet name="Deforestation by type" sheetId="23" r:id="rId4"/>
    <sheet name="MXN to USD" sheetId="24" r:id="rId5"/>
    <sheet name="USD 2012" sheetId="25" r:id="rId6"/>
    <sheet name="Calculations" sheetId="26" r:id="rId7"/>
    <sheet name="ICoLUPpUA" sheetId="3" r:id="rId8"/>
  </sheets>
  <definedNames>
    <definedName name="acres_per_hectare">#REF!</definedName>
    <definedName name="acres_per_million_hectares">#REF!</definedName>
    <definedName name="C_to_CO2" localSheetId="2">#REF!</definedName>
    <definedName name="C_to_CO2" localSheetId="1">#REF!</definedName>
    <definedName name="C_to_CO2">44/12</definedName>
    <definedName name="CH4_Ar4_to_AR5">#REF!</definedName>
    <definedName name="CH4_to_CO2e">#REF!</definedName>
    <definedName name="dollars_2009_2012">#REF!</definedName>
    <definedName name="gal_per_barrel">#REF!</definedName>
    <definedName name="grams_per_ton">#REF!</definedName>
    <definedName name="HHV_Adjust">#REF!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to_CO2e">#REF!</definedName>
    <definedName name="unit_con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C28" i="26" l="1"/>
  <c r="C18" i="26"/>
  <c r="B18" i="26"/>
  <c r="B17" i="26"/>
  <c r="B16" i="26"/>
  <c r="B15" i="26"/>
  <c r="L7" i="26"/>
  <c r="C7" i="26"/>
  <c r="L6" i="26"/>
  <c r="C6" i="26"/>
  <c r="L5" i="26"/>
  <c r="C5" i="26"/>
  <c r="L4" i="26"/>
  <c r="C4" i="26"/>
  <c r="C28" i="25"/>
  <c r="C29" i="25" s="1"/>
  <c r="C27" i="25"/>
  <c r="C26" i="25"/>
  <c r="C25" i="25"/>
  <c r="C24" i="25"/>
  <c r="C23" i="25"/>
  <c r="C22" i="25"/>
  <c r="C21" i="25"/>
  <c r="C20" i="25"/>
  <c r="C19" i="25"/>
  <c r="C18" i="25"/>
  <c r="C17" i="25"/>
  <c r="C16" i="25"/>
  <c r="C15" i="25"/>
  <c r="C14" i="25"/>
  <c r="C13" i="25"/>
  <c r="C12" i="25"/>
  <c r="C11" i="25"/>
  <c r="C10" i="25"/>
  <c r="C9" i="25"/>
  <c r="C8" i="25"/>
  <c r="C7" i="25"/>
  <c r="C6" i="25"/>
  <c r="C5" i="25"/>
  <c r="C4" i="25"/>
  <c r="C3" i="25"/>
  <c r="C2" i="25"/>
  <c r="C4564" i="24"/>
  <c r="B4564" i="24"/>
  <c r="B4563" i="24"/>
  <c r="C4563" i="24" s="1"/>
  <c r="B4562" i="24"/>
  <c r="C4562" i="24" s="1"/>
  <c r="B4561" i="24"/>
  <c r="C4561" i="24" s="1"/>
  <c r="C4560" i="24"/>
  <c r="B4560" i="24"/>
  <c r="B4559" i="24"/>
  <c r="C4559" i="24" s="1"/>
  <c r="B4558" i="24"/>
  <c r="C4558" i="24" s="1"/>
  <c r="B4557" i="24"/>
  <c r="C4557" i="24" s="1"/>
  <c r="C4556" i="24"/>
  <c r="B4556" i="24"/>
  <c r="B4555" i="24"/>
  <c r="C4555" i="24" s="1"/>
  <c r="B4554" i="24"/>
  <c r="C4554" i="24" s="1"/>
  <c r="B4553" i="24"/>
  <c r="C4553" i="24" s="1"/>
  <c r="B4552" i="24"/>
  <c r="C4552" i="24" s="1"/>
  <c r="B4551" i="24"/>
  <c r="C4551" i="24" s="1"/>
  <c r="B4550" i="24"/>
  <c r="C4550" i="24" s="1"/>
  <c r="B4549" i="24"/>
  <c r="C4549" i="24" s="1"/>
  <c r="B4548" i="24"/>
  <c r="C4548" i="24" s="1"/>
  <c r="B4547" i="24"/>
  <c r="C4547" i="24" s="1"/>
  <c r="B4546" i="24"/>
  <c r="C4546" i="24" s="1"/>
  <c r="B4545" i="24"/>
  <c r="C4545" i="24" s="1"/>
  <c r="B4544" i="24"/>
  <c r="C4544" i="24" s="1"/>
  <c r="B4543" i="24"/>
  <c r="C4543" i="24" s="1"/>
  <c r="B4542" i="24"/>
  <c r="C4542" i="24" s="1"/>
  <c r="B4541" i="24"/>
  <c r="C4541" i="24" s="1"/>
  <c r="B4540" i="24"/>
  <c r="C4540" i="24" s="1"/>
  <c r="B4539" i="24"/>
  <c r="C4539" i="24" s="1"/>
  <c r="B4538" i="24"/>
  <c r="C4538" i="24" s="1"/>
  <c r="B4537" i="24"/>
  <c r="C4537" i="24" s="1"/>
  <c r="B4536" i="24"/>
  <c r="C4536" i="24" s="1"/>
  <c r="B4535" i="24"/>
  <c r="C4535" i="24" s="1"/>
  <c r="B4534" i="24"/>
  <c r="C4534" i="24" s="1"/>
  <c r="B4533" i="24"/>
  <c r="C4533" i="24" s="1"/>
  <c r="B4532" i="24"/>
  <c r="C4532" i="24" s="1"/>
  <c r="B4531" i="24"/>
  <c r="C4531" i="24" s="1"/>
  <c r="B4530" i="24"/>
  <c r="C4530" i="24" s="1"/>
  <c r="B4529" i="24"/>
  <c r="C4529" i="24" s="1"/>
  <c r="B4528" i="24"/>
  <c r="C4528" i="24" s="1"/>
  <c r="B4527" i="24"/>
  <c r="C4527" i="24" s="1"/>
  <c r="B4526" i="24"/>
  <c r="C4526" i="24" s="1"/>
  <c r="B4525" i="24"/>
  <c r="C4525" i="24" s="1"/>
  <c r="B4524" i="24"/>
  <c r="C4524" i="24" s="1"/>
  <c r="B4523" i="24"/>
  <c r="C4523" i="24" s="1"/>
  <c r="B4522" i="24"/>
  <c r="C4522" i="24" s="1"/>
  <c r="B4521" i="24"/>
  <c r="C4521" i="24" s="1"/>
  <c r="B4520" i="24"/>
  <c r="C4520" i="24" s="1"/>
  <c r="B4519" i="24"/>
  <c r="C4519" i="24" s="1"/>
  <c r="B4518" i="24"/>
  <c r="C4518" i="24" s="1"/>
  <c r="B4517" i="24"/>
  <c r="C4517" i="24" s="1"/>
  <c r="B4516" i="24"/>
  <c r="C4516" i="24" s="1"/>
  <c r="B4515" i="24"/>
  <c r="C4515" i="24" s="1"/>
  <c r="B4514" i="24"/>
  <c r="C4514" i="24" s="1"/>
  <c r="B4513" i="24"/>
  <c r="C4513" i="24" s="1"/>
  <c r="B4512" i="24"/>
  <c r="C4512" i="24" s="1"/>
  <c r="B4511" i="24"/>
  <c r="C4511" i="24" s="1"/>
  <c r="B4510" i="24"/>
  <c r="C4510" i="24" s="1"/>
  <c r="B4509" i="24"/>
  <c r="C4509" i="24" s="1"/>
  <c r="B4508" i="24"/>
  <c r="C4508" i="24" s="1"/>
  <c r="B4507" i="24"/>
  <c r="C4507" i="24" s="1"/>
  <c r="B4506" i="24"/>
  <c r="C4506" i="24" s="1"/>
  <c r="B4505" i="24"/>
  <c r="C4505" i="24" s="1"/>
  <c r="B4504" i="24"/>
  <c r="C4504" i="24" s="1"/>
  <c r="B4503" i="24"/>
  <c r="C4503" i="24" s="1"/>
  <c r="B4502" i="24"/>
  <c r="C4502" i="24" s="1"/>
  <c r="B4501" i="24"/>
  <c r="C4501" i="24" s="1"/>
  <c r="B4500" i="24"/>
  <c r="C4500" i="24" s="1"/>
  <c r="B4499" i="24"/>
  <c r="C4499" i="24" s="1"/>
  <c r="B4498" i="24"/>
  <c r="C4498" i="24" s="1"/>
  <c r="B4497" i="24"/>
  <c r="C4497" i="24" s="1"/>
  <c r="B4496" i="24"/>
  <c r="C4496" i="24" s="1"/>
  <c r="B4495" i="24"/>
  <c r="C4495" i="24" s="1"/>
  <c r="B4494" i="24"/>
  <c r="C4494" i="24" s="1"/>
  <c r="B4493" i="24"/>
  <c r="C4493" i="24" s="1"/>
  <c r="C4492" i="24"/>
  <c r="B4492" i="24"/>
  <c r="B4491" i="24"/>
  <c r="C4491" i="24" s="1"/>
  <c r="B4490" i="24"/>
  <c r="C4490" i="24" s="1"/>
  <c r="B4489" i="24"/>
  <c r="C4489" i="24" s="1"/>
  <c r="C4488" i="24"/>
  <c r="B4488" i="24"/>
  <c r="B4487" i="24"/>
  <c r="C4487" i="24" s="1"/>
  <c r="B4486" i="24"/>
  <c r="C4486" i="24" s="1"/>
  <c r="B4485" i="24"/>
  <c r="C4485" i="24" s="1"/>
  <c r="B4484" i="24"/>
  <c r="C4484" i="24" s="1"/>
  <c r="B4483" i="24"/>
  <c r="C4483" i="24" s="1"/>
  <c r="B4482" i="24"/>
  <c r="C4482" i="24" s="1"/>
  <c r="B4481" i="24"/>
  <c r="C4481" i="24" s="1"/>
  <c r="C4480" i="24"/>
  <c r="B4480" i="24"/>
  <c r="B4479" i="24"/>
  <c r="C4479" i="24" s="1"/>
  <c r="B4478" i="24"/>
  <c r="C4478" i="24" s="1"/>
  <c r="B4477" i="24"/>
  <c r="C4477" i="24" s="1"/>
  <c r="B4476" i="24"/>
  <c r="C4476" i="24" s="1"/>
  <c r="B4475" i="24"/>
  <c r="C4475" i="24" s="1"/>
  <c r="B4474" i="24"/>
  <c r="C4474" i="24" s="1"/>
  <c r="B4473" i="24"/>
  <c r="C4473" i="24" s="1"/>
  <c r="B4472" i="24"/>
  <c r="C4472" i="24" s="1"/>
  <c r="B4471" i="24"/>
  <c r="C4471" i="24" s="1"/>
  <c r="B4470" i="24"/>
  <c r="C4470" i="24" s="1"/>
  <c r="B4469" i="24"/>
  <c r="C4469" i="24" s="1"/>
  <c r="B4468" i="24"/>
  <c r="C4468" i="24" s="1"/>
  <c r="B4467" i="24"/>
  <c r="C4467" i="24" s="1"/>
  <c r="B4466" i="24"/>
  <c r="C4466" i="24" s="1"/>
  <c r="B4465" i="24"/>
  <c r="C4465" i="24" s="1"/>
  <c r="B4464" i="24"/>
  <c r="C4464" i="24" s="1"/>
  <c r="B4463" i="24"/>
  <c r="C4463" i="24" s="1"/>
  <c r="B4462" i="24"/>
  <c r="C4462" i="24" s="1"/>
  <c r="B4461" i="24"/>
  <c r="C4461" i="24" s="1"/>
  <c r="C4460" i="24"/>
  <c r="B4460" i="24"/>
  <c r="B4459" i="24"/>
  <c r="C4459" i="24" s="1"/>
  <c r="B4458" i="24"/>
  <c r="C4458" i="24" s="1"/>
  <c r="B4457" i="24"/>
  <c r="C4457" i="24" s="1"/>
  <c r="C4456" i="24"/>
  <c r="B4456" i="24"/>
  <c r="B4455" i="24"/>
  <c r="C4455" i="24" s="1"/>
  <c r="B4454" i="24"/>
  <c r="C4454" i="24" s="1"/>
  <c r="B4453" i="24"/>
  <c r="C4453" i="24" s="1"/>
  <c r="B4452" i="24"/>
  <c r="C4452" i="24" s="1"/>
  <c r="B4451" i="24"/>
  <c r="C4451" i="24" s="1"/>
  <c r="B4450" i="24"/>
  <c r="C4450" i="24" s="1"/>
  <c r="B4449" i="24"/>
  <c r="C4449" i="24" s="1"/>
  <c r="B4448" i="24"/>
  <c r="C4448" i="24" s="1"/>
  <c r="B4447" i="24"/>
  <c r="C4447" i="24" s="1"/>
  <c r="B4446" i="24"/>
  <c r="C4446" i="24" s="1"/>
  <c r="B4445" i="24"/>
  <c r="C4445" i="24" s="1"/>
  <c r="B4444" i="24"/>
  <c r="C4444" i="24" s="1"/>
  <c r="B4443" i="24"/>
  <c r="C4443" i="24" s="1"/>
  <c r="B4442" i="24"/>
  <c r="C4442" i="24" s="1"/>
  <c r="B4441" i="24"/>
  <c r="C4441" i="24" s="1"/>
  <c r="B4440" i="24"/>
  <c r="C4440" i="24" s="1"/>
  <c r="B4439" i="24"/>
  <c r="C4439" i="24" s="1"/>
  <c r="B4438" i="24"/>
  <c r="C4438" i="24" s="1"/>
  <c r="B4437" i="24"/>
  <c r="C4437" i="24" s="1"/>
  <c r="B4436" i="24"/>
  <c r="C4436" i="24" s="1"/>
  <c r="B4435" i="24"/>
  <c r="C4435" i="24" s="1"/>
  <c r="B4434" i="24"/>
  <c r="C4434" i="24" s="1"/>
  <c r="B4433" i="24"/>
  <c r="C4433" i="24" s="1"/>
  <c r="B4432" i="24"/>
  <c r="C4432" i="24" s="1"/>
  <c r="B4431" i="24"/>
  <c r="C4431" i="24" s="1"/>
  <c r="B4430" i="24"/>
  <c r="C4430" i="24" s="1"/>
  <c r="B4429" i="24"/>
  <c r="C4429" i="24" s="1"/>
  <c r="C4428" i="24"/>
  <c r="B4428" i="24"/>
  <c r="B4427" i="24"/>
  <c r="C4427" i="24" s="1"/>
  <c r="B4426" i="24"/>
  <c r="C4426" i="24" s="1"/>
  <c r="B4425" i="24"/>
  <c r="C4425" i="24" s="1"/>
  <c r="C4424" i="24"/>
  <c r="B4424" i="24"/>
  <c r="B4423" i="24"/>
  <c r="C4423" i="24" s="1"/>
  <c r="B4422" i="24"/>
  <c r="C4422" i="24" s="1"/>
  <c r="B4421" i="24"/>
  <c r="C4421" i="24" s="1"/>
  <c r="B4420" i="24"/>
  <c r="C4420" i="24" s="1"/>
  <c r="B4419" i="24"/>
  <c r="C4419" i="24" s="1"/>
  <c r="B4418" i="24"/>
  <c r="C4418" i="24" s="1"/>
  <c r="B4417" i="24"/>
  <c r="C4417" i="24" s="1"/>
  <c r="B4416" i="24"/>
  <c r="C4416" i="24" s="1"/>
  <c r="B4415" i="24"/>
  <c r="C4415" i="24" s="1"/>
  <c r="B4414" i="24"/>
  <c r="C4414" i="24" s="1"/>
  <c r="B4413" i="24"/>
  <c r="C4413" i="24" s="1"/>
  <c r="B4412" i="24"/>
  <c r="C4412" i="24" s="1"/>
  <c r="B4411" i="24"/>
  <c r="C4411" i="24" s="1"/>
  <c r="B4410" i="24"/>
  <c r="C4410" i="24" s="1"/>
  <c r="B4409" i="24"/>
  <c r="C4409" i="24" s="1"/>
  <c r="B4408" i="24"/>
  <c r="C4408" i="24" s="1"/>
  <c r="B4407" i="24"/>
  <c r="C4407" i="24" s="1"/>
  <c r="B4406" i="24"/>
  <c r="C4406" i="24" s="1"/>
  <c r="B4405" i="24"/>
  <c r="C4405" i="24" s="1"/>
  <c r="B4404" i="24"/>
  <c r="C4404" i="24" s="1"/>
  <c r="B4403" i="24"/>
  <c r="C4403" i="24" s="1"/>
  <c r="B4402" i="24"/>
  <c r="C4402" i="24" s="1"/>
  <c r="B4401" i="24"/>
  <c r="C4401" i="24" s="1"/>
  <c r="B4400" i="24"/>
  <c r="C4400" i="24" s="1"/>
  <c r="B4399" i="24"/>
  <c r="C4399" i="24" s="1"/>
  <c r="B4398" i="24"/>
  <c r="C4398" i="24" s="1"/>
  <c r="B4397" i="24"/>
  <c r="C4397" i="24" s="1"/>
  <c r="C4396" i="24"/>
  <c r="B4396" i="24"/>
  <c r="B4395" i="24"/>
  <c r="C4395" i="24" s="1"/>
  <c r="B4394" i="24"/>
  <c r="C4394" i="24" s="1"/>
  <c r="B4393" i="24"/>
  <c r="C4393" i="24" s="1"/>
  <c r="C4392" i="24"/>
  <c r="B4392" i="24"/>
  <c r="B4391" i="24"/>
  <c r="C4391" i="24" s="1"/>
  <c r="B4390" i="24"/>
  <c r="C4390" i="24" s="1"/>
  <c r="B4389" i="24"/>
  <c r="C4389" i="24" s="1"/>
  <c r="B4388" i="24"/>
  <c r="C4388" i="24" s="1"/>
  <c r="B4387" i="24"/>
  <c r="C4387" i="24" s="1"/>
  <c r="B4386" i="24"/>
  <c r="C4386" i="24" s="1"/>
  <c r="B4385" i="24"/>
  <c r="C4385" i="24" s="1"/>
  <c r="B4384" i="24"/>
  <c r="C4384" i="24" s="1"/>
  <c r="B4383" i="24"/>
  <c r="C4383" i="24" s="1"/>
  <c r="B4382" i="24"/>
  <c r="C4382" i="24" s="1"/>
  <c r="B4381" i="24"/>
  <c r="C4381" i="24" s="1"/>
  <c r="B4380" i="24"/>
  <c r="C4380" i="24" s="1"/>
  <c r="B4379" i="24"/>
  <c r="C4379" i="24" s="1"/>
  <c r="B4378" i="24"/>
  <c r="C4378" i="24" s="1"/>
  <c r="B4377" i="24"/>
  <c r="C4377" i="24" s="1"/>
  <c r="B4376" i="24"/>
  <c r="C4376" i="24" s="1"/>
  <c r="B4375" i="24"/>
  <c r="C4375" i="24" s="1"/>
  <c r="B4374" i="24"/>
  <c r="C4374" i="24" s="1"/>
  <c r="B4373" i="24"/>
  <c r="C4373" i="24" s="1"/>
  <c r="B4372" i="24"/>
  <c r="C4372" i="24" s="1"/>
  <c r="B4371" i="24"/>
  <c r="C4371" i="24" s="1"/>
  <c r="B4370" i="24"/>
  <c r="C4370" i="24" s="1"/>
  <c r="B4369" i="24"/>
  <c r="C4369" i="24" s="1"/>
  <c r="B4368" i="24"/>
  <c r="C4368" i="24" s="1"/>
  <c r="B4367" i="24"/>
  <c r="C4367" i="24" s="1"/>
  <c r="B4366" i="24"/>
  <c r="C4366" i="24" s="1"/>
  <c r="B4365" i="24"/>
  <c r="C4365" i="24" s="1"/>
  <c r="C4364" i="24"/>
  <c r="B4364" i="24"/>
  <c r="B4363" i="24"/>
  <c r="C4363" i="24" s="1"/>
  <c r="B4362" i="24"/>
  <c r="C4362" i="24" s="1"/>
  <c r="B4361" i="24"/>
  <c r="C4361" i="24" s="1"/>
  <c r="C4360" i="24"/>
  <c r="B4360" i="24"/>
  <c r="B4359" i="24"/>
  <c r="C4359" i="24" s="1"/>
  <c r="B4358" i="24"/>
  <c r="C4358" i="24" s="1"/>
  <c r="B4357" i="24"/>
  <c r="C4357" i="24" s="1"/>
  <c r="B4356" i="24"/>
  <c r="C4356" i="24" s="1"/>
  <c r="B4355" i="24"/>
  <c r="C4355" i="24" s="1"/>
  <c r="B4354" i="24"/>
  <c r="C4354" i="24" s="1"/>
  <c r="B4353" i="24"/>
  <c r="C4353" i="24" s="1"/>
  <c r="B4352" i="24"/>
  <c r="C4352" i="24" s="1"/>
  <c r="B4351" i="24"/>
  <c r="C4351" i="24" s="1"/>
  <c r="B4350" i="24"/>
  <c r="C4350" i="24" s="1"/>
  <c r="B4349" i="24"/>
  <c r="C4349" i="24" s="1"/>
  <c r="B4348" i="24"/>
  <c r="C4348" i="24" s="1"/>
  <c r="B4347" i="24"/>
  <c r="C4347" i="24" s="1"/>
  <c r="B4346" i="24"/>
  <c r="C4346" i="24" s="1"/>
  <c r="B4345" i="24"/>
  <c r="C4345" i="24" s="1"/>
  <c r="B4344" i="24"/>
  <c r="C4344" i="24" s="1"/>
  <c r="B4343" i="24"/>
  <c r="C4343" i="24" s="1"/>
  <c r="B4342" i="24"/>
  <c r="C4342" i="24" s="1"/>
  <c r="B4341" i="24"/>
  <c r="C4341" i="24" s="1"/>
  <c r="B4340" i="24"/>
  <c r="C4340" i="24" s="1"/>
  <c r="B4339" i="24"/>
  <c r="C4339" i="24" s="1"/>
  <c r="B4338" i="24"/>
  <c r="C4338" i="24" s="1"/>
  <c r="B4337" i="24"/>
  <c r="C4337" i="24" s="1"/>
  <c r="B4336" i="24"/>
  <c r="C4336" i="24" s="1"/>
  <c r="B4335" i="24"/>
  <c r="C4335" i="24" s="1"/>
  <c r="B4334" i="24"/>
  <c r="C4334" i="24" s="1"/>
  <c r="B4333" i="24"/>
  <c r="C4333" i="24" s="1"/>
  <c r="C4332" i="24"/>
  <c r="B4332" i="24"/>
  <c r="B4331" i="24"/>
  <c r="C4331" i="24" s="1"/>
  <c r="B4330" i="24"/>
  <c r="C4330" i="24" s="1"/>
  <c r="B4329" i="24"/>
  <c r="C4329" i="24" s="1"/>
  <c r="C4328" i="24"/>
  <c r="B4328" i="24"/>
  <c r="B4327" i="24"/>
  <c r="C4327" i="24" s="1"/>
  <c r="B4326" i="24"/>
  <c r="C4326" i="24" s="1"/>
  <c r="B4325" i="24"/>
  <c r="C4325" i="24" s="1"/>
  <c r="B4324" i="24"/>
  <c r="C4324" i="24" s="1"/>
  <c r="B4323" i="24"/>
  <c r="C4323" i="24" s="1"/>
  <c r="B4322" i="24"/>
  <c r="C4322" i="24" s="1"/>
  <c r="B4321" i="24"/>
  <c r="C4321" i="24" s="1"/>
  <c r="B4320" i="24"/>
  <c r="C4320" i="24" s="1"/>
  <c r="B4319" i="24"/>
  <c r="C4319" i="24" s="1"/>
  <c r="B4318" i="24"/>
  <c r="C4318" i="24" s="1"/>
  <c r="B4317" i="24"/>
  <c r="C4317" i="24" s="1"/>
  <c r="B4316" i="24"/>
  <c r="C4316" i="24" s="1"/>
  <c r="B4315" i="24"/>
  <c r="C4315" i="24" s="1"/>
  <c r="B4314" i="24"/>
  <c r="C4314" i="24" s="1"/>
  <c r="B4313" i="24"/>
  <c r="C4313" i="24" s="1"/>
  <c r="B4312" i="24"/>
  <c r="C4312" i="24" s="1"/>
  <c r="B4311" i="24"/>
  <c r="C4311" i="24" s="1"/>
  <c r="B4310" i="24"/>
  <c r="C4310" i="24" s="1"/>
  <c r="B4309" i="24"/>
  <c r="C4309" i="24" s="1"/>
  <c r="B4308" i="24"/>
  <c r="C4308" i="24" s="1"/>
  <c r="B4307" i="24"/>
  <c r="C4307" i="24" s="1"/>
  <c r="B4306" i="24"/>
  <c r="C4306" i="24" s="1"/>
  <c r="B4305" i="24"/>
  <c r="C4305" i="24" s="1"/>
  <c r="B4304" i="24"/>
  <c r="C4304" i="24" s="1"/>
  <c r="B4303" i="24"/>
  <c r="C4303" i="24" s="1"/>
  <c r="B4302" i="24"/>
  <c r="C4302" i="24" s="1"/>
  <c r="B4301" i="24"/>
  <c r="C4301" i="24" s="1"/>
  <c r="C4300" i="24"/>
  <c r="B4300" i="24"/>
  <c r="B4299" i="24"/>
  <c r="C4299" i="24" s="1"/>
  <c r="B4298" i="24"/>
  <c r="C4298" i="24" s="1"/>
  <c r="B4297" i="24"/>
  <c r="C4297" i="24" s="1"/>
  <c r="C4296" i="24"/>
  <c r="B4296" i="24"/>
  <c r="B4295" i="24"/>
  <c r="C4295" i="24" s="1"/>
  <c r="B4294" i="24"/>
  <c r="C4294" i="24" s="1"/>
  <c r="B4293" i="24"/>
  <c r="C4293" i="24" s="1"/>
  <c r="B4292" i="24"/>
  <c r="C4292" i="24" s="1"/>
  <c r="B4291" i="24"/>
  <c r="C4291" i="24" s="1"/>
  <c r="B4290" i="24"/>
  <c r="C4290" i="24" s="1"/>
  <c r="B4289" i="24"/>
  <c r="C4289" i="24" s="1"/>
  <c r="B4288" i="24"/>
  <c r="C4288" i="24" s="1"/>
  <c r="B4287" i="24"/>
  <c r="C4287" i="24" s="1"/>
  <c r="B4286" i="24"/>
  <c r="C4286" i="24" s="1"/>
  <c r="B4285" i="24"/>
  <c r="C4285" i="24" s="1"/>
  <c r="B4284" i="24"/>
  <c r="C4284" i="24" s="1"/>
  <c r="B4283" i="24"/>
  <c r="C4283" i="24" s="1"/>
  <c r="B4282" i="24"/>
  <c r="C4282" i="24" s="1"/>
  <c r="B4281" i="24"/>
  <c r="C4281" i="24" s="1"/>
  <c r="B4280" i="24"/>
  <c r="C4280" i="24" s="1"/>
  <c r="B4279" i="24"/>
  <c r="C4279" i="24" s="1"/>
  <c r="B4278" i="24"/>
  <c r="C4278" i="24" s="1"/>
  <c r="B4277" i="24"/>
  <c r="C4277" i="24" s="1"/>
  <c r="B4276" i="24"/>
  <c r="C4276" i="24" s="1"/>
  <c r="B4275" i="24"/>
  <c r="C4275" i="24" s="1"/>
  <c r="B4274" i="24"/>
  <c r="C4274" i="24" s="1"/>
  <c r="B4273" i="24"/>
  <c r="C4273" i="24" s="1"/>
  <c r="B4272" i="24"/>
  <c r="C4272" i="24" s="1"/>
  <c r="B4271" i="24"/>
  <c r="C4271" i="24" s="1"/>
  <c r="B4270" i="24"/>
  <c r="C4270" i="24" s="1"/>
  <c r="B4269" i="24"/>
  <c r="C4269" i="24" s="1"/>
  <c r="C4268" i="24"/>
  <c r="B4268" i="24"/>
  <c r="B4267" i="24"/>
  <c r="C4267" i="24" s="1"/>
  <c r="B4266" i="24"/>
  <c r="C4266" i="24" s="1"/>
  <c r="C4265" i="24"/>
  <c r="B4265" i="24"/>
  <c r="B4264" i="24"/>
  <c r="C4264" i="24" s="1"/>
  <c r="B4263" i="24"/>
  <c r="C4263" i="24" s="1"/>
  <c r="C4262" i="24"/>
  <c r="B4262" i="24"/>
  <c r="B4261" i="24"/>
  <c r="C4261" i="24" s="1"/>
  <c r="B4260" i="24"/>
  <c r="C4260" i="24" s="1"/>
  <c r="B4259" i="24"/>
  <c r="C4259" i="24" s="1"/>
  <c r="B4258" i="24"/>
  <c r="C4258" i="24" s="1"/>
  <c r="B4257" i="24"/>
  <c r="C4257" i="24" s="1"/>
  <c r="C4256" i="24"/>
  <c r="B4256" i="24"/>
  <c r="B4255" i="24"/>
  <c r="C4255" i="24" s="1"/>
  <c r="B4254" i="24"/>
  <c r="C4254" i="24" s="1"/>
  <c r="B4253" i="24"/>
  <c r="C4253" i="24" s="1"/>
  <c r="C4252" i="24"/>
  <c r="B4252" i="24"/>
  <c r="B4251" i="24"/>
  <c r="C4251" i="24" s="1"/>
  <c r="B4250" i="24"/>
  <c r="C4250" i="24" s="1"/>
  <c r="B4249" i="24"/>
  <c r="C4249" i="24" s="1"/>
  <c r="C4248" i="24"/>
  <c r="B4248" i="24"/>
  <c r="B4247" i="24"/>
  <c r="C4247" i="24" s="1"/>
  <c r="B4246" i="24"/>
  <c r="C4246" i="24" s="1"/>
  <c r="B4245" i="24"/>
  <c r="C4245" i="24" s="1"/>
  <c r="C4244" i="24"/>
  <c r="B4244" i="24"/>
  <c r="B4243" i="24"/>
  <c r="C4243" i="24" s="1"/>
  <c r="B4242" i="24"/>
  <c r="C4242" i="24" s="1"/>
  <c r="B4241" i="24"/>
  <c r="C4241" i="24" s="1"/>
  <c r="C4240" i="24"/>
  <c r="B4240" i="24"/>
  <c r="B4239" i="24"/>
  <c r="C4239" i="24" s="1"/>
  <c r="B4238" i="24"/>
  <c r="C4238" i="24" s="1"/>
  <c r="B4237" i="24"/>
  <c r="C4237" i="24" s="1"/>
  <c r="C4236" i="24"/>
  <c r="B4236" i="24"/>
  <c r="B4235" i="24"/>
  <c r="C4235" i="24" s="1"/>
  <c r="B4234" i="24"/>
  <c r="C4234" i="24" s="1"/>
  <c r="B4233" i="24"/>
  <c r="C4233" i="24" s="1"/>
  <c r="C4232" i="24"/>
  <c r="B4232" i="24"/>
  <c r="B4231" i="24"/>
  <c r="C4231" i="24" s="1"/>
  <c r="B4230" i="24"/>
  <c r="C4230" i="24" s="1"/>
  <c r="B4229" i="24"/>
  <c r="C4229" i="24" s="1"/>
  <c r="C4228" i="24"/>
  <c r="B4228" i="24"/>
  <c r="B4227" i="24"/>
  <c r="C4227" i="24" s="1"/>
  <c r="B4226" i="24"/>
  <c r="C4226" i="24" s="1"/>
  <c r="B4225" i="24"/>
  <c r="C4225" i="24" s="1"/>
  <c r="C4224" i="24"/>
  <c r="B4224" i="24"/>
  <c r="B4223" i="24"/>
  <c r="C4223" i="24" s="1"/>
  <c r="B4222" i="24"/>
  <c r="C4222" i="24" s="1"/>
  <c r="B4221" i="24"/>
  <c r="C4221" i="24" s="1"/>
  <c r="B4220" i="24"/>
  <c r="C4220" i="24" s="1"/>
  <c r="B4219" i="24"/>
  <c r="C4219" i="24" s="1"/>
  <c r="B4218" i="24"/>
  <c r="C4218" i="24" s="1"/>
  <c r="B4217" i="24"/>
  <c r="C4217" i="24" s="1"/>
  <c r="B4216" i="24"/>
  <c r="C4216" i="24" s="1"/>
  <c r="B4215" i="24"/>
  <c r="C4215" i="24" s="1"/>
  <c r="B4214" i="24"/>
  <c r="C4214" i="24" s="1"/>
  <c r="B4213" i="24"/>
  <c r="C4213" i="24" s="1"/>
  <c r="B4212" i="24"/>
  <c r="C4212" i="24" s="1"/>
  <c r="B4211" i="24"/>
  <c r="C4211" i="24" s="1"/>
  <c r="B4210" i="24"/>
  <c r="C4210" i="24" s="1"/>
  <c r="B4209" i="24"/>
  <c r="C4209" i="24" s="1"/>
  <c r="C4208" i="24"/>
  <c r="B4208" i="24"/>
  <c r="B4207" i="24"/>
  <c r="C4207" i="24" s="1"/>
  <c r="B4206" i="24"/>
  <c r="C4206" i="24" s="1"/>
  <c r="B4205" i="24"/>
  <c r="C4205" i="24" s="1"/>
  <c r="B4204" i="24"/>
  <c r="C4204" i="24" s="1"/>
  <c r="B4203" i="24"/>
  <c r="C4203" i="24" s="1"/>
  <c r="B4202" i="24"/>
  <c r="C4202" i="24" s="1"/>
  <c r="B4201" i="24"/>
  <c r="C4201" i="24" s="1"/>
  <c r="B4200" i="24"/>
  <c r="C4200" i="24" s="1"/>
  <c r="B4199" i="24"/>
  <c r="C4199" i="24" s="1"/>
  <c r="B4198" i="24"/>
  <c r="C4198" i="24" s="1"/>
  <c r="B4197" i="24"/>
  <c r="C4197" i="24" s="1"/>
  <c r="C4196" i="24"/>
  <c r="B4196" i="24"/>
  <c r="B4195" i="24"/>
  <c r="C4195" i="24" s="1"/>
  <c r="B4194" i="24"/>
  <c r="C4194" i="24" s="1"/>
  <c r="B4193" i="24"/>
  <c r="C4193" i="24" s="1"/>
  <c r="C4192" i="24"/>
  <c r="B4192" i="24"/>
  <c r="B4191" i="24"/>
  <c r="C4191" i="24" s="1"/>
  <c r="B4190" i="24"/>
  <c r="C4190" i="24" s="1"/>
  <c r="B4189" i="24"/>
  <c r="C4189" i="24" s="1"/>
  <c r="B4188" i="24"/>
  <c r="C4188" i="24" s="1"/>
  <c r="B4187" i="24"/>
  <c r="C4187" i="24" s="1"/>
  <c r="B4186" i="24"/>
  <c r="C4186" i="24" s="1"/>
  <c r="B4185" i="24"/>
  <c r="C4185" i="24" s="1"/>
  <c r="B4184" i="24"/>
  <c r="C4184" i="24" s="1"/>
  <c r="B4183" i="24"/>
  <c r="C4183" i="24" s="1"/>
  <c r="B4182" i="24"/>
  <c r="C4182" i="24" s="1"/>
  <c r="C4181" i="24"/>
  <c r="B4181" i="24"/>
  <c r="B4180" i="24"/>
  <c r="C4180" i="24" s="1"/>
  <c r="B4179" i="24"/>
  <c r="C4179" i="24" s="1"/>
  <c r="B4178" i="24"/>
  <c r="C4178" i="24" s="1"/>
  <c r="B4177" i="24"/>
  <c r="C4177" i="24" s="1"/>
  <c r="C4176" i="24"/>
  <c r="B4176" i="24"/>
  <c r="B4175" i="24"/>
  <c r="C4175" i="24" s="1"/>
  <c r="B4174" i="24"/>
  <c r="C4174" i="24" s="1"/>
  <c r="B4173" i="24"/>
  <c r="C4173" i="24" s="1"/>
  <c r="B4172" i="24"/>
  <c r="C4172" i="24" s="1"/>
  <c r="B4171" i="24"/>
  <c r="C4171" i="24" s="1"/>
  <c r="B4170" i="24"/>
  <c r="C4170" i="24" s="1"/>
  <c r="B4169" i="24"/>
  <c r="C4169" i="24" s="1"/>
  <c r="B4168" i="24"/>
  <c r="C4168" i="24" s="1"/>
  <c r="B4167" i="24"/>
  <c r="C4167" i="24" s="1"/>
  <c r="B4166" i="24"/>
  <c r="C4166" i="24" s="1"/>
  <c r="C4165" i="24"/>
  <c r="B4165" i="24"/>
  <c r="B4164" i="24"/>
  <c r="C4164" i="24" s="1"/>
  <c r="B4163" i="24"/>
  <c r="C4163" i="24" s="1"/>
  <c r="B4162" i="24"/>
  <c r="C4162" i="24" s="1"/>
  <c r="B4161" i="24"/>
  <c r="C4161" i="24" s="1"/>
  <c r="C4160" i="24"/>
  <c r="B4160" i="24"/>
  <c r="B4159" i="24"/>
  <c r="C4159" i="24" s="1"/>
  <c r="B4158" i="24"/>
  <c r="C4158" i="24" s="1"/>
  <c r="B4157" i="24"/>
  <c r="C4157" i="24" s="1"/>
  <c r="B4156" i="24"/>
  <c r="C4156" i="24" s="1"/>
  <c r="B4155" i="24"/>
  <c r="C4155" i="24" s="1"/>
  <c r="B4154" i="24"/>
  <c r="C4154" i="24" s="1"/>
  <c r="B4153" i="24"/>
  <c r="C4153" i="24" s="1"/>
  <c r="B4152" i="24"/>
  <c r="C4152" i="24" s="1"/>
  <c r="B4151" i="24"/>
  <c r="C4151" i="24" s="1"/>
  <c r="B4150" i="24"/>
  <c r="C4150" i="24" s="1"/>
  <c r="C4149" i="24"/>
  <c r="B4149" i="24"/>
  <c r="B4148" i="24"/>
  <c r="C4148" i="24" s="1"/>
  <c r="B4147" i="24"/>
  <c r="C4147" i="24" s="1"/>
  <c r="B4146" i="24"/>
  <c r="C4146" i="24" s="1"/>
  <c r="B4145" i="24"/>
  <c r="C4145" i="24" s="1"/>
  <c r="C4144" i="24"/>
  <c r="B4144" i="24"/>
  <c r="B4143" i="24"/>
  <c r="C4143" i="24" s="1"/>
  <c r="B4142" i="24"/>
  <c r="C4142" i="24" s="1"/>
  <c r="B4141" i="24"/>
  <c r="C4141" i="24" s="1"/>
  <c r="B4140" i="24"/>
  <c r="C4140" i="24" s="1"/>
  <c r="B4139" i="24"/>
  <c r="C4139" i="24" s="1"/>
  <c r="B4138" i="24"/>
  <c r="C4138" i="24" s="1"/>
  <c r="B4137" i="24"/>
  <c r="C4137" i="24" s="1"/>
  <c r="B4136" i="24"/>
  <c r="C4136" i="24" s="1"/>
  <c r="B4135" i="24"/>
  <c r="C4135" i="24" s="1"/>
  <c r="B4134" i="24"/>
  <c r="C4134" i="24" s="1"/>
  <c r="C4133" i="24"/>
  <c r="B4133" i="24"/>
  <c r="B4132" i="24"/>
  <c r="C4132" i="24" s="1"/>
  <c r="B4131" i="24"/>
  <c r="C4131" i="24" s="1"/>
  <c r="B4130" i="24"/>
  <c r="C4130" i="24" s="1"/>
  <c r="B4129" i="24"/>
  <c r="C4129" i="24" s="1"/>
  <c r="C4128" i="24"/>
  <c r="B4128" i="24"/>
  <c r="B4127" i="24"/>
  <c r="C4127" i="24" s="1"/>
  <c r="B4126" i="24"/>
  <c r="C4126" i="24" s="1"/>
  <c r="B4125" i="24"/>
  <c r="C4125" i="24" s="1"/>
  <c r="B4124" i="24"/>
  <c r="C4124" i="24" s="1"/>
  <c r="B4123" i="24"/>
  <c r="C4123" i="24" s="1"/>
  <c r="B4122" i="24"/>
  <c r="C4122" i="24" s="1"/>
  <c r="B4121" i="24"/>
  <c r="C4121" i="24" s="1"/>
  <c r="B4120" i="24"/>
  <c r="C4120" i="24" s="1"/>
  <c r="B4119" i="24"/>
  <c r="C4119" i="24" s="1"/>
  <c r="B4118" i="24"/>
  <c r="C4118" i="24" s="1"/>
  <c r="C4117" i="24"/>
  <c r="B4117" i="24"/>
  <c r="B4116" i="24"/>
  <c r="C4116" i="24" s="1"/>
  <c r="B4115" i="24"/>
  <c r="C4115" i="24" s="1"/>
  <c r="B4114" i="24"/>
  <c r="C4114" i="24" s="1"/>
  <c r="B4113" i="24"/>
  <c r="C4113" i="24" s="1"/>
  <c r="B4112" i="24"/>
  <c r="C4112" i="24" s="1"/>
  <c r="B4111" i="24"/>
  <c r="C4111" i="24" s="1"/>
  <c r="B4110" i="24"/>
  <c r="C4110" i="24" s="1"/>
  <c r="B4109" i="24"/>
  <c r="C4109" i="24" s="1"/>
  <c r="B4108" i="24"/>
  <c r="C4108" i="24" s="1"/>
  <c r="B4107" i="24"/>
  <c r="C4107" i="24" s="1"/>
  <c r="B4106" i="24"/>
  <c r="C4106" i="24" s="1"/>
  <c r="B4105" i="24"/>
  <c r="C4105" i="24" s="1"/>
  <c r="B4104" i="24"/>
  <c r="C4104" i="24" s="1"/>
  <c r="B4103" i="24"/>
  <c r="C4103" i="24" s="1"/>
  <c r="B4102" i="24"/>
  <c r="C4102" i="24" s="1"/>
  <c r="B4101" i="24"/>
  <c r="C4101" i="24" s="1"/>
  <c r="B4100" i="24"/>
  <c r="C4100" i="24" s="1"/>
  <c r="B4099" i="24"/>
  <c r="C4099" i="24" s="1"/>
  <c r="B4098" i="24"/>
  <c r="C4098" i="24" s="1"/>
  <c r="B4097" i="24"/>
  <c r="C4097" i="24" s="1"/>
  <c r="B4096" i="24"/>
  <c r="C4096" i="24" s="1"/>
  <c r="B4095" i="24"/>
  <c r="C4095" i="24" s="1"/>
  <c r="B4094" i="24"/>
  <c r="C4094" i="24" s="1"/>
  <c r="B4093" i="24"/>
  <c r="C4093" i="24" s="1"/>
  <c r="B4092" i="24"/>
  <c r="C4092" i="24" s="1"/>
  <c r="B4091" i="24"/>
  <c r="C4091" i="24" s="1"/>
  <c r="B4090" i="24"/>
  <c r="C4090" i="24" s="1"/>
  <c r="B4089" i="24"/>
  <c r="C4089" i="24" s="1"/>
  <c r="B4088" i="24"/>
  <c r="C4088" i="24" s="1"/>
  <c r="B4087" i="24"/>
  <c r="C4087" i="24" s="1"/>
  <c r="B4086" i="24"/>
  <c r="C4086" i="24" s="1"/>
  <c r="B4085" i="24"/>
  <c r="C4085" i="24" s="1"/>
  <c r="B4084" i="24"/>
  <c r="C4084" i="24" s="1"/>
  <c r="B4083" i="24"/>
  <c r="C4083" i="24" s="1"/>
  <c r="B4082" i="24"/>
  <c r="C4082" i="24" s="1"/>
  <c r="B4081" i="24"/>
  <c r="C4081" i="24" s="1"/>
  <c r="B4080" i="24"/>
  <c r="C4080" i="24" s="1"/>
  <c r="B4079" i="24"/>
  <c r="C4079" i="24" s="1"/>
  <c r="B4078" i="24"/>
  <c r="C4078" i="24" s="1"/>
  <c r="B4077" i="24"/>
  <c r="C4077" i="24" s="1"/>
  <c r="B4076" i="24"/>
  <c r="C4076" i="24" s="1"/>
  <c r="B4075" i="24"/>
  <c r="C4075" i="24" s="1"/>
  <c r="B4074" i="24"/>
  <c r="C4074" i="24" s="1"/>
  <c r="B4073" i="24"/>
  <c r="C4073" i="24" s="1"/>
  <c r="B4072" i="24"/>
  <c r="C4072" i="24" s="1"/>
  <c r="B4071" i="24"/>
  <c r="C4071" i="24" s="1"/>
  <c r="B4070" i="24"/>
  <c r="C4070" i="24" s="1"/>
  <c r="B4069" i="24"/>
  <c r="C4069" i="24" s="1"/>
  <c r="B4068" i="24"/>
  <c r="C4068" i="24" s="1"/>
  <c r="B4067" i="24"/>
  <c r="C4067" i="24" s="1"/>
  <c r="B4066" i="24"/>
  <c r="C4066" i="24" s="1"/>
  <c r="B4065" i="24"/>
  <c r="C4065" i="24" s="1"/>
  <c r="B4064" i="24"/>
  <c r="C4064" i="24" s="1"/>
  <c r="B4063" i="24"/>
  <c r="C4063" i="24" s="1"/>
  <c r="B4062" i="24"/>
  <c r="C4062" i="24" s="1"/>
  <c r="B4061" i="24"/>
  <c r="C4061" i="24" s="1"/>
  <c r="B4060" i="24"/>
  <c r="C4060" i="24" s="1"/>
  <c r="B4059" i="24"/>
  <c r="C4059" i="24" s="1"/>
  <c r="B4058" i="24"/>
  <c r="C4058" i="24" s="1"/>
  <c r="B4057" i="24"/>
  <c r="C4057" i="24" s="1"/>
  <c r="B4056" i="24"/>
  <c r="C4056" i="24" s="1"/>
  <c r="B4055" i="24"/>
  <c r="C4055" i="24" s="1"/>
  <c r="B4054" i="24"/>
  <c r="C4054" i="24" s="1"/>
  <c r="B4053" i="24"/>
  <c r="C4053" i="24" s="1"/>
  <c r="B4052" i="24"/>
  <c r="C4052" i="24" s="1"/>
  <c r="B4051" i="24"/>
  <c r="C4051" i="24" s="1"/>
  <c r="B4050" i="24"/>
  <c r="C4050" i="24" s="1"/>
  <c r="B4049" i="24"/>
  <c r="C4049" i="24" s="1"/>
  <c r="B4048" i="24"/>
  <c r="C4048" i="24" s="1"/>
  <c r="B4047" i="24"/>
  <c r="C4047" i="24" s="1"/>
  <c r="B4046" i="24"/>
  <c r="C4046" i="24" s="1"/>
  <c r="B4045" i="24"/>
  <c r="C4045" i="24" s="1"/>
  <c r="B4044" i="24"/>
  <c r="C4044" i="24" s="1"/>
  <c r="B4043" i="24"/>
  <c r="C4043" i="24" s="1"/>
  <c r="B4042" i="24"/>
  <c r="C4042" i="24" s="1"/>
  <c r="B4041" i="24"/>
  <c r="C4041" i="24" s="1"/>
  <c r="B4040" i="24"/>
  <c r="C4040" i="24" s="1"/>
  <c r="B4039" i="24"/>
  <c r="C4039" i="24" s="1"/>
  <c r="B4038" i="24"/>
  <c r="C4038" i="24" s="1"/>
  <c r="B4037" i="24"/>
  <c r="C4037" i="24" s="1"/>
  <c r="B4036" i="24"/>
  <c r="C4036" i="24" s="1"/>
  <c r="B4035" i="24"/>
  <c r="C4035" i="24" s="1"/>
  <c r="B4034" i="24"/>
  <c r="C4034" i="24" s="1"/>
  <c r="B4033" i="24"/>
  <c r="C4033" i="24" s="1"/>
  <c r="B4032" i="24"/>
  <c r="C4032" i="24" s="1"/>
  <c r="B4031" i="24"/>
  <c r="C4031" i="24" s="1"/>
  <c r="B4030" i="24"/>
  <c r="C4030" i="24" s="1"/>
  <c r="B4029" i="24"/>
  <c r="C4029" i="24" s="1"/>
  <c r="B4028" i="24"/>
  <c r="C4028" i="24" s="1"/>
  <c r="B4027" i="24"/>
  <c r="C4027" i="24" s="1"/>
  <c r="B4026" i="24"/>
  <c r="C4026" i="24" s="1"/>
  <c r="B4025" i="24"/>
  <c r="C4025" i="24" s="1"/>
  <c r="B4024" i="24"/>
  <c r="C4024" i="24" s="1"/>
  <c r="B4023" i="24"/>
  <c r="C4023" i="24" s="1"/>
  <c r="B4022" i="24"/>
  <c r="C4022" i="24" s="1"/>
  <c r="B4021" i="24"/>
  <c r="C4021" i="24" s="1"/>
  <c r="B4020" i="24"/>
  <c r="C4020" i="24" s="1"/>
  <c r="B4019" i="24"/>
  <c r="C4019" i="24" s="1"/>
  <c r="B4018" i="24"/>
  <c r="C4018" i="24" s="1"/>
  <c r="B4017" i="24"/>
  <c r="C4017" i="24" s="1"/>
  <c r="B4016" i="24"/>
  <c r="C4016" i="24" s="1"/>
  <c r="B4015" i="24"/>
  <c r="C4015" i="24" s="1"/>
  <c r="B4014" i="24"/>
  <c r="C4014" i="24" s="1"/>
  <c r="B4013" i="24"/>
  <c r="C4013" i="24" s="1"/>
  <c r="B4012" i="24"/>
  <c r="C4012" i="24" s="1"/>
  <c r="B4011" i="24"/>
  <c r="C4011" i="24" s="1"/>
  <c r="B4010" i="24"/>
  <c r="C4010" i="24" s="1"/>
  <c r="B4009" i="24"/>
  <c r="C4009" i="24" s="1"/>
  <c r="B4008" i="24"/>
  <c r="C4008" i="24" s="1"/>
  <c r="B4007" i="24"/>
  <c r="C4007" i="24" s="1"/>
  <c r="B4006" i="24"/>
  <c r="C4006" i="24" s="1"/>
  <c r="B4005" i="24"/>
  <c r="C4005" i="24" s="1"/>
  <c r="B4004" i="24"/>
  <c r="C4004" i="24" s="1"/>
  <c r="B4003" i="24"/>
  <c r="C4003" i="24" s="1"/>
  <c r="B4002" i="24"/>
  <c r="C4002" i="24" s="1"/>
  <c r="B4001" i="24"/>
  <c r="C4001" i="24" s="1"/>
  <c r="B4000" i="24"/>
  <c r="C4000" i="24" s="1"/>
  <c r="B3999" i="24"/>
  <c r="C3999" i="24" s="1"/>
  <c r="B3998" i="24"/>
  <c r="C3998" i="24" s="1"/>
  <c r="B3997" i="24"/>
  <c r="C3997" i="24" s="1"/>
  <c r="B3996" i="24"/>
  <c r="C3996" i="24" s="1"/>
  <c r="B3995" i="24"/>
  <c r="C3995" i="24" s="1"/>
  <c r="B3994" i="24"/>
  <c r="C3994" i="24" s="1"/>
  <c r="B3993" i="24"/>
  <c r="C3993" i="24" s="1"/>
  <c r="B3992" i="24"/>
  <c r="C3992" i="24" s="1"/>
  <c r="B3991" i="24"/>
  <c r="C3991" i="24" s="1"/>
  <c r="B3990" i="24"/>
  <c r="C3990" i="24" s="1"/>
  <c r="B3989" i="24"/>
  <c r="C3989" i="24" s="1"/>
  <c r="B3988" i="24"/>
  <c r="C3988" i="24" s="1"/>
  <c r="B3987" i="24"/>
  <c r="C3987" i="24" s="1"/>
  <c r="B3986" i="24"/>
  <c r="C3986" i="24" s="1"/>
  <c r="B3985" i="24"/>
  <c r="C3985" i="24" s="1"/>
  <c r="B3984" i="24"/>
  <c r="C3984" i="24" s="1"/>
  <c r="B3983" i="24"/>
  <c r="C3983" i="24" s="1"/>
  <c r="B3982" i="24"/>
  <c r="C3982" i="24" s="1"/>
  <c r="B3981" i="24"/>
  <c r="C3981" i="24" s="1"/>
  <c r="B3980" i="24"/>
  <c r="C3980" i="24" s="1"/>
  <c r="B3979" i="24"/>
  <c r="C3979" i="24" s="1"/>
  <c r="B3978" i="24"/>
  <c r="C3978" i="24" s="1"/>
  <c r="B3977" i="24"/>
  <c r="C3977" i="24" s="1"/>
  <c r="B3976" i="24"/>
  <c r="C3976" i="24" s="1"/>
  <c r="B3975" i="24"/>
  <c r="C3975" i="24" s="1"/>
  <c r="B3974" i="24"/>
  <c r="C3974" i="24" s="1"/>
  <c r="B3973" i="24"/>
  <c r="C3973" i="24" s="1"/>
  <c r="B3972" i="24"/>
  <c r="C3972" i="24" s="1"/>
  <c r="B3971" i="24"/>
  <c r="C3971" i="24" s="1"/>
  <c r="B3970" i="24"/>
  <c r="C3970" i="24" s="1"/>
  <c r="B3969" i="24"/>
  <c r="C3969" i="24" s="1"/>
  <c r="B3968" i="24"/>
  <c r="C3968" i="24" s="1"/>
  <c r="B3967" i="24"/>
  <c r="C3967" i="24" s="1"/>
  <c r="B3966" i="24"/>
  <c r="C3966" i="24" s="1"/>
  <c r="B3965" i="24"/>
  <c r="C3965" i="24" s="1"/>
  <c r="B3964" i="24"/>
  <c r="C3964" i="24" s="1"/>
  <c r="B3963" i="24"/>
  <c r="C3963" i="24" s="1"/>
  <c r="B3962" i="24"/>
  <c r="C3962" i="24" s="1"/>
  <c r="B3961" i="24"/>
  <c r="C3961" i="24" s="1"/>
  <c r="B3960" i="24"/>
  <c r="C3960" i="24" s="1"/>
  <c r="B3959" i="24"/>
  <c r="C3959" i="24" s="1"/>
  <c r="B3958" i="24"/>
  <c r="C3958" i="24" s="1"/>
  <c r="B3957" i="24"/>
  <c r="C3957" i="24" s="1"/>
  <c r="B3956" i="24"/>
  <c r="C3956" i="24" s="1"/>
  <c r="B3955" i="24"/>
  <c r="C3955" i="24" s="1"/>
  <c r="C3954" i="24"/>
  <c r="B3954" i="24"/>
  <c r="C3953" i="24"/>
  <c r="B3953" i="24"/>
  <c r="C3952" i="24"/>
  <c r="B3952" i="24"/>
  <c r="C3951" i="24"/>
  <c r="B3951" i="24"/>
  <c r="C3950" i="24"/>
  <c r="B3950" i="24"/>
  <c r="C3949" i="24"/>
  <c r="B3949" i="24"/>
  <c r="C3948" i="24"/>
  <c r="B3948" i="24"/>
  <c r="C3947" i="24"/>
  <c r="B3947" i="24"/>
  <c r="C3946" i="24"/>
  <c r="B3946" i="24"/>
  <c r="C3945" i="24"/>
  <c r="B3945" i="24"/>
  <c r="C3944" i="24"/>
  <c r="B3944" i="24"/>
  <c r="C3943" i="24"/>
  <c r="B3943" i="24"/>
  <c r="C3942" i="24"/>
  <c r="B3942" i="24"/>
  <c r="C3941" i="24"/>
  <c r="B3941" i="24"/>
  <c r="C3940" i="24"/>
  <c r="B3940" i="24"/>
  <c r="C3939" i="24"/>
  <c r="B3939" i="24"/>
  <c r="C3938" i="24"/>
  <c r="B3938" i="24"/>
  <c r="C3937" i="24"/>
  <c r="B3937" i="24"/>
  <c r="C3936" i="24"/>
  <c r="B3936" i="24"/>
  <c r="C3935" i="24"/>
  <c r="B3935" i="24"/>
  <c r="C3934" i="24"/>
  <c r="B3934" i="24"/>
  <c r="C3933" i="24"/>
  <c r="B3933" i="24"/>
  <c r="C3932" i="24"/>
  <c r="B3932" i="24"/>
  <c r="C3931" i="24"/>
  <c r="B3931" i="24"/>
  <c r="C3930" i="24"/>
  <c r="B3930" i="24"/>
  <c r="C3929" i="24"/>
  <c r="B3929" i="24"/>
  <c r="C3928" i="24"/>
  <c r="B3928" i="24"/>
  <c r="C3927" i="24"/>
  <c r="B3927" i="24"/>
  <c r="C3926" i="24"/>
  <c r="B3926" i="24"/>
  <c r="C3925" i="24"/>
  <c r="B3925" i="24"/>
  <c r="C3924" i="24"/>
  <c r="B3924" i="24"/>
  <c r="C3923" i="24"/>
  <c r="B3923" i="24"/>
  <c r="C3922" i="24"/>
  <c r="B3922" i="24"/>
  <c r="C3921" i="24"/>
  <c r="B3921" i="24"/>
  <c r="C3920" i="24"/>
  <c r="B3920" i="24"/>
  <c r="C3919" i="24"/>
  <c r="B3919" i="24"/>
  <c r="C3918" i="24"/>
  <c r="B3918" i="24"/>
  <c r="C3917" i="24"/>
  <c r="B3917" i="24"/>
  <c r="C3916" i="24"/>
  <c r="B3916" i="24"/>
  <c r="C3915" i="24"/>
  <c r="B3915" i="24"/>
  <c r="C3914" i="24"/>
  <c r="B3914" i="24"/>
  <c r="C3913" i="24"/>
  <c r="B3913" i="24"/>
  <c r="C3912" i="24"/>
  <c r="B3912" i="24"/>
  <c r="C3911" i="24"/>
  <c r="B3911" i="24"/>
  <c r="C3910" i="24"/>
  <c r="B3910" i="24"/>
  <c r="C3909" i="24"/>
  <c r="B3909" i="24"/>
  <c r="C3908" i="24"/>
  <c r="B3908" i="24"/>
  <c r="C3907" i="24"/>
  <c r="B3907" i="24"/>
  <c r="C3906" i="24"/>
  <c r="B3906" i="24"/>
  <c r="C3905" i="24"/>
  <c r="B3905" i="24"/>
  <c r="C3904" i="24"/>
  <c r="B3904" i="24"/>
  <c r="C3903" i="24"/>
  <c r="B3903" i="24"/>
  <c r="C3902" i="24"/>
  <c r="B3902" i="24"/>
  <c r="C3901" i="24"/>
  <c r="B3901" i="24"/>
  <c r="C3900" i="24"/>
  <c r="B3900" i="24"/>
  <c r="C3899" i="24"/>
  <c r="B3899" i="24"/>
  <c r="C3898" i="24"/>
  <c r="B3898" i="24"/>
  <c r="C3897" i="24"/>
  <c r="B3897" i="24"/>
  <c r="C3896" i="24"/>
  <c r="B3896" i="24"/>
  <c r="C3895" i="24"/>
  <c r="B3895" i="24"/>
  <c r="C3894" i="24"/>
  <c r="B3894" i="24"/>
  <c r="C3893" i="24"/>
  <c r="B3893" i="24"/>
  <c r="C3892" i="24"/>
  <c r="B3892" i="24"/>
  <c r="C3891" i="24"/>
  <c r="B3891" i="24"/>
  <c r="C3890" i="24"/>
  <c r="B3890" i="24"/>
  <c r="C3889" i="24"/>
  <c r="B3889" i="24"/>
  <c r="C3888" i="24"/>
  <c r="B3888" i="24"/>
  <c r="C3887" i="24"/>
  <c r="B3887" i="24"/>
  <c r="C3886" i="24"/>
  <c r="B3886" i="24"/>
  <c r="C3885" i="24"/>
  <c r="B3885" i="24"/>
  <c r="C3884" i="24"/>
  <c r="B3884" i="24"/>
  <c r="C3883" i="24"/>
  <c r="B3883" i="24"/>
  <c r="C3882" i="24"/>
  <c r="B3882" i="24"/>
  <c r="C3881" i="24"/>
  <c r="B3881" i="24"/>
  <c r="C3880" i="24"/>
  <c r="B3880" i="24"/>
  <c r="C3879" i="24"/>
  <c r="B3879" i="24"/>
  <c r="C3878" i="24"/>
  <c r="B3878" i="24"/>
  <c r="C3877" i="24"/>
  <c r="B3877" i="24"/>
  <c r="C3876" i="24"/>
  <c r="B3876" i="24"/>
  <c r="C3875" i="24"/>
  <c r="B3875" i="24"/>
  <c r="C3874" i="24"/>
  <c r="B3874" i="24"/>
  <c r="C3873" i="24"/>
  <c r="B3873" i="24"/>
  <c r="C3872" i="24"/>
  <c r="B3872" i="24"/>
  <c r="C3871" i="24"/>
  <c r="B3871" i="24"/>
  <c r="C3870" i="24"/>
  <c r="B3870" i="24"/>
  <c r="C3869" i="24"/>
  <c r="B3869" i="24"/>
  <c r="C3868" i="24"/>
  <c r="B3868" i="24"/>
  <c r="C3867" i="24"/>
  <c r="B3867" i="24"/>
  <c r="C3866" i="24"/>
  <c r="B3866" i="24"/>
  <c r="C3865" i="24"/>
  <c r="B3865" i="24"/>
  <c r="C3864" i="24"/>
  <c r="B3864" i="24"/>
  <c r="C3863" i="24"/>
  <c r="B3863" i="24"/>
  <c r="C3862" i="24"/>
  <c r="B3862" i="24"/>
  <c r="C3861" i="24"/>
  <c r="B3861" i="24"/>
  <c r="C3860" i="24"/>
  <c r="B3860" i="24"/>
  <c r="C3859" i="24"/>
  <c r="B3859" i="24"/>
  <c r="C3858" i="24"/>
  <c r="B3858" i="24"/>
  <c r="C3857" i="24"/>
  <c r="B3857" i="24"/>
  <c r="C3856" i="24"/>
  <c r="B3856" i="24"/>
  <c r="C3855" i="24"/>
  <c r="B3855" i="24"/>
  <c r="C3854" i="24"/>
  <c r="B3854" i="24"/>
  <c r="C3853" i="24"/>
  <c r="B3853" i="24"/>
  <c r="C3852" i="24"/>
  <c r="B3852" i="24"/>
  <c r="C3851" i="24"/>
  <c r="B3851" i="24"/>
  <c r="C3850" i="24"/>
  <c r="B3850" i="24"/>
  <c r="C3849" i="24"/>
  <c r="B3849" i="24"/>
  <c r="C3848" i="24"/>
  <c r="B3848" i="24"/>
  <c r="C3847" i="24"/>
  <c r="B3847" i="24"/>
  <c r="C3846" i="24"/>
  <c r="B3846" i="24"/>
  <c r="C3845" i="24"/>
  <c r="B3845" i="24"/>
  <c r="C3844" i="24"/>
  <c r="B3844" i="24"/>
  <c r="C3843" i="24"/>
  <c r="B3843" i="24"/>
  <c r="C3842" i="24"/>
  <c r="B3842" i="24"/>
  <c r="B3841" i="24"/>
  <c r="C3841" i="24" s="1"/>
  <c r="B3840" i="24"/>
  <c r="C3840" i="24" s="1"/>
  <c r="C3839" i="24"/>
  <c r="B3839" i="24"/>
  <c r="C3838" i="24"/>
  <c r="B3838" i="24"/>
  <c r="B3837" i="24"/>
  <c r="C3837" i="24" s="1"/>
  <c r="B3836" i="24"/>
  <c r="C3836" i="24" s="1"/>
  <c r="C3835" i="24"/>
  <c r="B3835" i="24"/>
  <c r="C3834" i="24"/>
  <c r="B3834" i="24"/>
  <c r="B3833" i="24"/>
  <c r="C3833" i="24" s="1"/>
  <c r="B3832" i="24"/>
  <c r="C3832" i="24" s="1"/>
  <c r="C3831" i="24"/>
  <c r="B3831" i="24"/>
  <c r="C3830" i="24"/>
  <c r="B3830" i="24"/>
  <c r="B3829" i="24"/>
  <c r="C3829" i="24" s="1"/>
  <c r="B3828" i="24"/>
  <c r="C3828" i="24" s="1"/>
  <c r="C3827" i="24"/>
  <c r="B3827" i="24"/>
  <c r="B3826" i="24"/>
  <c r="C3826" i="24" s="1"/>
  <c r="B3825" i="24"/>
  <c r="C3825" i="24" s="1"/>
  <c r="B3824" i="24"/>
  <c r="C3824" i="24" s="1"/>
  <c r="C3823" i="24"/>
  <c r="B3823" i="24"/>
  <c r="B3822" i="24"/>
  <c r="C3822" i="24" s="1"/>
  <c r="B3821" i="24"/>
  <c r="C3821" i="24" s="1"/>
  <c r="B3820" i="24"/>
  <c r="C3820" i="24" s="1"/>
  <c r="C3819" i="24"/>
  <c r="B3819" i="24"/>
  <c r="B3818" i="24"/>
  <c r="C3818" i="24" s="1"/>
  <c r="B3817" i="24"/>
  <c r="C3817" i="24" s="1"/>
  <c r="B3816" i="24"/>
  <c r="C3816" i="24" s="1"/>
  <c r="B3815" i="24"/>
  <c r="C3815" i="24" s="1"/>
  <c r="B3814" i="24"/>
  <c r="C3814" i="24" s="1"/>
  <c r="B3813" i="24"/>
  <c r="C3813" i="24" s="1"/>
  <c r="B3812" i="24"/>
  <c r="C3812" i="24" s="1"/>
  <c r="B3811" i="24"/>
  <c r="C3811" i="24" s="1"/>
  <c r="B3810" i="24"/>
  <c r="C3810" i="24" s="1"/>
  <c r="B3809" i="24"/>
  <c r="C3809" i="24" s="1"/>
  <c r="B3808" i="24"/>
  <c r="C3808" i="24" s="1"/>
  <c r="B3807" i="24"/>
  <c r="C3807" i="24" s="1"/>
  <c r="B3806" i="24"/>
  <c r="C3806" i="24" s="1"/>
  <c r="B3805" i="24"/>
  <c r="C3805" i="24" s="1"/>
  <c r="B3804" i="24"/>
  <c r="C3804" i="24" s="1"/>
  <c r="C3803" i="24"/>
  <c r="B3803" i="24"/>
  <c r="B3802" i="24"/>
  <c r="C3802" i="24" s="1"/>
  <c r="B3801" i="24"/>
  <c r="C3801" i="24" s="1"/>
  <c r="B3800" i="24"/>
  <c r="C3800" i="24" s="1"/>
  <c r="C3799" i="24"/>
  <c r="B3799" i="24"/>
  <c r="B3798" i="24"/>
  <c r="C3798" i="24" s="1"/>
  <c r="B3797" i="24"/>
  <c r="C3797" i="24" s="1"/>
  <c r="B3796" i="24"/>
  <c r="C3796" i="24" s="1"/>
  <c r="C3795" i="24"/>
  <c r="B3795" i="24"/>
  <c r="B3794" i="24"/>
  <c r="C3794" i="24" s="1"/>
  <c r="B3793" i="24"/>
  <c r="C3793" i="24" s="1"/>
  <c r="B3792" i="24"/>
  <c r="C3792" i="24" s="1"/>
  <c r="B3791" i="24"/>
  <c r="C3791" i="24" s="1"/>
  <c r="B3790" i="24"/>
  <c r="C3790" i="24" s="1"/>
  <c r="B3789" i="24"/>
  <c r="C3789" i="24" s="1"/>
  <c r="B3788" i="24"/>
  <c r="C3788" i="24" s="1"/>
  <c r="B3787" i="24"/>
  <c r="C3787" i="24" s="1"/>
  <c r="B3786" i="24"/>
  <c r="C3786" i="24" s="1"/>
  <c r="B3785" i="24"/>
  <c r="C3785" i="24" s="1"/>
  <c r="B3784" i="24"/>
  <c r="C3784" i="24" s="1"/>
  <c r="B3783" i="24"/>
  <c r="C3783" i="24" s="1"/>
  <c r="B3782" i="24"/>
  <c r="C3782" i="24" s="1"/>
  <c r="B3781" i="24"/>
  <c r="C3781" i="24" s="1"/>
  <c r="B3780" i="24"/>
  <c r="C3780" i="24" s="1"/>
  <c r="B3779" i="24"/>
  <c r="C3779" i="24" s="1"/>
  <c r="B3778" i="24"/>
  <c r="C3778" i="24" s="1"/>
  <c r="B3777" i="24"/>
  <c r="C3777" i="24" s="1"/>
  <c r="B3776" i="24"/>
  <c r="C3776" i="24" s="1"/>
  <c r="B3775" i="24"/>
  <c r="C3775" i="24" s="1"/>
  <c r="B3774" i="24"/>
  <c r="C3774" i="24" s="1"/>
  <c r="B3773" i="24"/>
  <c r="C3773" i="24" s="1"/>
  <c r="B3772" i="24"/>
  <c r="C3772" i="24" s="1"/>
  <c r="C3771" i="24"/>
  <c r="B3771" i="24"/>
  <c r="B3770" i="24"/>
  <c r="C3770" i="24" s="1"/>
  <c r="B3769" i="24"/>
  <c r="C3769" i="24" s="1"/>
  <c r="B3768" i="24"/>
  <c r="C3768" i="24" s="1"/>
  <c r="C3767" i="24"/>
  <c r="B3767" i="24"/>
  <c r="B3766" i="24"/>
  <c r="C3766" i="24" s="1"/>
  <c r="B3765" i="24"/>
  <c r="C3765" i="24" s="1"/>
  <c r="B3764" i="24"/>
  <c r="C3764" i="24" s="1"/>
  <c r="B3763" i="24"/>
  <c r="C3763" i="24" s="1"/>
  <c r="B3762" i="24"/>
  <c r="C3762" i="24" s="1"/>
  <c r="B3761" i="24"/>
  <c r="C3761" i="24" s="1"/>
  <c r="B3760" i="24"/>
  <c r="C3760" i="24" s="1"/>
  <c r="B3759" i="24"/>
  <c r="C3759" i="24" s="1"/>
  <c r="B3758" i="24"/>
  <c r="C3758" i="24" s="1"/>
  <c r="B3757" i="24"/>
  <c r="C3757" i="24" s="1"/>
  <c r="B3756" i="24"/>
  <c r="C3756" i="24" s="1"/>
  <c r="B3755" i="24"/>
  <c r="C3755" i="24" s="1"/>
  <c r="B3754" i="24"/>
  <c r="C3754" i="24" s="1"/>
  <c r="B3753" i="24"/>
  <c r="C3753" i="24" s="1"/>
  <c r="B3752" i="24"/>
  <c r="C3752" i="24" s="1"/>
  <c r="B3751" i="24"/>
  <c r="C3751" i="24" s="1"/>
  <c r="B3750" i="24"/>
  <c r="C3750" i="24" s="1"/>
  <c r="B3749" i="24"/>
  <c r="C3749" i="24" s="1"/>
  <c r="B3748" i="24"/>
  <c r="C3748" i="24" s="1"/>
  <c r="B3747" i="24"/>
  <c r="C3747" i="24" s="1"/>
  <c r="B3746" i="24"/>
  <c r="C3746" i="24" s="1"/>
  <c r="B3745" i="24"/>
  <c r="C3745" i="24" s="1"/>
  <c r="B3744" i="24"/>
  <c r="C3744" i="24" s="1"/>
  <c r="C3743" i="24"/>
  <c r="B3743" i="24"/>
  <c r="B3742" i="24"/>
  <c r="C3742" i="24" s="1"/>
  <c r="C3741" i="24"/>
  <c r="B3741" i="24"/>
  <c r="B3740" i="24"/>
  <c r="C3740" i="24" s="1"/>
  <c r="B3739" i="24"/>
  <c r="C3739" i="24" s="1"/>
  <c r="B3738" i="24"/>
  <c r="C3738" i="24" s="1"/>
  <c r="C3737" i="24"/>
  <c r="B3737" i="24"/>
  <c r="B3736" i="24"/>
  <c r="C3736" i="24" s="1"/>
  <c r="B3735" i="24"/>
  <c r="C3735" i="24" s="1"/>
  <c r="B3734" i="24"/>
  <c r="C3734" i="24" s="1"/>
  <c r="B3733" i="24"/>
  <c r="C3733" i="24" s="1"/>
  <c r="B3732" i="24"/>
  <c r="C3732" i="24" s="1"/>
  <c r="B3731" i="24"/>
  <c r="C3731" i="24" s="1"/>
  <c r="B3730" i="24"/>
  <c r="C3730" i="24" s="1"/>
  <c r="B3729" i="24"/>
  <c r="C3729" i="24" s="1"/>
  <c r="B3728" i="24"/>
  <c r="C3728" i="24" s="1"/>
  <c r="C3727" i="24"/>
  <c r="B3727" i="24"/>
  <c r="B3726" i="24"/>
  <c r="C3726" i="24" s="1"/>
  <c r="C3725" i="24"/>
  <c r="B3725" i="24"/>
  <c r="B3724" i="24"/>
  <c r="C3724" i="24" s="1"/>
  <c r="B3723" i="24"/>
  <c r="C3723" i="24" s="1"/>
  <c r="B3722" i="24"/>
  <c r="C3722" i="24" s="1"/>
  <c r="C3721" i="24"/>
  <c r="B3721" i="24"/>
  <c r="B3720" i="24"/>
  <c r="C3720" i="24" s="1"/>
  <c r="B3719" i="24"/>
  <c r="C3719" i="24" s="1"/>
  <c r="B3718" i="24"/>
  <c r="C3718" i="24" s="1"/>
  <c r="B3717" i="24"/>
  <c r="C3717" i="24" s="1"/>
  <c r="B3716" i="24"/>
  <c r="C3716" i="24" s="1"/>
  <c r="B3715" i="24"/>
  <c r="C3715" i="24" s="1"/>
  <c r="B3714" i="24"/>
  <c r="C3714" i="24" s="1"/>
  <c r="B3713" i="24"/>
  <c r="C3713" i="24" s="1"/>
  <c r="B3712" i="24"/>
  <c r="C3712" i="24" s="1"/>
  <c r="C3711" i="24"/>
  <c r="B3711" i="24"/>
  <c r="B3710" i="24"/>
  <c r="C3710" i="24" s="1"/>
  <c r="C3709" i="24"/>
  <c r="B3709" i="24"/>
  <c r="B3708" i="24"/>
  <c r="C3708" i="24" s="1"/>
  <c r="B3707" i="24"/>
  <c r="C3707" i="24" s="1"/>
  <c r="B3706" i="24"/>
  <c r="C3706" i="24" s="1"/>
  <c r="C3705" i="24"/>
  <c r="B3705" i="24"/>
  <c r="B3704" i="24"/>
  <c r="C3704" i="24" s="1"/>
  <c r="B3703" i="24"/>
  <c r="C3703" i="24" s="1"/>
  <c r="B3702" i="24"/>
  <c r="C3702" i="24" s="1"/>
  <c r="B3701" i="24"/>
  <c r="C3701" i="24" s="1"/>
  <c r="B3700" i="24"/>
  <c r="C3700" i="24" s="1"/>
  <c r="B3699" i="24"/>
  <c r="C3699" i="24" s="1"/>
  <c r="B3698" i="24"/>
  <c r="C3698" i="24" s="1"/>
  <c r="B3697" i="24"/>
  <c r="C3697" i="24" s="1"/>
  <c r="B3696" i="24"/>
  <c r="C3696" i="24" s="1"/>
  <c r="C3695" i="24"/>
  <c r="B3695" i="24"/>
  <c r="B3694" i="24"/>
  <c r="C3694" i="24" s="1"/>
  <c r="C3693" i="24"/>
  <c r="B3693" i="24"/>
  <c r="B3692" i="24"/>
  <c r="C3692" i="24" s="1"/>
  <c r="B3691" i="24"/>
  <c r="C3691" i="24" s="1"/>
  <c r="B3690" i="24"/>
  <c r="C3690" i="24" s="1"/>
  <c r="C3689" i="24"/>
  <c r="B3689" i="24"/>
  <c r="B3688" i="24"/>
  <c r="C3688" i="24" s="1"/>
  <c r="B3687" i="24"/>
  <c r="C3687" i="24" s="1"/>
  <c r="B3686" i="24"/>
  <c r="C3686" i="24" s="1"/>
  <c r="B3685" i="24"/>
  <c r="C3685" i="24" s="1"/>
  <c r="B3684" i="24"/>
  <c r="C3684" i="24" s="1"/>
  <c r="B3683" i="24"/>
  <c r="C3683" i="24" s="1"/>
  <c r="B3682" i="24"/>
  <c r="C3682" i="24" s="1"/>
  <c r="B3681" i="24"/>
  <c r="C3681" i="24" s="1"/>
  <c r="B3680" i="24"/>
  <c r="C3680" i="24" s="1"/>
  <c r="C3679" i="24"/>
  <c r="B3679" i="24"/>
  <c r="B3678" i="24"/>
  <c r="C3678" i="24" s="1"/>
  <c r="C3677" i="24"/>
  <c r="B3677" i="24"/>
  <c r="B3676" i="24"/>
  <c r="C3676" i="24" s="1"/>
  <c r="B3675" i="24"/>
  <c r="C3675" i="24" s="1"/>
  <c r="B3674" i="24"/>
  <c r="C3674" i="24" s="1"/>
  <c r="C3673" i="24"/>
  <c r="B3673" i="24"/>
  <c r="B3672" i="24"/>
  <c r="C3672" i="24" s="1"/>
  <c r="B3671" i="24"/>
  <c r="C3671" i="24" s="1"/>
  <c r="B3670" i="24"/>
  <c r="C3670" i="24" s="1"/>
  <c r="B3669" i="24"/>
  <c r="C3669" i="24" s="1"/>
  <c r="B3668" i="24"/>
  <c r="C3668" i="24" s="1"/>
  <c r="B3667" i="24"/>
  <c r="C3667" i="24" s="1"/>
  <c r="B3666" i="24"/>
  <c r="C3666" i="24" s="1"/>
  <c r="B3665" i="24"/>
  <c r="C3665" i="24" s="1"/>
  <c r="B3664" i="24"/>
  <c r="C3664" i="24" s="1"/>
  <c r="C3663" i="24"/>
  <c r="B3663" i="24"/>
  <c r="B3662" i="24"/>
  <c r="C3662" i="24" s="1"/>
  <c r="C3661" i="24"/>
  <c r="B3661" i="24"/>
  <c r="B3660" i="24"/>
  <c r="C3660" i="24" s="1"/>
  <c r="B3659" i="24"/>
  <c r="C3659" i="24" s="1"/>
  <c r="B3658" i="24"/>
  <c r="C3658" i="24" s="1"/>
  <c r="C3657" i="24"/>
  <c r="B3657" i="24"/>
  <c r="B3656" i="24"/>
  <c r="C3656" i="24" s="1"/>
  <c r="B3655" i="24"/>
  <c r="C3655" i="24" s="1"/>
  <c r="B3654" i="24"/>
  <c r="C3654" i="24" s="1"/>
  <c r="B3653" i="24"/>
  <c r="C3653" i="24" s="1"/>
  <c r="B3652" i="24"/>
  <c r="C3652" i="24" s="1"/>
  <c r="B3651" i="24"/>
  <c r="C3651" i="24" s="1"/>
  <c r="B3650" i="24"/>
  <c r="C3650" i="24" s="1"/>
  <c r="B3649" i="24"/>
  <c r="C3649" i="24" s="1"/>
  <c r="B3648" i="24"/>
  <c r="C3648" i="24" s="1"/>
  <c r="C3647" i="24"/>
  <c r="B3647" i="24"/>
  <c r="B3646" i="24"/>
  <c r="C3646" i="24" s="1"/>
  <c r="C3645" i="24"/>
  <c r="B3645" i="24"/>
  <c r="B3644" i="24"/>
  <c r="C3644" i="24" s="1"/>
  <c r="B3643" i="24"/>
  <c r="C3643" i="24" s="1"/>
  <c r="B3642" i="24"/>
  <c r="C3642" i="24" s="1"/>
  <c r="C3641" i="24"/>
  <c r="B3641" i="24"/>
  <c r="B3640" i="24"/>
  <c r="C3640" i="24" s="1"/>
  <c r="B3639" i="24"/>
  <c r="C3639" i="24" s="1"/>
  <c r="B3638" i="24"/>
  <c r="C3638" i="24" s="1"/>
  <c r="B3637" i="24"/>
  <c r="C3637" i="24" s="1"/>
  <c r="B3636" i="24"/>
  <c r="C3636" i="24" s="1"/>
  <c r="B3635" i="24"/>
  <c r="C3635" i="24" s="1"/>
  <c r="B3634" i="24"/>
  <c r="C3634" i="24" s="1"/>
  <c r="B3633" i="24"/>
  <c r="C3633" i="24" s="1"/>
  <c r="B3632" i="24"/>
  <c r="C3632" i="24" s="1"/>
  <c r="C3631" i="24"/>
  <c r="B3631" i="24"/>
  <c r="B3630" i="24"/>
  <c r="C3630" i="24" s="1"/>
  <c r="C3629" i="24"/>
  <c r="B3629" i="24"/>
  <c r="B3628" i="24"/>
  <c r="C3628" i="24" s="1"/>
  <c r="B3627" i="24"/>
  <c r="C3627" i="24" s="1"/>
  <c r="B3626" i="24"/>
  <c r="C3626" i="24" s="1"/>
  <c r="C3625" i="24"/>
  <c r="B3625" i="24"/>
  <c r="B3624" i="24"/>
  <c r="C3624" i="24" s="1"/>
  <c r="B3623" i="24"/>
  <c r="C3623" i="24" s="1"/>
  <c r="B3622" i="24"/>
  <c r="C3622" i="24" s="1"/>
  <c r="B3621" i="24"/>
  <c r="C3621" i="24" s="1"/>
  <c r="B3620" i="24"/>
  <c r="C3620" i="24" s="1"/>
  <c r="B3619" i="24"/>
  <c r="C3619" i="24" s="1"/>
  <c r="B3618" i="24"/>
  <c r="C3618" i="24" s="1"/>
  <c r="B3617" i="24"/>
  <c r="C3617" i="24" s="1"/>
  <c r="B3616" i="24"/>
  <c r="C3616" i="24" s="1"/>
  <c r="C3615" i="24"/>
  <c r="B3615" i="24"/>
  <c r="B3614" i="24"/>
  <c r="C3614" i="24" s="1"/>
  <c r="B3613" i="24"/>
  <c r="C3613" i="24" s="1"/>
  <c r="B3612" i="24"/>
  <c r="C3612" i="24" s="1"/>
  <c r="B3611" i="24"/>
  <c r="C3611" i="24" s="1"/>
  <c r="C3610" i="24"/>
  <c r="B3610" i="24"/>
  <c r="C3609" i="24"/>
  <c r="B3609" i="24"/>
  <c r="B3608" i="24"/>
  <c r="C3608" i="24" s="1"/>
  <c r="B3607" i="24"/>
  <c r="C3607" i="24" s="1"/>
  <c r="C3606" i="24"/>
  <c r="B3606" i="24"/>
  <c r="B3605" i="24"/>
  <c r="C3605" i="24" s="1"/>
  <c r="B3604" i="24"/>
  <c r="C3604" i="24" s="1"/>
  <c r="B3603" i="24"/>
  <c r="C3603" i="24" s="1"/>
  <c r="B3602" i="24"/>
  <c r="C3602" i="24" s="1"/>
  <c r="C3601" i="24"/>
  <c r="B3601" i="24"/>
  <c r="B3600" i="24"/>
  <c r="C3600" i="24" s="1"/>
  <c r="B3599" i="24"/>
  <c r="C3599" i="24" s="1"/>
  <c r="B3598" i="24"/>
  <c r="C3598" i="24" s="1"/>
  <c r="C3597" i="24"/>
  <c r="B3597" i="24"/>
  <c r="B3596" i="24"/>
  <c r="C3596" i="24" s="1"/>
  <c r="C3595" i="24"/>
  <c r="B3595" i="24"/>
  <c r="B3594" i="24"/>
  <c r="C3594" i="24" s="1"/>
  <c r="B3593" i="24"/>
  <c r="C3593" i="24" s="1"/>
  <c r="B3592" i="24"/>
  <c r="C3592" i="24" s="1"/>
  <c r="B3591" i="24"/>
  <c r="C3591" i="24" s="1"/>
  <c r="B3590" i="24"/>
  <c r="C3590" i="24" s="1"/>
  <c r="B3589" i="24"/>
  <c r="C3589" i="24" s="1"/>
  <c r="B3588" i="24"/>
  <c r="C3588" i="24" s="1"/>
  <c r="C3587" i="24"/>
  <c r="B3587" i="24"/>
  <c r="C3586" i="24"/>
  <c r="B3586" i="24"/>
  <c r="B3585" i="24"/>
  <c r="C3585" i="24" s="1"/>
  <c r="B3584" i="24"/>
  <c r="C3584" i="24" s="1"/>
  <c r="C3583" i="24"/>
  <c r="B3583" i="24"/>
  <c r="B3582" i="24"/>
  <c r="C3582" i="24" s="1"/>
  <c r="B3581" i="24"/>
  <c r="C3581" i="24" s="1"/>
  <c r="B3580" i="24"/>
  <c r="C3580" i="24" s="1"/>
  <c r="B3579" i="24"/>
  <c r="C3579" i="24" s="1"/>
  <c r="C3578" i="24"/>
  <c r="B3578" i="24"/>
  <c r="C3577" i="24"/>
  <c r="B3577" i="24"/>
  <c r="B3576" i="24"/>
  <c r="C3576" i="24" s="1"/>
  <c r="B3575" i="24"/>
  <c r="C3575" i="24" s="1"/>
  <c r="C3574" i="24"/>
  <c r="B3574" i="24"/>
  <c r="B3573" i="24"/>
  <c r="C3573" i="24" s="1"/>
  <c r="B3572" i="24"/>
  <c r="C3572" i="24" s="1"/>
  <c r="B3571" i="24"/>
  <c r="C3571" i="24" s="1"/>
  <c r="B3570" i="24"/>
  <c r="C3570" i="24" s="1"/>
  <c r="C3569" i="24"/>
  <c r="B3569" i="24"/>
  <c r="B3568" i="24"/>
  <c r="C3568" i="24" s="1"/>
  <c r="B3567" i="24"/>
  <c r="C3567" i="24" s="1"/>
  <c r="B3566" i="24"/>
  <c r="C3566" i="24" s="1"/>
  <c r="C3565" i="24"/>
  <c r="B3565" i="24"/>
  <c r="B3564" i="24"/>
  <c r="C3564" i="24" s="1"/>
  <c r="C3563" i="24"/>
  <c r="B3563" i="24"/>
  <c r="B3562" i="24"/>
  <c r="C3562" i="24" s="1"/>
  <c r="B3561" i="24"/>
  <c r="C3561" i="24" s="1"/>
  <c r="B3560" i="24"/>
  <c r="C3560" i="24" s="1"/>
  <c r="B3559" i="24"/>
  <c r="C3559" i="24" s="1"/>
  <c r="B3558" i="24"/>
  <c r="C3558" i="24" s="1"/>
  <c r="B3557" i="24"/>
  <c r="C3557" i="24" s="1"/>
  <c r="B3556" i="24"/>
  <c r="C3556" i="24" s="1"/>
  <c r="C3555" i="24"/>
  <c r="B3555" i="24"/>
  <c r="C3554" i="24"/>
  <c r="B3554" i="24"/>
  <c r="B3553" i="24"/>
  <c r="C3553" i="24" s="1"/>
  <c r="B3552" i="24"/>
  <c r="C3552" i="24" s="1"/>
  <c r="C3551" i="24"/>
  <c r="B3551" i="24"/>
  <c r="B3550" i="24"/>
  <c r="C3550" i="24" s="1"/>
  <c r="B3549" i="24"/>
  <c r="C3549" i="24" s="1"/>
  <c r="B3548" i="24"/>
  <c r="C3548" i="24" s="1"/>
  <c r="B3547" i="24"/>
  <c r="C3547" i="24" s="1"/>
  <c r="C3546" i="24"/>
  <c r="B3546" i="24"/>
  <c r="C3545" i="24"/>
  <c r="B3545" i="24"/>
  <c r="B3544" i="24"/>
  <c r="C3544" i="24" s="1"/>
  <c r="B3543" i="24"/>
  <c r="C3543" i="24" s="1"/>
  <c r="C3542" i="24"/>
  <c r="B3542" i="24"/>
  <c r="B3541" i="24"/>
  <c r="C3541" i="24" s="1"/>
  <c r="B3540" i="24"/>
  <c r="C3540" i="24" s="1"/>
  <c r="B3539" i="24"/>
  <c r="C3539" i="24" s="1"/>
  <c r="B3538" i="24"/>
  <c r="C3538" i="24" s="1"/>
  <c r="C3537" i="24"/>
  <c r="B3537" i="24"/>
  <c r="B3536" i="24"/>
  <c r="C3536" i="24" s="1"/>
  <c r="B3535" i="24"/>
  <c r="C3535" i="24" s="1"/>
  <c r="B3534" i="24"/>
  <c r="C3534" i="24" s="1"/>
  <c r="C3533" i="24"/>
  <c r="B3533" i="24"/>
  <c r="B3532" i="24"/>
  <c r="C3532" i="24" s="1"/>
  <c r="C3531" i="24"/>
  <c r="B3531" i="24"/>
  <c r="B3530" i="24"/>
  <c r="C3530" i="24" s="1"/>
  <c r="B3529" i="24"/>
  <c r="C3529" i="24" s="1"/>
  <c r="B3528" i="24"/>
  <c r="C3528" i="24" s="1"/>
  <c r="B3527" i="24"/>
  <c r="C3527" i="24" s="1"/>
  <c r="B3526" i="24"/>
  <c r="C3526" i="24" s="1"/>
  <c r="B3525" i="24"/>
  <c r="C3525" i="24" s="1"/>
  <c r="B3524" i="24"/>
  <c r="C3524" i="24" s="1"/>
  <c r="C3523" i="24"/>
  <c r="B3523" i="24"/>
  <c r="C3522" i="24"/>
  <c r="B3522" i="24"/>
  <c r="B3521" i="24"/>
  <c r="C3521" i="24" s="1"/>
  <c r="B3520" i="24"/>
  <c r="C3520" i="24" s="1"/>
  <c r="C3519" i="24"/>
  <c r="B3519" i="24"/>
  <c r="B3518" i="24"/>
  <c r="C3518" i="24" s="1"/>
  <c r="B3517" i="24"/>
  <c r="C3517" i="24" s="1"/>
  <c r="B3516" i="24"/>
  <c r="C3516" i="24" s="1"/>
  <c r="B3515" i="24"/>
  <c r="C3515" i="24" s="1"/>
  <c r="C3514" i="24"/>
  <c r="B3514" i="24"/>
  <c r="C3513" i="24"/>
  <c r="B3513" i="24"/>
  <c r="B3512" i="24"/>
  <c r="C3512" i="24" s="1"/>
  <c r="B3511" i="24"/>
  <c r="C3511" i="24" s="1"/>
  <c r="C3510" i="24"/>
  <c r="B3510" i="24"/>
  <c r="B3509" i="24"/>
  <c r="C3509" i="24" s="1"/>
  <c r="B3508" i="24"/>
  <c r="C3508" i="24" s="1"/>
  <c r="B3507" i="24"/>
  <c r="C3507" i="24" s="1"/>
  <c r="B3506" i="24"/>
  <c r="C3506" i="24" s="1"/>
  <c r="C3505" i="24"/>
  <c r="B3505" i="24"/>
  <c r="C3504" i="24"/>
  <c r="B3504" i="24"/>
  <c r="B3503" i="24"/>
  <c r="C3503" i="24" s="1"/>
  <c r="B3502" i="24"/>
  <c r="C3502" i="24" s="1"/>
  <c r="C3501" i="24"/>
  <c r="B3501" i="24"/>
  <c r="B3500" i="24"/>
  <c r="C3500" i="24" s="1"/>
  <c r="B3499" i="24"/>
  <c r="C3499" i="24" s="1"/>
  <c r="B3498" i="24"/>
  <c r="C3498" i="24" s="1"/>
  <c r="B3497" i="24"/>
  <c r="C3497" i="24" s="1"/>
  <c r="B3496" i="24"/>
  <c r="C3496" i="24" s="1"/>
  <c r="B3495" i="24"/>
  <c r="C3495" i="24" s="1"/>
  <c r="B3494" i="24"/>
  <c r="C3494" i="24" s="1"/>
  <c r="B3493" i="24"/>
  <c r="C3493" i="24" s="1"/>
  <c r="B3492" i="24"/>
  <c r="C3492" i="24" s="1"/>
  <c r="B3491" i="24"/>
  <c r="C3491" i="24" s="1"/>
  <c r="B3490" i="24"/>
  <c r="C3490" i="24" s="1"/>
  <c r="B3489" i="24"/>
  <c r="C3489" i="24" s="1"/>
  <c r="B3488" i="24"/>
  <c r="C3488" i="24" s="1"/>
  <c r="B3487" i="24"/>
  <c r="C3487" i="24" s="1"/>
  <c r="B3486" i="24"/>
  <c r="C3486" i="24" s="1"/>
  <c r="B3485" i="24"/>
  <c r="C3485" i="24" s="1"/>
  <c r="B3484" i="24"/>
  <c r="C3484" i="24" s="1"/>
  <c r="B3483" i="24"/>
  <c r="C3483" i="24" s="1"/>
  <c r="B3482" i="24"/>
  <c r="C3482" i="24" s="1"/>
  <c r="B3481" i="24"/>
  <c r="C3481" i="24" s="1"/>
  <c r="B3480" i="24"/>
  <c r="C3480" i="24" s="1"/>
  <c r="B3479" i="24"/>
  <c r="C3479" i="24" s="1"/>
  <c r="B3478" i="24"/>
  <c r="C3478" i="24" s="1"/>
  <c r="B3477" i="24"/>
  <c r="C3477" i="24" s="1"/>
  <c r="B3476" i="24"/>
  <c r="C3476" i="24" s="1"/>
  <c r="B3475" i="24"/>
  <c r="C3475" i="24" s="1"/>
  <c r="B3474" i="24"/>
  <c r="C3474" i="24" s="1"/>
  <c r="B3473" i="24"/>
  <c r="C3473" i="24" s="1"/>
  <c r="B3472" i="24"/>
  <c r="C3472" i="24" s="1"/>
  <c r="B3471" i="24"/>
  <c r="C3471" i="24" s="1"/>
  <c r="B3470" i="24"/>
  <c r="C3470" i="24" s="1"/>
  <c r="B3469" i="24"/>
  <c r="C3469" i="24" s="1"/>
  <c r="B3468" i="24"/>
  <c r="C3468" i="24" s="1"/>
  <c r="B3467" i="24"/>
  <c r="C3467" i="24" s="1"/>
  <c r="B3466" i="24"/>
  <c r="C3466" i="24" s="1"/>
  <c r="B3465" i="24"/>
  <c r="C3465" i="24" s="1"/>
  <c r="B3464" i="24"/>
  <c r="C3464" i="24" s="1"/>
  <c r="B3463" i="24"/>
  <c r="C3463" i="24" s="1"/>
  <c r="B3462" i="24"/>
  <c r="C3462" i="24" s="1"/>
  <c r="B3461" i="24"/>
  <c r="C3461" i="24" s="1"/>
  <c r="B3460" i="24"/>
  <c r="C3460" i="24" s="1"/>
  <c r="B3459" i="24"/>
  <c r="C3459" i="24" s="1"/>
  <c r="B3458" i="24"/>
  <c r="C3458" i="24" s="1"/>
  <c r="B3457" i="24"/>
  <c r="C3457" i="24" s="1"/>
  <c r="B3456" i="24"/>
  <c r="C3456" i="24" s="1"/>
  <c r="B3455" i="24"/>
  <c r="C3455" i="24" s="1"/>
  <c r="B3454" i="24"/>
  <c r="C3454" i="24" s="1"/>
  <c r="B3453" i="24"/>
  <c r="C3453" i="24" s="1"/>
  <c r="B3452" i="24"/>
  <c r="C3452" i="24" s="1"/>
  <c r="B3451" i="24"/>
  <c r="C3451" i="24" s="1"/>
  <c r="B3450" i="24"/>
  <c r="C3450" i="24" s="1"/>
  <c r="B3449" i="24"/>
  <c r="C3449" i="24" s="1"/>
  <c r="B3448" i="24"/>
  <c r="C3448" i="24" s="1"/>
  <c r="B3447" i="24"/>
  <c r="C3447" i="24" s="1"/>
  <c r="B3446" i="24"/>
  <c r="C3446" i="24" s="1"/>
  <c r="B3445" i="24"/>
  <c r="C3445" i="24" s="1"/>
  <c r="B3444" i="24"/>
  <c r="C3444" i="24" s="1"/>
  <c r="B3443" i="24"/>
  <c r="C3443" i="24" s="1"/>
  <c r="B3442" i="24"/>
  <c r="C3442" i="24" s="1"/>
  <c r="B3441" i="24"/>
  <c r="C3441" i="24" s="1"/>
  <c r="B3440" i="24"/>
  <c r="C3440" i="24" s="1"/>
  <c r="B3439" i="24"/>
  <c r="C3439" i="24" s="1"/>
  <c r="B3438" i="24"/>
  <c r="C3438" i="24" s="1"/>
  <c r="B3437" i="24"/>
  <c r="C3437" i="24" s="1"/>
  <c r="B3436" i="24"/>
  <c r="C3436" i="24" s="1"/>
  <c r="B3435" i="24"/>
  <c r="C3435" i="24" s="1"/>
  <c r="B3434" i="24"/>
  <c r="C3434" i="24" s="1"/>
  <c r="B3433" i="24"/>
  <c r="C3433" i="24" s="1"/>
  <c r="B3432" i="24"/>
  <c r="C3432" i="24" s="1"/>
  <c r="B3431" i="24"/>
  <c r="C3431" i="24" s="1"/>
  <c r="B3430" i="24"/>
  <c r="C3430" i="24" s="1"/>
  <c r="B3429" i="24"/>
  <c r="C3429" i="24" s="1"/>
  <c r="B3428" i="24"/>
  <c r="C3428" i="24" s="1"/>
  <c r="B3427" i="24"/>
  <c r="C3427" i="24" s="1"/>
  <c r="B3426" i="24"/>
  <c r="C3426" i="24" s="1"/>
  <c r="B3425" i="24"/>
  <c r="C3425" i="24" s="1"/>
  <c r="B3424" i="24"/>
  <c r="C3424" i="24" s="1"/>
  <c r="B3423" i="24"/>
  <c r="C3423" i="24" s="1"/>
  <c r="B3422" i="24"/>
  <c r="C3422" i="24" s="1"/>
  <c r="B3421" i="24"/>
  <c r="C3421" i="24" s="1"/>
  <c r="B3420" i="24"/>
  <c r="C3420" i="24" s="1"/>
  <c r="B3419" i="24"/>
  <c r="C3419" i="24" s="1"/>
  <c r="B3418" i="24"/>
  <c r="C3418" i="24" s="1"/>
  <c r="B3417" i="24"/>
  <c r="C3417" i="24" s="1"/>
  <c r="B3416" i="24"/>
  <c r="C3416" i="24" s="1"/>
  <c r="B3415" i="24"/>
  <c r="C3415" i="24" s="1"/>
  <c r="B3414" i="24"/>
  <c r="C3414" i="24" s="1"/>
  <c r="B3413" i="24"/>
  <c r="C3413" i="24" s="1"/>
  <c r="B3412" i="24"/>
  <c r="C3412" i="24" s="1"/>
  <c r="B3411" i="24"/>
  <c r="C3411" i="24" s="1"/>
  <c r="C3410" i="24"/>
  <c r="B3410" i="24"/>
  <c r="B3409" i="24"/>
  <c r="C3409" i="24" s="1"/>
  <c r="B3408" i="24"/>
  <c r="C3408" i="24" s="1"/>
  <c r="B3407" i="24"/>
  <c r="C3407" i="24" s="1"/>
  <c r="B3406" i="24"/>
  <c r="C3406" i="24" s="1"/>
  <c r="B3405" i="24"/>
  <c r="C3405" i="24" s="1"/>
  <c r="B3404" i="24"/>
  <c r="C3404" i="24" s="1"/>
  <c r="B3403" i="24"/>
  <c r="C3403" i="24" s="1"/>
  <c r="B3402" i="24"/>
  <c r="C3402" i="24" s="1"/>
  <c r="B3401" i="24"/>
  <c r="C3401" i="24" s="1"/>
  <c r="B3400" i="24"/>
  <c r="C3400" i="24" s="1"/>
  <c r="B3399" i="24"/>
  <c r="C3399" i="24" s="1"/>
  <c r="B3398" i="24"/>
  <c r="C3398" i="24" s="1"/>
  <c r="B3397" i="24"/>
  <c r="C3397" i="24" s="1"/>
  <c r="B3396" i="24"/>
  <c r="C3396" i="24" s="1"/>
  <c r="B3395" i="24"/>
  <c r="C3395" i="24" s="1"/>
  <c r="C3394" i="24"/>
  <c r="B3394" i="24"/>
  <c r="B3393" i="24"/>
  <c r="C3393" i="24" s="1"/>
  <c r="B3392" i="24"/>
  <c r="C3392" i="24" s="1"/>
  <c r="B3391" i="24"/>
  <c r="C3391" i="24" s="1"/>
  <c r="B3390" i="24"/>
  <c r="C3390" i="24" s="1"/>
  <c r="B3389" i="24"/>
  <c r="C3389" i="24" s="1"/>
  <c r="B3388" i="24"/>
  <c r="C3388" i="24" s="1"/>
  <c r="B3387" i="24"/>
  <c r="C3387" i="24" s="1"/>
  <c r="B3386" i="24"/>
  <c r="C3386" i="24" s="1"/>
  <c r="B3385" i="24"/>
  <c r="C3385" i="24" s="1"/>
  <c r="B3384" i="24"/>
  <c r="C3384" i="24" s="1"/>
  <c r="B3383" i="24"/>
  <c r="C3383" i="24" s="1"/>
  <c r="C3382" i="24"/>
  <c r="B3382" i="24"/>
  <c r="B3381" i="24"/>
  <c r="C3381" i="24" s="1"/>
  <c r="B3380" i="24"/>
  <c r="C3380" i="24" s="1"/>
  <c r="B3379" i="24"/>
  <c r="C3379" i="24" s="1"/>
  <c r="C3378" i="24"/>
  <c r="B3378" i="24"/>
  <c r="B3377" i="24"/>
  <c r="C3377" i="24" s="1"/>
  <c r="B3376" i="24"/>
  <c r="C3376" i="24" s="1"/>
  <c r="B3375" i="24"/>
  <c r="C3375" i="24" s="1"/>
  <c r="B3374" i="24"/>
  <c r="C3374" i="24" s="1"/>
  <c r="B3373" i="24"/>
  <c r="C3373" i="24" s="1"/>
  <c r="B3372" i="24"/>
  <c r="C3372" i="24" s="1"/>
  <c r="B3371" i="24"/>
  <c r="C3371" i="24" s="1"/>
  <c r="B3370" i="24"/>
  <c r="C3370" i="24" s="1"/>
  <c r="B3369" i="24"/>
  <c r="C3369" i="24" s="1"/>
  <c r="B3368" i="24"/>
  <c r="C3368" i="24" s="1"/>
  <c r="B3367" i="24"/>
  <c r="C3367" i="24" s="1"/>
  <c r="B3366" i="24"/>
  <c r="C3366" i="24" s="1"/>
  <c r="B3365" i="24"/>
  <c r="C3365" i="24" s="1"/>
  <c r="B3364" i="24"/>
  <c r="C3364" i="24" s="1"/>
  <c r="B3363" i="24"/>
  <c r="C3363" i="24" s="1"/>
  <c r="C3362" i="24"/>
  <c r="B3362" i="24"/>
  <c r="B3361" i="24"/>
  <c r="C3361" i="24" s="1"/>
  <c r="B3360" i="24"/>
  <c r="C3360" i="24" s="1"/>
  <c r="B3359" i="24"/>
  <c r="C3359" i="24" s="1"/>
  <c r="B3358" i="24"/>
  <c r="C3358" i="24" s="1"/>
  <c r="B3357" i="24"/>
  <c r="C3357" i="24" s="1"/>
  <c r="B3356" i="24"/>
  <c r="C3356" i="24" s="1"/>
  <c r="B3355" i="24"/>
  <c r="C3355" i="24" s="1"/>
  <c r="B3354" i="24"/>
  <c r="C3354" i="24" s="1"/>
  <c r="B3353" i="24"/>
  <c r="C3353" i="24" s="1"/>
  <c r="B3352" i="24"/>
  <c r="C3352" i="24" s="1"/>
  <c r="B3351" i="24"/>
  <c r="C3351" i="24" s="1"/>
  <c r="C3350" i="24"/>
  <c r="B3350" i="24"/>
  <c r="B3349" i="24"/>
  <c r="C3349" i="24" s="1"/>
  <c r="B3348" i="24"/>
  <c r="C3348" i="24" s="1"/>
  <c r="B3347" i="24"/>
  <c r="C3347" i="24" s="1"/>
  <c r="C3346" i="24"/>
  <c r="B3346" i="24"/>
  <c r="B3345" i="24"/>
  <c r="C3345" i="24" s="1"/>
  <c r="B3344" i="24"/>
  <c r="C3344" i="24" s="1"/>
  <c r="B3343" i="24"/>
  <c r="C3343" i="24" s="1"/>
  <c r="B3342" i="24"/>
  <c r="C3342" i="24" s="1"/>
  <c r="B3341" i="24"/>
  <c r="C3341" i="24" s="1"/>
  <c r="B3340" i="24"/>
  <c r="C3340" i="24" s="1"/>
  <c r="B3339" i="24"/>
  <c r="C3339" i="24" s="1"/>
  <c r="B3338" i="24"/>
  <c r="C3338" i="24" s="1"/>
  <c r="B3337" i="24"/>
  <c r="C3337" i="24" s="1"/>
  <c r="B3336" i="24"/>
  <c r="C3336" i="24" s="1"/>
  <c r="B3335" i="24"/>
  <c r="C3335" i="24" s="1"/>
  <c r="B3334" i="24"/>
  <c r="C3334" i="24" s="1"/>
  <c r="B3333" i="24"/>
  <c r="C3333" i="24" s="1"/>
  <c r="B3332" i="24"/>
  <c r="C3332" i="24" s="1"/>
  <c r="B3331" i="24"/>
  <c r="C3331" i="24" s="1"/>
  <c r="C3330" i="24"/>
  <c r="B3330" i="24"/>
  <c r="B3329" i="24"/>
  <c r="C3329" i="24" s="1"/>
  <c r="B3328" i="24"/>
  <c r="C3328" i="24" s="1"/>
  <c r="B3327" i="24"/>
  <c r="C3327" i="24" s="1"/>
  <c r="B3326" i="24"/>
  <c r="C3326" i="24" s="1"/>
  <c r="B3325" i="24"/>
  <c r="C3325" i="24" s="1"/>
  <c r="B3324" i="24"/>
  <c r="C3324" i="24" s="1"/>
  <c r="B3323" i="24"/>
  <c r="C3323" i="24" s="1"/>
  <c r="B3322" i="24"/>
  <c r="C3322" i="24" s="1"/>
  <c r="B3321" i="24"/>
  <c r="C3321" i="24" s="1"/>
  <c r="B3320" i="24"/>
  <c r="C3320" i="24" s="1"/>
  <c r="B3319" i="24"/>
  <c r="C3319" i="24" s="1"/>
  <c r="C3318" i="24"/>
  <c r="B3318" i="24"/>
  <c r="B3317" i="24"/>
  <c r="C3317" i="24" s="1"/>
  <c r="B3316" i="24"/>
  <c r="C3316" i="24" s="1"/>
  <c r="B3315" i="24"/>
  <c r="C3315" i="24" s="1"/>
  <c r="C3314" i="24"/>
  <c r="B3314" i="24"/>
  <c r="B3313" i="24"/>
  <c r="C3313" i="24" s="1"/>
  <c r="B3312" i="24"/>
  <c r="C3312" i="24" s="1"/>
  <c r="B3311" i="24"/>
  <c r="C3311" i="24" s="1"/>
  <c r="B3310" i="24"/>
  <c r="C3310" i="24" s="1"/>
  <c r="B3309" i="24"/>
  <c r="C3309" i="24" s="1"/>
  <c r="B3308" i="24"/>
  <c r="C3308" i="24" s="1"/>
  <c r="B3307" i="24"/>
  <c r="C3307" i="24" s="1"/>
  <c r="B3306" i="24"/>
  <c r="C3306" i="24" s="1"/>
  <c r="B3305" i="24"/>
  <c r="C3305" i="24" s="1"/>
  <c r="B3304" i="24"/>
  <c r="C3304" i="24" s="1"/>
  <c r="B3303" i="24"/>
  <c r="C3303" i="24" s="1"/>
  <c r="B3302" i="24"/>
  <c r="C3302" i="24" s="1"/>
  <c r="B3301" i="24"/>
  <c r="C3301" i="24" s="1"/>
  <c r="B3300" i="24"/>
  <c r="C3300" i="24" s="1"/>
  <c r="B3299" i="24"/>
  <c r="C3299" i="24" s="1"/>
  <c r="C3298" i="24"/>
  <c r="B3298" i="24"/>
  <c r="B3297" i="24"/>
  <c r="C3297" i="24" s="1"/>
  <c r="B3296" i="24"/>
  <c r="C3296" i="24" s="1"/>
  <c r="B3295" i="24"/>
  <c r="C3295" i="24" s="1"/>
  <c r="B3294" i="24"/>
  <c r="C3294" i="24" s="1"/>
  <c r="B3293" i="24"/>
  <c r="C3293" i="24" s="1"/>
  <c r="B3292" i="24"/>
  <c r="C3292" i="24" s="1"/>
  <c r="B3291" i="24"/>
  <c r="C3291" i="24" s="1"/>
  <c r="B3290" i="24"/>
  <c r="C3290" i="24" s="1"/>
  <c r="B3289" i="24"/>
  <c r="C3289" i="24" s="1"/>
  <c r="B3288" i="24"/>
  <c r="C3288" i="24" s="1"/>
  <c r="B3287" i="24"/>
  <c r="C3287" i="24" s="1"/>
  <c r="C3286" i="24"/>
  <c r="B3286" i="24"/>
  <c r="B3285" i="24"/>
  <c r="C3285" i="24" s="1"/>
  <c r="B3284" i="24"/>
  <c r="C3284" i="24" s="1"/>
  <c r="B3283" i="24"/>
  <c r="C3283" i="24" s="1"/>
  <c r="C3282" i="24"/>
  <c r="B3282" i="24"/>
  <c r="B3281" i="24"/>
  <c r="C3281" i="24" s="1"/>
  <c r="B3280" i="24"/>
  <c r="C3280" i="24" s="1"/>
  <c r="B3279" i="24"/>
  <c r="C3279" i="24" s="1"/>
  <c r="B3278" i="24"/>
  <c r="C3278" i="24" s="1"/>
  <c r="B3277" i="24"/>
  <c r="C3277" i="24" s="1"/>
  <c r="B3276" i="24"/>
  <c r="C3276" i="24" s="1"/>
  <c r="B3275" i="24"/>
  <c r="C3275" i="24" s="1"/>
  <c r="B3274" i="24"/>
  <c r="C3274" i="24" s="1"/>
  <c r="B3273" i="24"/>
  <c r="C3273" i="24" s="1"/>
  <c r="B3272" i="24"/>
  <c r="C3272" i="24" s="1"/>
  <c r="B3271" i="24"/>
  <c r="C3271" i="24" s="1"/>
  <c r="B3270" i="24"/>
  <c r="C3270" i="24" s="1"/>
  <c r="B3269" i="24"/>
  <c r="C3269" i="24" s="1"/>
  <c r="B3268" i="24"/>
  <c r="C3268" i="24" s="1"/>
  <c r="B3267" i="24"/>
  <c r="C3267" i="24" s="1"/>
  <c r="C3266" i="24"/>
  <c r="B3266" i="24"/>
  <c r="B3265" i="24"/>
  <c r="C3265" i="24" s="1"/>
  <c r="B3264" i="24"/>
  <c r="C3264" i="24" s="1"/>
  <c r="B3263" i="24"/>
  <c r="C3263" i="24" s="1"/>
  <c r="B3262" i="24"/>
  <c r="C3262" i="24" s="1"/>
  <c r="B3261" i="24"/>
  <c r="C3261" i="24" s="1"/>
  <c r="B3260" i="24"/>
  <c r="C3260" i="24" s="1"/>
  <c r="B3259" i="24"/>
  <c r="C3259" i="24" s="1"/>
  <c r="B3258" i="24"/>
  <c r="C3258" i="24" s="1"/>
  <c r="B3257" i="24"/>
  <c r="C3257" i="24" s="1"/>
  <c r="B3256" i="24"/>
  <c r="C3256" i="24" s="1"/>
  <c r="B3255" i="24"/>
  <c r="C3255" i="24" s="1"/>
  <c r="C3254" i="24"/>
  <c r="B3254" i="24"/>
  <c r="B3253" i="24"/>
  <c r="C3253" i="24" s="1"/>
  <c r="B3252" i="24"/>
  <c r="C3252" i="24" s="1"/>
  <c r="B3251" i="24"/>
  <c r="C3251" i="24" s="1"/>
  <c r="C3250" i="24"/>
  <c r="B3250" i="24"/>
  <c r="B3249" i="24"/>
  <c r="C3249" i="24" s="1"/>
  <c r="B3248" i="24"/>
  <c r="C3248" i="24" s="1"/>
  <c r="B3247" i="24"/>
  <c r="C3247" i="24" s="1"/>
  <c r="B3246" i="24"/>
  <c r="C3246" i="24" s="1"/>
  <c r="B3245" i="24"/>
  <c r="C3245" i="24" s="1"/>
  <c r="B3244" i="24"/>
  <c r="C3244" i="24" s="1"/>
  <c r="B3243" i="24"/>
  <c r="C3243" i="24" s="1"/>
  <c r="C3242" i="24"/>
  <c r="B3242" i="24"/>
  <c r="B3241" i="24"/>
  <c r="C3241" i="24" s="1"/>
  <c r="B3240" i="24"/>
  <c r="C3240" i="24" s="1"/>
  <c r="B3239" i="24"/>
  <c r="C3239" i="24" s="1"/>
  <c r="B3238" i="24"/>
  <c r="C3238" i="24" s="1"/>
  <c r="B3237" i="24"/>
  <c r="C3237" i="24" s="1"/>
  <c r="B3236" i="24"/>
  <c r="C3236" i="24" s="1"/>
  <c r="B3235" i="24"/>
  <c r="C3235" i="24" s="1"/>
  <c r="B3234" i="24"/>
  <c r="C3234" i="24" s="1"/>
  <c r="B3233" i="24"/>
  <c r="C3233" i="24" s="1"/>
  <c r="B3232" i="24"/>
  <c r="C3232" i="24" s="1"/>
  <c r="C3231" i="24"/>
  <c r="B3231" i="24"/>
  <c r="B3230" i="24"/>
  <c r="C3230" i="24" s="1"/>
  <c r="B3229" i="24"/>
  <c r="C3229" i="24" s="1"/>
  <c r="B3228" i="24"/>
  <c r="C3228" i="24" s="1"/>
  <c r="B3227" i="24"/>
  <c r="C3227" i="24" s="1"/>
  <c r="B3226" i="24"/>
  <c r="C3226" i="24" s="1"/>
  <c r="B3225" i="24"/>
  <c r="C3225" i="24" s="1"/>
  <c r="B3224" i="24"/>
  <c r="C3224" i="24" s="1"/>
  <c r="B3223" i="24"/>
  <c r="C3223" i="24" s="1"/>
  <c r="B3222" i="24"/>
  <c r="C3222" i="24" s="1"/>
  <c r="B3221" i="24"/>
  <c r="C3221" i="24" s="1"/>
  <c r="B3220" i="24"/>
  <c r="C3220" i="24" s="1"/>
  <c r="B3219" i="24"/>
  <c r="C3219" i="24" s="1"/>
  <c r="B3218" i="24"/>
  <c r="C3218" i="24" s="1"/>
  <c r="B3217" i="24"/>
  <c r="C3217" i="24" s="1"/>
  <c r="B3216" i="24"/>
  <c r="C3216" i="24" s="1"/>
  <c r="B3215" i="24"/>
  <c r="C3215" i="24" s="1"/>
  <c r="B3214" i="24"/>
  <c r="C3214" i="24" s="1"/>
  <c r="B3213" i="24"/>
  <c r="C3213" i="24" s="1"/>
  <c r="B3212" i="24"/>
  <c r="C3212" i="24" s="1"/>
  <c r="B3211" i="24"/>
  <c r="C3211" i="24" s="1"/>
  <c r="B3210" i="24"/>
  <c r="C3210" i="24" s="1"/>
  <c r="B3209" i="24"/>
  <c r="C3209" i="24" s="1"/>
  <c r="B3208" i="24"/>
  <c r="C3208" i="24" s="1"/>
  <c r="B3207" i="24"/>
  <c r="C3207" i="24" s="1"/>
  <c r="B3206" i="24"/>
  <c r="C3206" i="24" s="1"/>
  <c r="B3205" i="24"/>
  <c r="C3205" i="24" s="1"/>
  <c r="C3204" i="24"/>
  <c r="B3204" i="24"/>
  <c r="C3203" i="24"/>
  <c r="B3203" i="24"/>
  <c r="C3202" i="24"/>
  <c r="B3202" i="24"/>
  <c r="B3201" i="24"/>
  <c r="C3201" i="24" s="1"/>
  <c r="B3200" i="24"/>
  <c r="C3200" i="24" s="1"/>
  <c r="B3199" i="24"/>
  <c r="C3199" i="24" s="1"/>
  <c r="B3198" i="24"/>
  <c r="C3198" i="24" s="1"/>
  <c r="B3197" i="24"/>
  <c r="C3197" i="24" s="1"/>
  <c r="B3196" i="24"/>
  <c r="C3196" i="24" s="1"/>
  <c r="C3195" i="24"/>
  <c r="B3195" i="24"/>
  <c r="C3194" i="24"/>
  <c r="B3194" i="24"/>
  <c r="B3193" i="24"/>
  <c r="C3193" i="24" s="1"/>
  <c r="B3192" i="24"/>
  <c r="C3192" i="24" s="1"/>
  <c r="B3191" i="24"/>
  <c r="C3191" i="24" s="1"/>
  <c r="B3190" i="24"/>
  <c r="C3190" i="24" s="1"/>
  <c r="B3189" i="24"/>
  <c r="C3189" i="24" s="1"/>
  <c r="C3188" i="24"/>
  <c r="B3188" i="24"/>
  <c r="B3187" i="24"/>
  <c r="C3187" i="24" s="1"/>
  <c r="C3186" i="24"/>
  <c r="B3186" i="24"/>
  <c r="B3185" i="24"/>
  <c r="C3185" i="24" s="1"/>
  <c r="B3184" i="24"/>
  <c r="C3184" i="24" s="1"/>
  <c r="B3183" i="24"/>
  <c r="C3183" i="24" s="1"/>
  <c r="B3182" i="24"/>
  <c r="C3182" i="24" s="1"/>
  <c r="B3181" i="24"/>
  <c r="C3181" i="24" s="1"/>
  <c r="C3180" i="24"/>
  <c r="B3180" i="24"/>
  <c r="C3179" i="24"/>
  <c r="B3179" i="24"/>
  <c r="B3178" i="24"/>
  <c r="C3178" i="24" s="1"/>
  <c r="B3177" i="24"/>
  <c r="C3177" i="24" s="1"/>
  <c r="B3176" i="24"/>
  <c r="C3176" i="24" s="1"/>
  <c r="B3175" i="24"/>
  <c r="C3175" i="24" s="1"/>
  <c r="B3174" i="24"/>
  <c r="C3174" i="24" s="1"/>
  <c r="B3173" i="24"/>
  <c r="C3173" i="24" s="1"/>
  <c r="C3172" i="24"/>
  <c r="B3172" i="24"/>
  <c r="C3171" i="24"/>
  <c r="B3171" i="24"/>
  <c r="C3170" i="24"/>
  <c r="B3170" i="24"/>
  <c r="B3169" i="24"/>
  <c r="C3169" i="24" s="1"/>
  <c r="B3168" i="24"/>
  <c r="C3168" i="24" s="1"/>
  <c r="B3167" i="24"/>
  <c r="C3167" i="24" s="1"/>
  <c r="B3166" i="24"/>
  <c r="C3166" i="24" s="1"/>
  <c r="B3165" i="24"/>
  <c r="C3165" i="24" s="1"/>
  <c r="B3164" i="24"/>
  <c r="C3164" i="24" s="1"/>
  <c r="C3163" i="24"/>
  <c r="B3163" i="24"/>
  <c r="C3162" i="24"/>
  <c r="B3162" i="24"/>
  <c r="B3161" i="24"/>
  <c r="C3161" i="24" s="1"/>
  <c r="B3160" i="24"/>
  <c r="C3160" i="24" s="1"/>
  <c r="B3159" i="24"/>
  <c r="C3159" i="24" s="1"/>
  <c r="B3158" i="24"/>
  <c r="C3158" i="24" s="1"/>
  <c r="B3157" i="24"/>
  <c r="C3157" i="24" s="1"/>
  <c r="C3156" i="24"/>
  <c r="B3156" i="24"/>
  <c r="B3155" i="24"/>
  <c r="C3155" i="24" s="1"/>
  <c r="C3154" i="24"/>
  <c r="B3154" i="24"/>
  <c r="B3153" i="24"/>
  <c r="C3153" i="24" s="1"/>
  <c r="B3152" i="24"/>
  <c r="C3152" i="24" s="1"/>
  <c r="B3151" i="24"/>
  <c r="C3151" i="24" s="1"/>
  <c r="B3150" i="24"/>
  <c r="C3150" i="24" s="1"/>
  <c r="B3149" i="24"/>
  <c r="C3149" i="24" s="1"/>
  <c r="C3148" i="24"/>
  <c r="B3148" i="24"/>
  <c r="C3147" i="24"/>
  <c r="B3147" i="24"/>
  <c r="B3146" i="24"/>
  <c r="C3146" i="24" s="1"/>
  <c r="B3145" i="24"/>
  <c r="C3145" i="24" s="1"/>
  <c r="B3144" i="24"/>
  <c r="C3144" i="24" s="1"/>
  <c r="B3143" i="24"/>
  <c r="C3143" i="24" s="1"/>
  <c r="B3142" i="24"/>
  <c r="C3142" i="24" s="1"/>
  <c r="B3141" i="24"/>
  <c r="C3141" i="24" s="1"/>
  <c r="C3140" i="24"/>
  <c r="B3140" i="24"/>
  <c r="C3139" i="24"/>
  <c r="B3139" i="24"/>
  <c r="C3138" i="24"/>
  <c r="B3138" i="24"/>
  <c r="B3137" i="24"/>
  <c r="C3137" i="24" s="1"/>
  <c r="B3136" i="24"/>
  <c r="C3136" i="24" s="1"/>
  <c r="B3135" i="24"/>
  <c r="C3135" i="24" s="1"/>
  <c r="B3134" i="24"/>
  <c r="C3134" i="24" s="1"/>
  <c r="B3133" i="24"/>
  <c r="C3133" i="24" s="1"/>
  <c r="B3132" i="24"/>
  <c r="C3132" i="24" s="1"/>
  <c r="C3131" i="24"/>
  <c r="B3131" i="24"/>
  <c r="C3130" i="24"/>
  <c r="B3130" i="24"/>
  <c r="B3129" i="24"/>
  <c r="C3129" i="24" s="1"/>
  <c r="B3128" i="24"/>
  <c r="C3128" i="24" s="1"/>
  <c r="B3127" i="24"/>
  <c r="C3127" i="24" s="1"/>
  <c r="B3126" i="24"/>
  <c r="C3126" i="24" s="1"/>
  <c r="B3125" i="24"/>
  <c r="C3125" i="24" s="1"/>
  <c r="C3124" i="24"/>
  <c r="B3124" i="24"/>
  <c r="B3123" i="24"/>
  <c r="C3123" i="24" s="1"/>
  <c r="C3122" i="24"/>
  <c r="B3122" i="24"/>
  <c r="B3121" i="24"/>
  <c r="C3121" i="24" s="1"/>
  <c r="B3120" i="24"/>
  <c r="C3120" i="24" s="1"/>
  <c r="B3119" i="24"/>
  <c r="C3119" i="24" s="1"/>
  <c r="B3118" i="24"/>
  <c r="C3118" i="24" s="1"/>
  <c r="B3117" i="24"/>
  <c r="C3117" i="24" s="1"/>
  <c r="C3116" i="24"/>
  <c r="B3116" i="24"/>
  <c r="C3115" i="24"/>
  <c r="B3115" i="24"/>
  <c r="B3114" i="24"/>
  <c r="C3114" i="24" s="1"/>
  <c r="B3113" i="24"/>
  <c r="C3113" i="24" s="1"/>
  <c r="B3112" i="24"/>
  <c r="C3112" i="24" s="1"/>
  <c r="B3111" i="24"/>
  <c r="C3111" i="24" s="1"/>
  <c r="B3110" i="24"/>
  <c r="C3110" i="24" s="1"/>
  <c r="B3109" i="24"/>
  <c r="C3109" i="24" s="1"/>
  <c r="C3108" i="24"/>
  <c r="B3108" i="24"/>
  <c r="C3107" i="24"/>
  <c r="B3107" i="24"/>
  <c r="C3106" i="24"/>
  <c r="B3106" i="24"/>
  <c r="B3105" i="24"/>
  <c r="C3105" i="24" s="1"/>
  <c r="B3104" i="24"/>
  <c r="C3104" i="24" s="1"/>
  <c r="B3103" i="24"/>
  <c r="C3103" i="24" s="1"/>
  <c r="B3102" i="24"/>
  <c r="C3102" i="24" s="1"/>
  <c r="B3101" i="24"/>
  <c r="C3101" i="24" s="1"/>
  <c r="B3100" i="24"/>
  <c r="C3100" i="24" s="1"/>
  <c r="C3099" i="24"/>
  <c r="B3099" i="24"/>
  <c r="C3098" i="24"/>
  <c r="B3098" i="24"/>
  <c r="B3097" i="24"/>
  <c r="C3097" i="24" s="1"/>
  <c r="B3096" i="24"/>
  <c r="C3096" i="24" s="1"/>
  <c r="B3095" i="24"/>
  <c r="C3095" i="24" s="1"/>
  <c r="B3094" i="24"/>
  <c r="C3094" i="24" s="1"/>
  <c r="B3093" i="24"/>
  <c r="C3093" i="24" s="1"/>
  <c r="C3092" i="24"/>
  <c r="B3092" i="24"/>
  <c r="B3091" i="24"/>
  <c r="C3091" i="24" s="1"/>
  <c r="C3090" i="24"/>
  <c r="B3090" i="24"/>
  <c r="B3089" i="24"/>
  <c r="C3089" i="24" s="1"/>
  <c r="B3088" i="24"/>
  <c r="C3088" i="24" s="1"/>
  <c r="B3087" i="24"/>
  <c r="C3087" i="24" s="1"/>
  <c r="B3086" i="24"/>
  <c r="C3086" i="24" s="1"/>
  <c r="B3085" i="24"/>
  <c r="C3085" i="24" s="1"/>
  <c r="C3084" i="24"/>
  <c r="B3084" i="24"/>
  <c r="C3083" i="24"/>
  <c r="B3083" i="24"/>
  <c r="B3082" i="24"/>
  <c r="C3082" i="24" s="1"/>
  <c r="B3081" i="24"/>
  <c r="C3081" i="24" s="1"/>
  <c r="B3080" i="24"/>
  <c r="C3080" i="24" s="1"/>
  <c r="B3079" i="24"/>
  <c r="C3079" i="24" s="1"/>
  <c r="B3078" i="24"/>
  <c r="C3078" i="24" s="1"/>
  <c r="B3077" i="24"/>
  <c r="C3077" i="24" s="1"/>
  <c r="C3076" i="24"/>
  <c r="B3076" i="24"/>
  <c r="C3075" i="24"/>
  <c r="B3075" i="24"/>
  <c r="C3074" i="24"/>
  <c r="B3074" i="24"/>
  <c r="B3073" i="24"/>
  <c r="C3073" i="24" s="1"/>
  <c r="B3072" i="24"/>
  <c r="C3072" i="24" s="1"/>
  <c r="B3071" i="24"/>
  <c r="C3071" i="24" s="1"/>
  <c r="B3070" i="24"/>
  <c r="C3070" i="24" s="1"/>
  <c r="B3069" i="24"/>
  <c r="C3069" i="24" s="1"/>
  <c r="B3068" i="24"/>
  <c r="C3068" i="24" s="1"/>
  <c r="C3067" i="24"/>
  <c r="B3067" i="24"/>
  <c r="C3066" i="24"/>
  <c r="B3066" i="24"/>
  <c r="B3065" i="24"/>
  <c r="C3065" i="24" s="1"/>
  <c r="B3064" i="24"/>
  <c r="C3064" i="24" s="1"/>
  <c r="B3063" i="24"/>
  <c r="C3063" i="24" s="1"/>
  <c r="B3062" i="24"/>
  <c r="C3062" i="24" s="1"/>
  <c r="B3061" i="24"/>
  <c r="C3061" i="24" s="1"/>
  <c r="C3060" i="24"/>
  <c r="B3060" i="24"/>
  <c r="B3059" i="24"/>
  <c r="C3059" i="24" s="1"/>
  <c r="C3058" i="24"/>
  <c r="B3058" i="24"/>
  <c r="B3057" i="24"/>
  <c r="C3057" i="24" s="1"/>
  <c r="B3056" i="24"/>
  <c r="C3056" i="24" s="1"/>
  <c r="B3055" i="24"/>
  <c r="C3055" i="24" s="1"/>
  <c r="B3054" i="24"/>
  <c r="C3054" i="24" s="1"/>
  <c r="B3053" i="24"/>
  <c r="C3053" i="24" s="1"/>
  <c r="C3052" i="24"/>
  <c r="B3052" i="24"/>
  <c r="C3051" i="24"/>
  <c r="B3051" i="24"/>
  <c r="B3050" i="24"/>
  <c r="C3050" i="24" s="1"/>
  <c r="B3049" i="24"/>
  <c r="C3049" i="24" s="1"/>
  <c r="B3048" i="24"/>
  <c r="C3048" i="24" s="1"/>
  <c r="B3047" i="24"/>
  <c r="C3047" i="24" s="1"/>
  <c r="B3046" i="24"/>
  <c r="C3046" i="24" s="1"/>
  <c r="B3045" i="24"/>
  <c r="C3045" i="24" s="1"/>
  <c r="C3044" i="24"/>
  <c r="B3044" i="24"/>
  <c r="C3043" i="24"/>
  <c r="B3043" i="24"/>
  <c r="C3042" i="24"/>
  <c r="B3042" i="24"/>
  <c r="B3041" i="24"/>
  <c r="C3041" i="24" s="1"/>
  <c r="B3040" i="24"/>
  <c r="C3040" i="24" s="1"/>
  <c r="B3039" i="24"/>
  <c r="C3039" i="24" s="1"/>
  <c r="B3038" i="24"/>
  <c r="C3038" i="24" s="1"/>
  <c r="B3037" i="24"/>
  <c r="C3037" i="24" s="1"/>
  <c r="B3036" i="24"/>
  <c r="C3036" i="24" s="1"/>
  <c r="C3035" i="24"/>
  <c r="B3035" i="24"/>
  <c r="C3034" i="24"/>
  <c r="B3034" i="24"/>
  <c r="B3033" i="24"/>
  <c r="C3033" i="24" s="1"/>
  <c r="B3032" i="24"/>
  <c r="C3032" i="24" s="1"/>
  <c r="B3031" i="24"/>
  <c r="C3031" i="24" s="1"/>
  <c r="B3030" i="24"/>
  <c r="C3030" i="24" s="1"/>
  <c r="B3029" i="24"/>
  <c r="C3029" i="24" s="1"/>
  <c r="C3028" i="24"/>
  <c r="B3028" i="24"/>
  <c r="B3027" i="24"/>
  <c r="C3027" i="24" s="1"/>
  <c r="C3026" i="24"/>
  <c r="B3026" i="24"/>
  <c r="B3025" i="24"/>
  <c r="C3025" i="24" s="1"/>
  <c r="B3024" i="24"/>
  <c r="C3024" i="24" s="1"/>
  <c r="B3023" i="24"/>
  <c r="C3023" i="24" s="1"/>
  <c r="B3022" i="24"/>
  <c r="C3022" i="24" s="1"/>
  <c r="B3021" i="24"/>
  <c r="C3021" i="24" s="1"/>
  <c r="C3020" i="24"/>
  <c r="B3020" i="24"/>
  <c r="C3019" i="24"/>
  <c r="B3019" i="24"/>
  <c r="B3018" i="24"/>
  <c r="C3018" i="24" s="1"/>
  <c r="B3017" i="24"/>
  <c r="C3017" i="24" s="1"/>
  <c r="B3016" i="24"/>
  <c r="C3016" i="24" s="1"/>
  <c r="B3015" i="24"/>
  <c r="C3015" i="24" s="1"/>
  <c r="B3014" i="24"/>
  <c r="C3014" i="24" s="1"/>
  <c r="B3013" i="24"/>
  <c r="C3013" i="24" s="1"/>
  <c r="C3012" i="24"/>
  <c r="B3012" i="24"/>
  <c r="C3011" i="24"/>
  <c r="B3011" i="24"/>
  <c r="C3010" i="24"/>
  <c r="B3010" i="24"/>
  <c r="B3009" i="24"/>
  <c r="C3009" i="24" s="1"/>
  <c r="C3008" i="24"/>
  <c r="B3008" i="24"/>
  <c r="C3007" i="24"/>
  <c r="B3007" i="24"/>
  <c r="C3006" i="24"/>
  <c r="B3006" i="24"/>
  <c r="B3005" i="24"/>
  <c r="C3005" i="24" s="1"/>
  <c r="C3004" i="24"/>
  <c r="B3004" i="24"/>
  <c r="C3003" i="24"/>
  <c r="B3003" i="24"/>
  <c r="C3002" i="24"/>
  <c r="B3002" i="24"/>
  <c r="B3001" i="24"/>
  <c r="C3001" i="24" s="1"/>
  <c r="C3000" i="24"/>
  <c r="B3000" i="24"/>
  <c r="B2999" i="24"/>
  <c r="C2999" i="24" s="1"/>
  <c r="C2998" i="24"/>
  <c r="B2998" i="24"/>
  <c r="B2997" i="24"/>
  <c r="C2997" i="24" s="1"/>
  <c r="C2996" i="24"/>
  <c r="B2996" i="24"/>
  <c r="B2995" i="24"/>
  <c r="C2995" i="24" s="1"/>
  <c r="C2994" i="24"/>
  <c r="B2994" i="24"/>
  <c r="B2993" i="24"/>
  <c r="C2993" i="24" s="1"/>
  <c r="C2992" i="24"/>
  <c r="B2992" i="24"/>
  <c r="B2991" i="24"/>
  <c r="C2991" i="24" s="1"/>
  <c r="C2990" i="24"/>
  <c r="B2990" i="24"/>
  <c r="B2989" i="24"/>
  <c r="C2989" i="24" s="1"/>
  <c r="C2988" i="24"/>
  <c r="B2988" i="24"/>
  <c r="B2987" i="24"/>
  <c r="C2987" i="24" s="1"/>
  <c r="C2986" i="24"/>
  <c r="B2986" i="24"/>
  <c r="B2985" i="24"/>
  <c r="C2985" i="24" s="1"/>
  <c r="C2984" i="24"/>
  <c r="B2984" i="24"/>
  <c r="B2983" i="24"/>
  <c r="C2983" i="24" s="1"/>
  <c r="C2982" i="24"/>
  <c r="B2982" i="24"/>
  <c r="B2981" i="24"/>
  <c r="C2981" i="24" s="1"/>
  <c r="C2980" i="24"/>
  <c r="B2980" i="24"/>
  <c r="B2979" i="24"/>
  <c r="C2979" i="24" s="1"/>
  <c r="C2978" i="24"/>
  <c r="B2978" i="24"/>
  <c r="B2977" i="24"/>
  <c r="C2977" i="24" s="1"/>
  <c r="C2976" i="24"/>
  <c r="B2976" i="24"/>
  <c r="B2975" i="24"/>
  <c r="C2975" i="24" s="1"/>
  <c r="C2974" i="24"/>
  <c r="B2974" i="24"/>
  <c r="B2973" i="24"/>
  <c r="C2973" i="24" s="1"/>
  <c r="B2972" i="24"/>
  <c r="C2972" i="24" s="1"/>
  <c r="B2971" i="24"/>
  <c r="C2971" i="24" s="1"/>
  <c r="C2970" i="24"/>
  <c r="B2970" i="24"/>
  <c r="B2969" i="24"/>
  <c r="C2969" i="24" s="1"/>
  <c r="B2968" i="24"/>
  <c r="C2968" i="24" s="1"/>
  <c r="B2967" i="24"/>
  <c r="C2967" i="24" s="1"/>
  <c r="C2966" i="24"/>
  <c r="B2966" i="24"/>
  <c r="B2965" i="24"/>
  <c r="C2965" i="24" s="1"/>
  <c r="B2964" i="24"/>
  <c r="C2964" i="24" s="1"/>
  <c r="B2963" i="24"/>
  <c r="C2963" i="24" s="1"/>
  <c r="C2962" i="24"/>
  <c r="B2962" i="24"/>
  <c r="B2961" i="24"/>
  <c r="C2961" i="24" s="1"/>
  <c r="B2960" i="24"/>
  <c r="C2960" i="24" s="1"/>
  <c r="B2959" i="24"/>
  <c r="C2959" i="24" s="1"/>
  <c r="C2958" i="24"/>
  <c r="B2958" i="24"/>
  <c r="B2957" i="24"/>
  <c r="C2957" i="24" s="1"/>
  <c r="B2956" i="24"/>
  <c r="C2956" i="24" s="1"/>
  <c r="B2955" i="24"/>
  <c r="C2955" i="24" s="1"/>
  <c r="C2954" i="24"/>
  <c r="B2954" i="24"/>
  <c r="B2953" i="24"/>
  <c r="C2953" i="24" s="1"/>
  <c r="B2952" i="24"/>
  <c r="C2952" i="24" s="1"/>
  <c r="B2951" i="24"/>
  <c r="C2951" i="24" s="1"/>
  <c r="C2950" i="24"/>
  <c r="B2950" i="24"/>
  <c r="B2949" i="24"/>
  <c r="C2949" i="24" s="1"/>
  <c r="B2948" i="24"/>
  <c r="C2948" i="24" s="1"/>
  <c r="B2947" i="24"/>
  <c r="C2947" i="24" s="1"/>
  <c r="C2946" i="24"/>
  <c r="B2946" i="24"/>
  <c r="B2945" i="24"/>
  <c r="C2945" i="24" s="1"/>
  <c r="B2944" i="24"/>
  <c r="C2944" i="24" s="1"/>
  <c r="B2943" i="24"/>
  <c r="C2943" i="24" s="1"/>
  <c r="C2942" i="24"/>
  <c r="B2942" i="24"/>
  <c r="B2941" i="24"/>
  <c r="C2941" i="24" s="1"/>
  <c r="B2940" i="24"/>
  <c r="C2940" i="24" s="1"/>
  <c r="B2939" i="24"/>
  <c r="C2939" i="24" s="1"/>
  <c r="C2938" i="24"/>
  <c r="B2938" i="24"/>
  <c r="B2937" i="24"/>
  <c r="C2937" i="24" s="1"/>
  <c r="B2936" i="24"/>
  <c r="C2936" i="24" s="1"/>
  <c r="B2935" i="24"/>
  <c r="C2935" i="24" s="1"/>
  <c r="C2934" i="24"/>
  <c r="B2934" i="24"/>
  <c r="B2933" i="24"/>
  <c r="C2933" i="24" s="1"/>
  <c r="B2932" i="24"/>
  <c r="C2932" i="24" s="1"/>
  <c r="B2931" i="24"/>
  <c r="C2931" i="24" s="1"/>
  <c r="C2930" i="24"/>
  <c r="B2930" i="24"/>
  <c r="B2929" i="24"/>
  <c r="C2929" i="24" s="1"/>
  <c r="B2928" i="24"/>
  <c r="C2928" i="24" s="1"/>
  <c r="B2927" i="24"/>
  <c r="C2927" i="24" s="1"/>
  <c r="C2926" i="24"/>
  <c r="B2926" i="24"/>
  <c r="B2925" i="24"/>
  <c r="C2925" i="24" s="1"/>
  <c r="B2924" i="24"/>
  <c r="C2924" i="24" s="1"/>
  <c r="B2923" i="24"/>
  <c r="C2923" i="24" s="1"/>
  <c r="C2922" i="24"/>
  <c r="B2922" i="24"/>
  <c r="B2921" i="24"/>
  <c r="C2921" i="24" s="1"/>
  <c r="B2920" i="24"/>
  <c r="C2920" i="24" s="1"/>
  <c r="B2919" i="24"/>
  <c r="C2919" i="24" s="1"/>
  <c r="C2918" i="24"/>
  <c r="B2918" i="24"/>
  <c r="B2917" i="24"/>
  <c r="C2917" i="24" s="1"/>
  <c r="B2916" i="24"/>
  <c r="C2916" i="24" s="1"/>
  <c r="B2915" i="24"/>
  <c r="C2915" i="24" s="1"/>
  <c r="B2914" i="24"/>
  <c r="C2914" i="24" s="1"/>
  <c r="B2913" i="24"/>
  <c r="C2913" i="24" s="1"/>
  <c r="B2912" i="24"/>
  <c r="C2912" i="24" s="1"/>
  <c r="B2911" i="24"/>
  <c r="C2911" i="24" s="1"/>
  <c r="B2910" i="24"/>
  <c r="C2910" i="24" s="1"/>
  <c r="B2909" i="24"/>
  <c r="C2909" i="24" s="1"/>
  <c r="B2908" i="24"/>
  <c r="C2908" i="24" s="1"/>
  <c r="B2907" i="24"/>
  <c r="C2907" i="24" s="1"/>
  <c r="B2906" i="24"/>
  <c r="C2906" i="24" s="1"/>
  <c r="B2905" i="24"/>
  <c r="C2905" i="24" s="1"/>
  <c r="B2904" i="24"/>
  <c r="C2904" i="24" s="1"/>
  <c r="B2903" i="24"/>
  <c r="C2903" i="24" s="1"/>
  <c r="B2902" i="24"/>
  <c r="C2902" i="24" s="1"/>
  <c r="B2901" i="24"/>
  <c r="C2901" i="24" s="1"/>
  <c r="B2900" i="24"/>
  <c r="C2900" i="24" s="1"/>
  <c r="B2899" i="24"/>
  <c r="C2899" i="24" s="1"/>
  <c r="B2898" i="24"/>
  <c r="C2898" i="24" s="1"/>
  <c r="B2897" i="24"/>
  <c r="C2897" i="24" s="1"/>
  <c r="B2896" i="24"/>
  <c r="C2896" i="24" s="1"/>
  <c r="B2895" i="24"/>
  <c r="C2895" i="24" s="1"/>
  <c r="B2894" i="24"/>
  <c r="C2894" i="24" s="1"/>
  <c r="B2893" i="24"/>
  <c r="C2893" i="24" s="1"/>
  <c r="B2892" i="24"/>
  <c r="C2892" i="24" s="1"/>
  <c r="B2891" i="24"/>
  <c r="C2891" i="24" s="1"/>
  <c r="B2890" i="24"/>
  <c r="C2890" i="24" s="1"/>
  <c r="B2889" i="24"/>
  <c r="C2889" i="24" s="1"/>
  <c r="B2888" i="24"/>
  <c r="C2888" i="24" s="1"/>
  <c r="B2887" i="24"/>
  <c r="C2887" i="24" s="1"/>
  <c r="C2886" i="24"/>
  <c r="B2886" i="24"/>
  <c r="B2885" i="24"/>
  <c r="C2885" i="24" s="1"/>
  <c r="B2884" i="24"/>
  <c r="C2884" i="24" s="1"/>
  <c r="B2883" i="24"/>
  <c r="C2883" i="24" s="1"/>
  <c r="B2882" i="24"/>
  <c r="C2882" i="24" s="1"/>
  <c r="B2881" i="24"/>
  <c r="C2881" i="24" s="1"/>
  <c r="B2880" i="24"/>
  <c r="C2880" i="24" s="1"/>
  <c r="B2879" i="24"/>
  <c r="C2879" i="24" s="1"/>
  <c r="B2878" i="24"/>
  <c r="C2878" i="24" s="1"/>
  <c r="B2877" i="24"/>
  <c r="C2877" i="24" s="1"/>
  <c r="B2876" i="24"/>
  <c r="C2876" i="24" s="1"/>
  <c r="B2875" i="24"/>
  <c r="C2875" i="24" s="1"/>
  <c r="B2874" i="24"/>
  <c r="C2874" i="24" s="1"/>
  <c r="B2873" i="24"/>
  <c r="C2873" i="24" s="1"/>
  <c r="B2872" i="24"/>
  <c r="C2872" i="24" s="1"/>
  <c r="B2871" i="24"/>
  <c r="C2871" i="24" s="1"/>
  <c r="B2870" i="24"/>
  <c r="C2870" i="24" s="1"/>
  <c r="B2869" i="24"/>
  <c r="C2869" i="24" s="1"/>
  <c r="B2868" i="24"/>
  <c r="C2868" i="24" s="1"/>
  <c r="B2867" i="24"/>
  <c r="C2867" i="24" s="1"/>
  <c r="B2866" i="24"/>
  <c r="C2866" i="24" s="1"/>
  <c r="B2865" i="24"/>
  <c r="C2865" i="24" s="1"/>
  <c r="B2864" i="24"/>
  <c r="C2864" i="24" s="1"/>
  <c r="B2863" i="24"/>
  <c r="C2863" i="24" s="1"/>
  <c r="B2862" i="24"/>
  <c r="C2862" i="24" s="1"/>
  <c r="B2861" i="24"/>
  <c r="C2861" i="24" s="1"/>
  <c r="B2860" i="24"/>
  <c r="C2860" i="24" s="1"/>
  <c r="B2859" i="24"/>
  <c r="C2859" i="24" s="1"/>
  <c r="B2858" i="24"/>
  <c r="C2858" i="24" s="1"/>
  <c r="B2857" i="24"/>
  <c r="C2857" i="24" s="1"/>
  <c r="B2856" i="24"/>
  <c r="C2856" i="24" s="1"/>
  <c r="B2855" i="24"/>
  <c r="C2855" i="24" s="1"/>
  <c r="C2854" i="24"/>
  <c r="B2854" i="24"/>
  <c r="B2853" i="24"/>
  <c r="C2853" i="24" s="1"/>
  <c r="B2852" i="24"/>
  <c r="C2852" i="24" s="1"/>
  <c r="B2851" i="24"/>
  <c r="C2851" i="24" s="1"/>
  <c r="B2850" i="24"/>
  <c r="C2850" i="24" s="1"/>
  <c r="B2849" i="24"/>
  <c r="C2849" i="24" s="1"/>
  <c r="B2848" i="24"/>
  <c r="C2848" i="24" s="1"/>
  <c r="B2847" i="24"/>
  <c r="C2847" i="24" s="1"/>
  <c r="C2846" i="24"/>
  <c r="B2846" i="24"/>
  <c r="B2845" i="24"/>
  <c r="C2845" i="24" s="1"/>
  <c r="B2844" i="24"/>
  <c r="C2844" i="24" s="1"/>
  <c r="B2843" i="24"/>
  <c r="C2843" i="24" s="1"/>
  <c r="B2842" i="24"/>
  <c r="C2842" i="24" s="1"/>
  <c r="B2841" i="24"/>
  <c r="C2841" i="24" s="1"/>
  <c r="B2840" i="24"/>
  <c r="C2840" i="24" s="1"/>
  <c r="B2839" i="24"/>
  <c r="C2839" i="24" s="1"/>
  <c r="B2838" i="24"/>
  <c r="C2838" i="24" s="1"/>
  <c r="B2837" i="24"/>
  <c r="C2837" i="24" s="1"/>
  <c r="B2836" i="24"/>
  <c r="C2836" i="24" s="1"/>
  <c r="B2835" i="24"/>
  <c r="C2835" i="24" s="1"/>
  <c r="B2834" i="24"/>
  <c r="C2834" i="24" s="1"/>
  <c r="B2833" i="24"/>
  <c r="C2833" i="24" s="1"/>
  <c r="B2832" i="24"/>
  <c r="C2832" i="24" s="1"/>
  <c r="B2831" i="24"/>
  <c r="C2831" i="24" s="1"/>
  <c r="B2830" i="24"/>
  <c r="C2830" i="24" s="1"/>
  <c r="B2829" i="24"/>
  <c r="C2829" i="24" s="1"/>
  <c r="B2828" i="24"/>
  <c r="C2828" i="24" s="1"/>
  <c r="B2827" i="24"/>
  <c r="C2827" i="24" s="1"/>
  <c r="B2826" i="24"/>
  <c r="C2826" i="24" s="1"/>
  <c r="B2825" i="24"/>
  <c r="C2825" i="24" s="1"/>
  <c r="B2824" i="24"/>
  <c r="C2824" i="24" s="1"/>
  <c r="B2823" i="24"/>
  <c r="C2823" i="24" s="1"/>
  <c r="C2822" i="24"/>
  <c r="B2822" i="24"/>
  <c r="B2821" i="24"/>
  <c r="C2821" i="24" s="1"/>
  <c r="B2820" i="24"/>
  <c r="C2820" i="24" s="1"/>
  <c r="B2819" i="24"/>
  <c r="C2819" i="24" s="1"/>
  <c r="B2818" i="24"/>
  <c r="C2818" i="24" s="1"/>
  <c r="B2817" i="24"/>
  <c r="C2817" i="24" s="1"/>
  <c r="B2816" i="24"/>
  <c r="C2816" i="24" s="1"/>
  <c r="B2815" i="24"/>
  <c r="C2815" i="24" s="1"/>
  <c r="C2814" i="24"/>
  <c r="B2814" i="24"/>
  <c r="B2813" i="24"/>
  <c r="C2813" i="24" s="1"/>
  <c r="B2812" i="24"/>
  <c r="C2812" i="24" s="1"/>
  <c r="B2811" i="24"/>
  <c r="C2811" i="24" s="1"/>
  <c r="B2810" i="24"/>
  <c r="C2810" i="24" s="1"/>
  <c r="B2809" i="24"/>
  <c r="C2809" i="24" s="1"/>
  <c r="B2808" i="24"/>
  <c r="C2808" i="24" s="1"/>
  <c r="B2807" i="24"/>
  <c r="C2807" i="24" s="1"/>
  <c r="B2806" i="24"/>
  <c r="C2806" i="24" s="1"/>
  <c r="B2805" i="24"/>
  <c r="C2805" i="24" s="1"/>
  <c r="B2804" i="24"/>
  <c r="C2804" i="24" s="1"/>
  <c r="B2803" i="24"/>
  <c r="C2803" i="24" s="1"/>
  <c r="B2802" i="24"/>
  <c r="C2802" i="24" s="1"/>
  <c r="B2801" i="24"/>
  <c r="C2801" i="24" s="1"/>
  <c r="B2800" i="24"/>
  <c r="C2800" i="24" s="1"/>
  <c r="B2799" i="24"/>
  <c r="C2799" i="24" s="1"/>
  <c r="B2798" i="24"/>
  <c r="C2798" i="24" s="1"/>
  <c r="B2797" i="24"/>
  <c r="C2797" i="24" s="1"/>
  <c r="B2796" i="24"/>
  <c r="C2796" i="24" s="1"/>
  <c r="B2795" i="24"/>
  <c r="C2795" i="24" s="1"/>
  <c r="B2794" i="24"/>
  <c r="C2794" i="24" s="1"/>
  <c r="B2793" i="24"/>
  <c r="C2793" i="24" s="1"/>
  <c r="B2792" i="24"/>
  <c r="C2792" i="24" s="1"/>
  <c r="B2791" i="24"/>
  <c r="C2791" i="24" s="1"/>
  <c r="C2790" i="24"/>
  <c r="B2790" i="24"/>
  <c r="B2789" i="24"/>
  <c r="C2789" i="24" s="1"/>
  <c r="B2788" i="24"/>
  <c r="C2788" i="24" s="1"/>
  <c r="B2787" i="24"/>
  <c r="C2787" i="24" s="1"/>
  <c r="B2786" i="24"/>
  <c r="C2786" i="24" s="1"/>
  <c r="B2785" i="24"/>
  <c r="C2785" i="24" s="1"/>
  <c r="B2784" i="24"/>
  <c r="C2784" i="24" s="1"/>
  <c r="B2783" i="24"/>
  <c r="C2783" i="24" s="1"/>
  <c r="C2782" i="24"/>
  <c r="B2782" i="24"/>
  <c r="B2781" i="24"/>
  <c r="C2781" i="24" s="1"/>
  <c r="B2780" i="24"/>
  <c r="C2780" i="24" s="1"/>
  <c r="B2779" i="24"/>
  <c r="C2779" i="24" s="1"/>
  <c r="B2778" i="24"/>
  <c r="C2778" i="24" s="1"/>
  <c r="B2777" i="24"/>
  <c r="C2777" i="24" s="1"/>
  <c r="B2776" i="24"/>
  <c r="C2776" i="24" s="1"/>
  <c r="B2775" i="24"/>
  <c r="C2775" i="24" s="1"/>
  <c r="B2774" i="24"/>
  <c r="C2774" i="24" s="1"/>
  <c r="B2773" i="24"/>
  <c r="C2773" i="24" s="1"/>
  <c r="B2772" i="24"/>
  <c r="C2772" i="24" s="1"/>
  <c r="B2771" i="24"/>
  <c r="C2771" i="24" s="1"/>
  <c r="B2770" i="24"/>
  <c r="C2770" i="24" s="1"/>
  <c r="B2769" i="24"/>
  <c r="C2769" i="24" s="1"/>
  <c r="B2768" i="24"/>
  <c r="C2768" i="24" s="1"/>
  <c r="B2767" i="24"/>
  <c r="C2767" i="24" s="1"/>
  <c r="B2766" i="24"/>
  <c r="C2766" i="24" s="1"/>
  <c r="B2765" i="24"/>
  <c r="C2765" i="24" s="1"/>
  <c r="B2764" i="24"/>
  <c r="C2764" i="24" s="1"/>
  <c r="B2763" i="24"/>
  <c r="C2763" i="24" s="1"/>
  <c r="B2762" i="24"/>
  <c r="C2762" i="24" s="1"/>
  <c r="B2761" i="24"/>
  <c r="C2761" i="24" s="1"/>
  <c r="B2760" i="24"/>
  <c r="C2760" i="24" s="1"/>
  <c r="B2759" i="24"/>
  <c r="C2759" i="24" s="1"/>
  <c r="C2758" i="24"/>
  <c r="B2758" i="24"/>
  <c r="B2757" i="24"/>
  <c r="C2757" i="24" s="1"/>
  <c r="B2756" i="24"/>
  <c r="C2756" i="24" s="1"/>
  <c r="B2755" i="24"/>
  <c r="C2755" i="24" s="1"/>
  <c r="B2754" i="24"/>
  <c r="C2754" i="24" s="1"/>
  <c r="B2753" i="24"/>
  <c r="C2753" i="24" s="1"/>
  <c r="B2752" i="24"/>
  <c r="C2752" i="24" s="1"/>
  <c r="B2751" i="24"/>
  <c r="C2751" i="24" s="1"/>
  <c r="C2750" i="24"/>
  <c r="B2750" i="24"/>
  <c r="B2749" i="24"/>
  <c r="C2749" i="24" s="1"/>
  <c r="B2748" i="24"/>
  <c r="C2748" i="24" s="1"/>
  <c r="B2747" i="24"/>
  <c r="C2747" i="24" s="1"/>
  <c r="B2746" i="24"/>
  <c r="C2746" i="24" s="1"/>
  <c r="B2745" i="24"/>
  <c r="C2745" i="24" s="1"/>
  <c r="B2744" i="24"/>
  <c r="C2744" i="24" s="1"/>
  <c r="B2743" i="24"/>
  <c r="C2743" i="24" s="1"/>
  <c r="B2742" i="24"/>
  <c r="C2742" i="24" s="1"/>
  <c r="B2741" i="24"/>
  <c r="C2741" i="24" s="1"/>
  <c r="B2740" i="24"/>
  <c r="C2740" i="24" s="1"/>
  <c r="B2739" i="24"/>
  <c r="C2739" i="24" s="1"/>
  <c r="B2738" i="24"/>
  <c r="C2738" i="24" s="1"/>
  <c r="B2737" i="24"/>
  <c r="C2737" i="24" s="1"/>
  <c r="B2736" i="24"/>
  <c r="C2736" i="24" s="1"/>
  <c r="B2735" i="24"/>
  <c r="C2735" i="24" s="1"/>
  <c r="B2734" i="24"/>
  <c r="C2734" i="24" s="1"/>
  <c r="B2733" i="24"/>
  <c r="C2733" i="24" s="1"/>
  <c r="B2732" i="24"/>
  <c r="C2732" i="24" s="1"/>
  <c r="B2731" i="24"/>
  <c r="C2731" i="24" s="1"/>
  <c r="B2730" i="24"/>
  <c r="C2730" i="24" s="1"/>
  <c r="B2729" i="24"/>
  <c r="C2729" i="24" s="1"/>
  <c r="B2728" i="24"/>
  <c r="C2728" i="24" s="1"/>
  <c r="B2727" i="24"/>
  <c r="C2727" i="24" s="1"/>
  <c r="C2726" i="24"/>
  <c r="B2726" i="24"/>
  <c r="B2725" i="24"/>
  <c r="C2725" i="24" s="1"/>
  <c r="B2724" i="24"/>
  <c r="C2724" i="24" s="1"/>
  <c r="B2723" i="24"/>
  <c r="C2723" i="24" s="1"/>
  <c r="B2722" i="24"/>
  <c r="C2722" i="24" s="1"/>
  <c r="B2721" i="24"/>
  <c r="C2721" i="24" s="1"/>
  <c r="B2720" i="24"/>
  <c r="C2720" i="24" s="1"/>
  <c r="B2719" i="24"/>
  <c r="C2719" i="24" s="1"/>
  <c r="C2718" i="24"/>
  <c r="B2718" i="24"/>
  <c r="B2717" i="24"/>
  <c r="C2717" i="24" s="1"/>
  <c r="B2716" i="24"/>
  <c r="C2716" i="24" s="1"/>
  <c r="B2715" i="24"/>
  <c r="C2715" i="24" s="1"/>
  <c r="B2714" i="24"/>
  <c r="C2714" i="24" s="1"/>
  <c r="B2713" i="24"/>
  <c r="C2713" i="24" s="1"/>
  <c r="B2712" i="24"/>
  <c r="C2712" i="24" s="1"/>
  <c r="B2711" i="24"/>
  <c r="C2711" i="24" s="1"/>
  <c r="B2710" i="24"/>
  <c r="C2710" i="24" s="1"/>
  <c r="B2709" i="24"/>
  <c r="C2709" i="24" s="1"/>
  <c r="B2708" i="24"/>
  <c r="C2708" i="24" s="1"/>
  <c r="B2707" i="24"/>
  <c r="C2707" i="24" s="1"/>
  <c r="B2706" i="24"/>
  <c r="C2706" i="24" s="1"/>
  <c r="B2705" i="24"/>
  <c r="C2705" i="24" s="1"/>
  <c r="B2704" i="24"/>
  <c r="C2704" i="24" s="1"/>
  <c r="B2703" i="24"/>
  <c r="C2703" i="24" s="1"/>
  <c r="B2702" i="24"/>
  <c r="C2702" i="24" s="1"/>
  <c r="B2701" i="24"/>
  <c r="C2701" i="24" s="1"/>
  <c r="B2700" i="24"/>
  <c r="C2700" i="24" s="1"/>
  <c r="B2699" i="24"/>
  <c r="C2699" i="24" s="1"/>
  <c r="B2698" i="24"/>
  <c r="C2698" i="24" s="1"/>
  <c r="B2697" i="24"/>
  <c r="C2697" i="24" s="1"/>
  <c r="B2696" i="24"/>
  <c r="C2696" i="24" s="1"/>
  <c r="B2695" i="24"/>
  <c r="C2695" i="24" s="1"/>
  <c r="C2694" i="24"/>
  <c r="B2694" i="24"/>
  <c r="B2693" i="24"/>
  <c r="C2693" i="24" s="1"/>
  <c r="B2692" i="24"/>
  <c r="C2692" i="24" s="1"/>
  <c r="B2691" i="24"/>
  <c r="C2691" i="24" s="1"/>
  <c r="B2690" i="24"/>
  <c r="C2690" i="24" s="1"/>
  <c r="B2689" i="24"/>
  <c r="C2689" i="24" s="1"/>
  <c r="B2688" i="24"/>
  <c r="C2688" i="24" s="1"/>
  <c r="B2687" i="24"/>
  <c r="C2687" i="24" s="1"/>
  <c r="C2686" i="24"/>
  <c r="B2686" i="24"/>
  <c r="B2685" i="24"/>
  <c r="C2685" i="24" s="1"/>
  <c r="B2684" i="24"/>
  <c r="C2684" i="24" s="1"/>
  <c r="B2683" i="24"/>
  <c r="C2683" i="24" s="1"/>
  <c r="B2682" i="24"/>
  <c r="C2682" i="24" s="1"/>
  <c r="B2681" i="24"/>
  <c r="C2681" i="24" s="1"/>
  <c r="B2680" i="24"/>
  <c r="C2680" i="24" s="1"/>
  <c r="B2679" i="24"/>
  <c r="C2679" i="24" s="1"/>
  <c r="B2678" i="24"/>
  <c r="C2678" i="24" s="1"/>
  <c r="B2677" i="24"/>
  <c r="C2677" i="24" s="1"/>
  <c r="B2676" i="24"/>
  <c r="C2676" i="24" s="1"/>
  <c r="B2675" i="24"/>
  <c r="C2675" i="24" s="1"/>
  <c r="B2674" i="24"/>
  <c r="C2674" i="24" s="1"/>
  <c r="B2673" i="24"/>
  <c r="C2673" i="24" s="1"/>
  <c r="B2672" i="24"/>
  <c r="C2672" i="24" s="1"/>
  <c r="B2671" i="24"/>
  <c r="C2671" i="24" s="1"/>
  <c r="B2670" i="24"/>
  <c r="C2670" i="24" s="1"/>
  <c r="B2669" i="24"/>
  <c r="C2669" i="24" s="1"/>
  <c r="B2668" i="24"/>
  <c r="C2668" i="24" s="1"/>
  <c r="B2667" i="24"/>
  <c r="C2667" i="24" s="1"/>
  <c r="B2666" i="24"/>
  <c r="C2666" i="24" s="1"/>
  <c r="B2665" i="24"/>
  <c r="C2665" i="24" s="1"/>
  <c r="B2664" i="24"/>
  <c r="C2664" i="24" s="1"/>
  <c r="B2663" i="24"/>
  <c r="C2663" i="24" s="1"/>
  <c r="C2662" i="24"/>
  <c r="B2662" i="24"/>
  <c r="B2661" i="24"/>
  <c r="C2661" i="24" s="1"/>
  <c r="B2660" i="24"/>
  <c r="C2660" i="24" s="1"/>
  <c r="B2659" i="24"/>
  <c r="C2659" i="24" s="1"/>
  <c r="B2658" i="24"/>
  <c r="C2658" i="24" s="1"/>
  <c r="B2657" i="24"/>
  <c r="C2657" i="24" s="1"/>
  <c r="B2656" i="24"/>
  <c r="C2656" i="24" s="1"/>
  <c r="B2655" i="24"/>
  <c r="C2655" i="24" s="1"/>
  <c r="C2654" i="24"/>
  <c r="B2654" i="24"/>
  <c r="B2653" i="24"/>
  <c r="C2653" i="24" s="1"/>
  <c r="B2652" i="24"/>
  <c r="C2652" i="24" s="1"/>
  <c r="B2651" i="24"/>
  <c r="C2651" i="24" s="1"/>
  <c r="B2650" i="24"/>
  <c r="C2650" i="24" s="1"/>
  <c r="B2649" i="24"/>
  <c r="C2649" i="24" s="1"/>
  <c r="B2648" i="24"/>
  <c r="C2648" i="24" s="1"/>
  <c r="B2647" i="24"/>
  <c r="C2647" i="24" s="1"/>
  <c r="B2646" i="24"/>
  <c r="C2646" i="24" s="1"/>
  <c r="B2645" i="24"/>
  <c r="C2645" i="24" s="1"/>
  <c r="B2644" i="24"/>
  <c r="C2644" i="24" s="1"/>
  <c r="B2643" i="24"/>
  <c r="C2643" i="24" s="1"/>
  <c r="B2642" i="24"/>
  <c r="C2642" i="24" s="1"/>
  <c r="B2641" i="24"/>
  <c r="C2641" i="24" s="1"/>
  <c r="B2640" i="24"/>
  <c r="C2640" i="24" s="1"/>
  <c r="B2639" i="24"/>
  <c r="C2639" i="24" s="1"/>
  <c r="B2638" i="24"/>
  <c r="C2638" i="24" s="1"/>
  <c r="B2637" i="24"/>
  <c r="C2637" i="24" s="1"/>
  <c r="B2636" i="24"/>
  <c r="C2636" i="24" s="1"/>
  <c r="B2635" i="24"/>
  <c r="C2635" i="24" s="1"/>
  <c r="B2634" i="24"/>
  <c r="C2634" i="24" s="1"/>
  <c r="B2633" i="24"/>
  <c r="C2633" i="24" s="1"/>
  <c r="B2632" i="24"/>
  <c r="C2632" i="24" s="1"/>
  <c r="B2631" i="24"/>
  <c r="C2631" i="24" s="1"/>
  <c r="B2630" i="24"/>
  <c r="C2630" i="24" s="1"/>
  <c r="B2629" i="24"/>
  <c r="C2629" i="24" s="1"/>
  <c r="B2628" i="24"/>
  <c r="C2628" i="24" s="1"/>
  <c r="B2627" i="24"/>
  <c r="C2627" i="24" s="1"/>
  <c r="B2626" i="24"/>
  <c r="C2626" i="24" s="1"/>
  <c r="B2625" i="24"/>
  <c r="C2625" i="24" s="1"/>
  <c r="C2624" i="24"/>
  <c r="B2624" i="24"/>
  <c r="B2623" i="24"/>
  <c r="C2623" i="24" s="1"/>
  <c r="B2622" i="24"/>
  <c r="C2622" i="24" s="1"/>
  <c r="B2621" i="24"/>
  <c r="C2621" i="24" s="1"/>
  <c r="C2620" i="24"/>
  <c r="B2620" i="24"/>
  <c r="B2619" i="24"/>
  <c r="C2619" i="24" s="1"/>
  <c r="B2618" i="24"/>
  <c r="C2618" i="24" s="1"/>
  <c r="B2617" i="24"/>
  <c r="C2617" i="24" s="1"/>
  <c r="B2616" i="24"/>
  <c r="C2616" i="24" s="1"/>
  <c r="B2615" i="24"/>
  <c r="C2615" i="24" s="1"/>
  <c r="B2614" i="24"/>
  <c r="C2614" i="24" s="1"/>
  <c r="B2613" i="24"/>
  <c r="C2613" i="24" s="1"/>
  <c r="B2612" i="24"/>
  <c r="C2612" i="24" s="1"/>
  <c r="B2611" i="24"/>
  <c r="C2611" i="24" s="1"/>
  <c r="B2610" i="24"/>
  <c r="C2610" i="24" s="1"/>
  <c r="B2609" i="24"/>
  <c r="C2609" i="24" s="1"/>
  <c r="C2608" i="24"/>
  <c r="B2608" i="24"/>
  <c r="B2607" i="24"/>
  <c r="C2607" i="24" s="1"/>
  <c r="B2606" i="24"/>
  <c r="C2606" i="24" s="1"/>
  <c r="B2605" i="24"/>
  <c r="C2605" i="24" s="1"/>
  <c r="C2604" i="24"/>
  <c r="B2604" i="24"/>
  <c r="B2603" i="24"/>
  <c r="C2603" i="24" s="1"/>
  <c r="B2602" i="24"/>
  <c r="C2602" i="24" s="1"/>
  <c r="B2601" i="24"/>
  <c r="C2601" i="24" s="1"/>
  <c r="B2600" i="24"/>
  <c r="C2600" i="24" s="1"/>
  <c r="B2599" i="24"/>
  <c r="C2599" i="24" s="1"/>
  <c r="B2598" i="24"/>
  <c r="C2598" i="24" s="1"/>
  <c r="B2597" i="24"/>
  <c r="C2597" i="24" s="1"/>
  <c r="B2596" i="24"/>
  <c r="C2596" i="24" s="1"/>
  <c r="B2595" i="24"/>
  <c r="C2595" i="24" s="1"/>
  <c r="B2594" i="24"/>
  <c r="C2594" i="24" s="1"/>
  <c r="B2593" i="24"/>
  <c r="C2593" i="24" s="1"/>
  <c r="C2592" i="24"/>
  <c r="B2592" i="24"/>
  <c r="B2591" i="24"/>
  <c r="C2591" i="24" s="1"/>
  <c r="B2590" i="24"/>
  <c r="C2590" i="24" s="1"/>
  <c r="B2589" i="24"/>
  <c r="C2589" i="24" s="1"/>
  <c r="C2588" i="24"/>
  <c r="B2588" i="24"/>
  <c r="B2587" i="24"/>
  <c r="C2587" i="24" s="1"/>
  <c r="B2586" i="24"/>
  <c r="C2586" i="24" s="1"/>
  <c r="B2585" i="24"/>
  <c r="C2585" i="24" s="1"/>
  <c r="B2584" i="24"/>
  <c r="C2584" i="24" s="1"/>
  <c r="B2583" i="24"/>
  <c r="C2583" i="24" s="1"/>
  <c r="B2582" i="24"/>
  <c r="C2582" i="24" s="1"/>
  <c r="B2581" i="24"/>
  <c r="C2581" i="24" s="1"/>
  <c r="B2580" i="24"/>
  <c r="C2580" i="24" s="1"/>
  <c r="B2579" i="24"/>
  <c r="C2579" i="24" s="1"/>
  <c r="B2578" i="24"/>
  <c r="C2578" i="24" s="1"/>
  <c r="B2577" i="24"/>
  <c r="C2577" i="24" s="1"/>
  <c r="C2576" i="24"/>
  <c r="B2576" i="24"/>
  <c r="B2575" i="24"/>
  <c r="C2575" i="24" s="1"/>
  <c r="B2574" i="24"/>
  <c r="C2574" i="24" s="1"/>
  <c r="B2573" i="24"/>
  <c r="C2573" i="24" s="1"/>
  <c r="C2572" i="24"/>
  <c r="B2572" i="24"/>
  <c r="B2571" i="24"/>
  <c r="C2571" i="24" s="1"/>
  <c r="B2570" i="24"/>
  <c r="C2570" i="24" s="1"/>
  <c r="B2569" i="24"/>
  <c r="C2569" i="24" s="1"/>
  <c r="B2568" i="24"/>
  <c r="C2568" i="24" s="1"/>
  <c r="B2567" i="24"/>
  <c r="C2567" i="24" s="1"/>
  <c r="B2566" i="24"/>
  <c r="C2566" i="24" s="1"/>
  <c r="B2565" i="24"/>
  <c r="C2565" i="24" s="1"/>
  <c r="B2564" i="24"/>
  <c r="C2564" i="24" s="1"/>
  <c r="B2563" i="24"/>
  <c r="C2563" i="24" s="1"/>
  <c r="B2562" i="24"/>
  <c r="C2562" i="24" s="1"/>
  <c r="B2561" i="24"/>
  <c r="C2561" i="24" s="1"/>
  <c r="C2560" i="24"/>
  <c r="B2560" i="24"/>
  <c r="B2559" i="24"/>
  <c r="C2559" i="24" s="1"/>
  <c r="B2558" i="24"/>
  <c r="C2558" i="24" s="1"/>
  <c r="B2557" i="24"/>
  <c r="C2557" i="24" s="1"/>
  <c r="C2556" i="24"/>
  <c r="B2556" i="24"/>
  <c r="B2555" i="24"/>
  <c r="C2555" i="24" s="1"/>
  <c r="B2554" i="24"/>
  <c r="C2554" i="24" s="1"/>
  <c r="B2553" i="24"/>
  <c r="C2553" i="24" s="1"/>
  <c r="B2552" i="24"/>
  <c r="C2552" i="24" s="1"/>
  <c r="B2551" i="24"/>
  <c r="C2551" i="24" s="1"/>
  <c r="B2550" i="24"/>
  <c r="C2550" i="24" s="1"/>
  <c r="B2549" i="24"/>
  <c r="C2549" i="24" s="1"/>
  <c r="B2548" i="24"/>
  <c r="C2548" i="24" s="1"/>
  <c r="B2547" i="24"/>
  <c r="C2547" i="24" s="1"/>
  <c r="B2546" i="24"/>
  <c r="C2546" i="24" s="1"/>
  <c r="B2545" i="24"/>
  <c r="C2545" i="24" s="1"/>
  <c r="C2544" i="24"/>
  <c r="B2544" i="24"/>
  <c r="B2543" i="24"/>
  <c r="C2543" i="24" s="1"/>
  <c r="B2542" i="24"/>
  <c r="C2542" i="24" s="1"/>
  <c r="B2541" i="24"/>
  <c r="C2541" i="24" s="1"/>
  <c r="C2540" i="24"/>
  <c r="B2540" i="24"/>
  <c r="B2539" i="24"/>
  <c r="C2539" i="24" s="1"/>
  <c r="B2538" i="24"/>
  <c r="C2538" i="24" s="1"/>
  <c r="B2537" i="24"/>
  <c r="C2537" i="24" s="1"/>
  <c r="B2536" i="24"/>
  <c r="C2536" i="24" s="1"/>
  <c r="B2535" i="24"/>
  <c r="C2535" i="24" s="1"/>
  <c r="B2534" i="24"/>
  <c r="C2534" i="24" s="1"/>
  <c r="B2533" i="24"/>
  <c r="C2533" i="24" s="1"/>
  <c r="B2532" i="24"/>
  <c r="C2532" i="24" s="1"/>
  <c r="B2531" i="24"/>
  <c r="C2531" i="24" s="1"/>
  <c r="C2530" i="24"/>
  <c r="B2530" i="24"/>
  <c r="B2529" i="24"/>
  <c r="C2529" i="24" s="1"/>
  <c r="B2528" i="24"/>
  <c r="C2528" i="24" s="1"/>
  <c r="B2527" i="24"/>
  <c r="C2527" i="24" s="1"/>
  <c r="B2526" i="24"/>
  <c r="C2526" i="24" s="1"/>
  <c r="B2525" i="24"/>
  <c r="C2525" i="24" s="1"/>
  <c r="C2524" i="24"/>
  <c r="B2524" i="24"/>
  <c r="B2523" i="24"/>
  <c r="C2523" i="24" s="1"/>
  <c r="B2522" i="24"/>
  <c r="C2522" i="24" s="1"/>
  <c r="B2521" i="24"/>
  <c r="C2521" i="24" s="1"/>
  <c r="B2520" i="24"/>
  <c r="C2520" i="24" s="1"/>
  <c r="B2519" i="24"/>
  <c r="C2519" i="24" s="1"/>
  <c r="B2518" i="24"/>
  <c r="C2518" i="24" s="1"/>
  <c r="B2517" i="24"/>
  <c r="C2517" i="24" s="1"/>
  <c r="C2516" i="24"/>
  <c r="B2516" i="24"/>
  <c r="C2515" i="24"/>
  <c r="B2515" i="24"/>
  <c r="B2514" i="24"/>
  <c r="C2514" i="24" s="1"/>
  <c r="B2513" i="24"/>
  <c r="C2513" i="24" s="1"/>
  <c r="B2512" i="24"/>
  <c r="C2512" i="24" s="1"/>
  <c r="B2511" i="24"/>
  <c r="C2511" i="24" s="1"/>
  <c r="B2510" i="24"/>
  <c r="C2510" i="24" s="1"/>
  <c r="B2509" i="24"/>
  <c r="C2509" i="24" s="1"/>
  <c r="B2508" i="24"/>
  <c r="C2508" i="24" s="1"/>
  <c r="C2507" i="24"/>
  <c r="B2507" i="24"/>
  <c r="C2506" i="24"/>
  <c r="B2506" i="24"/>
  <c r="B2505" i="24"/>
  <c r="C2505" i="24" s="1"/>
  <c r="B2504" i="24"/>
  <c r="C2504" i="24" s="1"/>
  <c r="B2503" i="24"/>
  <c r="C2503" i="24" s="1"/>
  <c r="B2502" i="24"/>
  <c r="C2502" i="24" s="1"/>
  <c r="B2501" i="24"/>
  <c r="C2501" i="24" s="1"/>
  <c r="B2500" i="24"/>
  <c r="C2500" i="24" s="1"/>
  <c r="B2499" i="24"/>
  <c r="C2499" i="24" s="1"/>
  <c r="C2498" i="24"/>
  <c r="B2498" i="24"/>
  <c r="B2497" i="24"/>
  <c r="C2497" i="24" s="1"/>
  <c r="B2496" i="24"/>
  <c r="C2496" i="24" s="1"/>
  <c r="B2495" i="24"/>
  <c r="C2495" i="24" s="1"/>
  <c r="B2494" i="24"/>
  <c r="C2494" i="24" s="1"/>
  <c r="B2493" i="24"/>
  <c r="C2493" i="24" s="1"/>
  <c r="C2492" i="24"/>
  <c r="B2492" i="24"/>
  <c r="B2491" i="24"/>
  <c r="C2491" i="24" s="1"/>
  <c r="B2490" i="24"/>
  <c r="C2490" i="24" s="1"/>
  <c r="B2489" i="24"/>
  <c r="C2489" i="24" s="1"/>
  <c r="B2488" i="24"/>
  <c r="C2488" i="24" s="1"/>
  <c r="B2487" i="24"/>
  <c r="C2487" i="24" s="1"/>
  <c r="B2486" i="24"/>
  <c r="C2486" i="24" s="1"/>
  <c r="B2485" i="24"/>
  <c r="C2485" i="24" s="1"/>
  <c r="C2484" i="24"/>
  <c r="B2484" i="24"/>
  <c r="C2483" i="24"/>
  <c r="B2483" i="24"/>
  <c r="B2482" i="24"/>
  <c r="C2482" i="24" s="1"/>
  <c r="B2481" i="24"/>
  <c r="C2481" i="24" s="1"/>
  <c r="B2480" i="24"/>
  <c r="C2480" i="24" s="1"/>
  <c r="B2479" i="24"/>
  <c r="C2479" i="24" s="1"/>
  <c r="B2478" i="24"/>
  <c r="C2478" i="24" s="1"/>
  <c r="B2477" i="24"/>
  <c r="C2477" i="24" s="1"/>
  <c r="B2476" i="24"/>
  <c r="C2476" i="24" s="1"/>
  <c r="C2475" i="24"/>
  <c r="B2475" i="24"/>
  <c r="C2474" i="24"/>
  <c r="B2474" i="24"/>
  <c r="B2473" i="24"/>
  <c r="C2473" i="24" s="1"/>
  <c r="B2472" i="24"/>
  <c r="C2472" i="24" s="1"/>
  <c r="C2471" i="24"/>
  <c r="B2471" i="24"/>
  <c r="C2470" i="24"/>
  <c r="B2470" i="24"/>
  <c r="B2469" i="24"/>
  <c r="C2469" i="24" s="1"/>
  <c r="B2468" i="24"/>
  <c r="C2468" i="24" s="1"/>
  <c r="C2467" i="24"/>
  <c r="B2467" i="24"/>
  <c r="B2466" i="24"/>
  <c r="C2466" i="24" s="1"/>
  <c r="B2465" i="24"/>
  <c r="C2465" i="24" s="1"/>
  <c r="B2464" i="24"/>
  <c r="C2464" i="24" s="1"/>
  <c r="C2463" i="24"/>
  <c r="B2463" i="24"/>
  <c r="B2462" i="24"/>
  <c r="C2462" i="24" s="1"/>
  <c r="B2461" i="24"/>
  <c r="C2461" i="24" s="1"/>
  <c r="B2460" i="24"/>
  <c r="C2460" i="24" s="1"/>
  <c r="C2459" i="24"/>
  <c r="B2459" i="24"/>
  <c r="B2458" i="24"/>
  <c r="C2458" i="24" s="1"/>
  <c r="B2457" i="24"/>
  <c r="C2457" i="24" s="1"/>
  <c r="B2456" i="24"/>
  <c r="C2456" i="24" s="1"/>
  <c r="C2455" i="24"/>
  <c r="B2455" i="24"/>
  <c r="B2454" i="24"/>
  <c r="C2454" i="24" s="1"/>
  <c r="B2453" i="24"/>
  <c r="C2453" i="24" s="1"/>
  <c r="B2452" i="24"/>
  <c r="C2452" i="24" s="1"/>
  <c r="C2451" i="24"/>
  <c r="B2451" i="24"/>
  <c r="B2450" i="24"/>
  <c r="C2450" i="24" s="1"/>
  <c r="B2449" i="24"/>
  <c r="C2449" i="24" s="1"/>
  <c r="B2448" i="24"/>
  <c r="C2448" i="24" s="1"/>
  <c r="C2447" i="24"/>
  <c r="B2447" i="24"/>
  <c r="B2446" i="24"/>
  <c r="C2446" i="24" s="1"/>
  <c r="B2445" i="24"/>
  <c r="C2445" i="24" s="1"/>
  <c r="B2444" i="24"/>
  <c r="C2444" i="24" s="1"/>
  <c r="C2443" i="24"/>
  <c r="B2443" i="24"/>
  <c r="B2442" i="24"/>
  <c r="C2442" i="24" s="1"/>
  <c r="B2441" i="24"/>
  <c r="C2441" i="24" s="1"/>
  <c r="B2440" i="24"/>
  <c r="C2440" i="24" s="1"/>
  <c r="C2439" i="24"/>
  <c r="B2439" i="24"/>
  <c r="B2438" i="24"/>
  <c r="C2438" i="24" s="1"/>
  <c r="B2437" i="24"/>
  <c r="C2437" i="24" s="1"/>
  <c r="B2436" i="24"/>
  <c r="C2436" i="24" s="1"/>
  <c r="C2435" i="24"/>
  <c r="B2435" i="24"/>
  <c r="B2434" i="24"/>
  <c r="C2434" i="24" s="1"/>
  <c r="B2433" i="24"/>
  <c r="C2433" i="24" s="1"/>
  <c r="B2432" i="24"/>
  <c r="C2432" i="24" s="1"/>
  <c r="C2431" i="24"/>
  <c r="B2431" i="24"/>
  <c r="B2430" i="24"/>
  <c r="C2430" i="24" s="1"/>
  <c r="B2429" i="24"/>
  <c r="C2429" i="24" s="1"/>
  <c r="B2428" i="24"/>
  <c r="C2428" i="24" s="1"/>
  <c r="C2427" i="24"/>
  <c r="B2427" i="24"/>
  <c r="B2426" i="24"/>
  <c r="C2426" i="24" s="1"/>
  <c r="B2425" i="24"/>
  <c r="C2425" i="24" s="1"/>
  <c r="B2424" i="24"/>
  <c r="C2424" i="24" s="1"/>
  <c r="C2423" i="24"/>
  <c r="B2423" i="24"/>
  <c r="B2422" i="24"/>
  <c r="C2422" i="24" s="1"/>
  <c r="B2421" i="24"/>
  <c r="C2421" i="24" s="1"/>
  <c r="B2420" i="24"/>
  <c r="C2420" i="24" s="1"/>
  <c r="C2419" i="24"/>
  <c r="B2419" i="24"/>
  <c r="B2418" i="24"/>
  <c r="C2418" i="24" s="1"/>
  <c r="B2417" i="24"/>
  <c r="C2417" i="24" s="1"/>
  <c r="B2416" i="24"/>
  <c r="C2416" i="24" s="1"/>
  <c r="C2415" i="24"/>
  <c r="B2415" i="24"/>
  <c r="B2414" i="24"/>
  <c r="C2414" i="24" s="1"/>
  <c r="B2413" i="24"/>
  <c r="C2413" i="24" s="1"/>
  <c r="B2412" i="24"/>
  <c r="C2412" i="24" s="1"/>
  <c r="C2411" i="24"/>
  <c r="B2411" i="24"/>
  <c r="B2410" i="24"/>
  <c r="C2410" i="24" s="1"/>
  <c r="B2409" i="24"/>
  <c r="C2409" i="24" s="1"/>
  <c r="B2408" i="24"/>
  <c r="C2408" i="24" s="1"/>
  <c r="C2407" i="24"/>
  <c r="B2407" i="24"/>
  <c r="B2406" i="24"/>
  <c r="C2406" i="24" s="1"/>
  <c r="B2405" i="24"/>
  <c r="C2405" i="24" s="1"/>
  <c r="B2404" i="24"/>
  <c r="C2404" i="24" s="1"/>
  <c r="C2403" i="24"/>
  <c r="B2403" i="24"/>
  <c r="B2402" i="24"/>
  <c r="C2402" i="24" s="1"/>
  <c r="B2401" i="24"/>
  <c r="C2401" i="24" s="1"/>
  <c r="B2400" i="24"/>
  <c r="C2400" i="24" s="1"/>
  <c r="C2399" i="24"/>
  <c r="B2399" i="24"/>
  <c r="B2398" i="24"/>
  <c r="C2398" i="24" s="1"/>
  <c r="B2397" i="24"/>
  <c r="C2397" i="24" s="1"/>
  <c r="B2396" i="24"/>
  <c r="C2396" i="24" s="1"/>
  <c r="C2395" i="24"/>
  <c r="B2395" i="24"/>
  <c r="B2394" i="24"/>
  <c r="C2394" i="24" s="1"/>
  <c r="B2393" i="24"/>
  <c r="C2393" i="24" s="1"/>
  <c r="B2392" i="24"/>
  <c r="C2392" i="24" s="1"/>
  <c r="C2391" i="24"/>
  <c r="B2391" i="24"/>
  <c r="B2390" i="24"/>
  <c r="C2390" i="24" s="1"/>
  <c r="B2389" i="24"/>
  <c r="C2389" i="24" s="1"/>
  <c r="B2388" i="24"/>
  <c r="C2388" i="24" s="1"/>
  <c r="C2387" i="24"/>
  <c r="B2387" i="24"/>
  <c r="B2386" i="24"/>
  <c r="C2386" i="24" s="1"/>
  <c r="B2385" i="24"/>
  <c r="C2385" i="24" s="1"/>
  <c r="B2384" i="24"/>
  <c r="C2384" i="24" s="1"/>
  <c r="C2383" i="24"/>
  <c r="B2383" i="24"/>
  <c r="B2382" i="24"/>
  <c r="C2382" i="24" s="1"/>
  <c r="B2381" i="24"/>
  <c r="C2381" i="24" s="1"/>
  <c r="B2380" i="24"/>
  <c r="C2380" i="24" s="1"/>
  <c r="C2379" i="24"/>
  <c r="B2379" i="24"/>
  <c r="B2378" i="24"/>
  <c r="C2378" i="24" s="1"/>
  <c r="B2377" i="24"/>
  <c r="C2377" i="24" s="1"/>
  <c r="B2376" i="24"/>
  <c r="C2376" i="24" s="1"/>
  <c r="C2375" i="24"/>
  <c r="B2375" i="24"/>
  <c r="B2374" i="24"/>
  <c r="C2374" i="24" s="1"/>
  <c r="B2373" i="24"/>
  <c r="C2373" i="24" s="1"/>
  <c r="B2372" i="24"/>
  <c r="C2372" i="24" s="1"/>
  <c r="C2371" i="24"/>
  <c r="B2371" i="24"/>
  <c r="B2370" i="24"/>
  <c r="C2370" i="24" s="1"/>
  <c r="B2369" i="24"/>
  <c r="C2369" i="24" s="1"/>
  <c r="B2368" i="24"/>
  <c r="C2368" i="24" s="1"/>
  <c r="C2367" i="24"/>
  <c r="B2367" i="24"/>
  <c r="B2366" i="24"/>
  <c r="C2366" i="24" s="1"/>
  <c r="B2365" i="24"/>
  <c r="C2365" i="24" s="1"/>
  <c r="B2364" i="24"/>
  <c r="C2364" i="24" s="1"/>
  <c r="B2363" i="24"/>
  <c r="C2363" i="24" s="1"/>
  <c r="B2362" i="24"/>
  <c r="C2362" i="24" s="1"/>
  <c r="B2361" i="24"/>
  <c r="C2361" i="24" s="1"/>
  <c r="B2360" i="24"/>
  <c r="C2360" i="24" s="1"/>
  <c r="B2359" i="24"/>
  <c r="C2359" i="24" s="1"/>
  <c r="B2358" i="24"/>
  <c r="C2358" i="24" s="1"/>
  <c r="B2357" i="24"/>
  <c r="C2357" i="24" s="1"/>
  <c r="B2356" i="24"/>
  <c r="C2356" i="24" s="1"/>
  <c r="B2355" i="24"/>
  <c r="C2355" i="24" s="1"/>
  <c r="B2354" i="24"/>
  <c r="C2354" i="24" s="1"/>
  <c r="B2353" i="24"/>
  <c r="C2353" i="24" s="1"/>
  <c r="B2352" i="24"/>
  <c r="C2352" i="24" s="1"/>
  <c r="B2351" i="24"/>
  <c r="C2351" i="24" s="1"/>
  <c r="B2350" i="24"/>
  <c r="C2350" i="24" s="1"/>
  <c r="B2349" i="24"/>
  <c r="C2349" i="24" s="1"/>
  <c r="B2348" i="24"/>
  <c r="C2348" i="24" s="1"/>
  <c r="B2347" i="24"/>
  <c r="C2347" i="24" s="1"/>
  <c r="B2346" i="24"/>
  <c r="C2346" i="24" s="1"/>
  <c r="B2345" i="24"/>
  <c r="C2345" i="24" s="1"/>
  <c r="B2344" i="24"/>
  <c r="C2344" i="24" s="1"/>
  <c r="B2343" i="24"/>
  <c r="C2343" i="24" s="1"/>
  <c r="B2342" i="24"/>
  <c r="C2342" i="24" s="1"/>
  <c r="B2341" i="24"/>
  <c r="C2341" i="24" s="1"/>
  <c r="B2340" i="24"/>
  <c r="C2340" i="24" s="1"/>
  <c r="C2339" i="24"/>
  <c r="B2339" i="24"/>
  <c r="B2338" i="24"/>
  <c r="C2338" i="24" s="1"/>
  <c r="B2337" i="24"/>
  <c r="C2337" i="24" s="1"/>
  <c r="B2336" i="24"/>
  <c r="C2336" i="24" s="1"/>
  <c r="B2335" i="24"/>
  <c r="C2335" i="24" s="1"/>
  <c r="B2334" i="24"/>
  <c r="C2334" i="24" s="1"/>
  <c r="B2333" i="24"/>
  <c r="C2333" i="24" s="1"/>
  <c r="B2332" i="24"/>
  <c r="C2332" i="24" s="1"/>
  <c r="B2331" i="24"/>
  <c r="C2331" i="24" s="1"/>
  <c r="B2330" i="24"/>
  <c r="C2330" i="24" s="1"/>
  <c r="B2329" i="24"/>
  <c r="C2329" i="24" s="1"/>
  <c r="B2328" i="24"/>
  <c r="C2328" i="24" s="1"/>
  <c r="B2327" i="24"/>
  <c r="C2327" i="24" s="1"/>
  <c r="B2326" i="24"/>
  <c r="C2326" i="24" s="1"/>
  <c r="B2325" i="24"/>
  <c r="C2325" i="24" s="1"/>
  <c r="B2324" i="24"/>
  <c r="C2324" i="24" s="1"/>
  <c r="B2323" i="24"/>
  <c r="C2323" i="24" s="1"/>
  <c r="B2322" i="24"/>
  <c r="C2322" i="24" s="1"/>
  <c r="B2321" i="24"/>
  <c r="C2321" i="24" s="1"/>
  <c r="B2320" i="24"/>
  <c r="C2320" i="24" s="1"/>
  <c r="B2319" i="24"/>
  <c r="C2319" i="24" s="1"/>
  <c r="B2318" i="24"/>
  <c r="C2318" i="24" s="1"/>
  <c r="B2317" i="24"/>
  <c r="C2317" i="24" s="1"/>
  <c r="B2316" i="24"/>
  <c r="C2316" i="24" s="1"/>
  <c r="B2315" i="24"/>
  <c r="C2315" i="24" s="1"/>
  <c r="B2314" i="24"/>
  <c r="C2314" i="24" s="1"/>
  <c r="B2313" i="24"/>
  <c r="C2313" i="24" s="1"/>
  <c r="B2312" i="24"/>
  <c r="C2312" i="24" s="1"/>
  <c r="B2311" i="24"/>
  <c r="C2311" i="24" s="1"/>
  <c r="B2310" i="24"/>
  <c r="C2310" i="24" s="1"/>
  <c r="B2309" i="24"/>
  <c r="C2309" i="24" s="1"/>
  <c r="B2308" i="24"/>
  <c r="C2308" i="24" s="1"/>
  <c r="C2307" i="24"/>
  <c r="B2307" i="24"/>
  <c r="B2306" i="24"/>
  <c r="C2306" i="24" s="1"/>
  <c r="B2305" i="24"/>
  <c r="C2305" i="24" s="1"/>
  <c r="B2304" i="24"/>
  <c r="C2304" i="24" s="1"/>
  <c r="B2303" i="24"/>
  <c r="C2303" i="24" s="1"/>
  <c r="B2302" i="24"/>
  <c r="C2302" i="24" s="1"/>
  <c r="B2301" i="24"/>
  <c r="C2301" i="24" s="1"/>
  <c r="B2300" i="24"/>
  <c r="C2300" i="24" s="1"/>
  <c r="B2299" i="24"/>
  <c r="C2299" i="24" s="1"/>
  <c r="B2298" i="24"/>
  <c r="C2298" i="24" s="1"/>
  <c r="B2297" i="24"/>
  <c r="C2297" i="24" s="1"/>
  <c r="B2296" i="24"/>
  <c r="C2296" i="24" s="1"/>
  <c r="B2295" i="24"/>
  <c r="C2295" i="24" s="1"/>
  <c r="B2294" i="24"/>
  <c r="C2294" i="24" s="1"/>
  <c r="B2293" i="24"/>
  <c r="C2293" i="24" s="1"/>
  <c r="B2292" i="24"/>
  <c r="C2292" i="24" s="1"/>
  <c r="B2291" i="24"/>
  <c r="C2291" i="24" s="1"/>
  <c r="B2290" i="24"/>
  <c r="C2290" i="24" s="1"/>
  <c r="B2289" i="24"/>
  <c r="C2289" i="24" s="1"/>
  <c r="B2288" i="24"/>
  <c r="C2288" i="24" s="1"/>
  <c r="B2287" i="24"/>
  <c r="C2287" i="24" s="1"/>
  <c r="B2286" i="24"/>
  <c r="C2286" i="24" s="1"/>
  <c r="B2285" i="24"/>
  <c r="C2285" i="24" s="1"/>
  <c r="B2284" i="24"/>
  <c r="C2284" i="24" s="1"/>
  <c r="B2283" i="24"/>
  <c r="C2283" i="24" s="1"/>
  <c r="B2282" i="24"/>
  <c r="C2282" i="24" s="1"/>
  <c r="B2281" i="24"/>
  <c r="C2281" i="24" s="1"/>
  <c r="B2280" i="24"/>
  <c r="C2280" i="24" s="1"/>
  <c r="B2279" i="24"/>
  <c r="C2279" i="24" s="1"/>
  <c r="B2278" i="24"/>
  <c r="C2278" i="24" s="1"/>
  <c r="C2277" i="24"/>
  <c r="B2277" i="24"/>
  <c r="B2276" i="24"/>
  <c r="C2276" i="24" s="1"/>
  <c r="B2275" i="24"/>
  <c r="C2275" i="24" s="1"/>
  <c r="B2274" i="24"/>
  <c r="C2274" i="24" s="1"/>
  <c r="B2273" i="24"/>
  <c r="C2273" i="24" s="1"/>
  <c r="B2272" i="24"/>
  <c r="C2272" i="24" s="1"/>
  <c r="B2271" i="24"/>
  <c r="C2271" i="24" s="1"/>
  <c r="B2270" i="24"/>
  <c r="C2270" i="24" s="1"/>
  <c r="B2269" i="24"/>
  <c r="C2269" i="24" s="1"/>
  <c r="B2268" i="24"/>
  <c r="C2268" i="24" s="1"/>
  <c r="B2267" i="24"/>
  <c r="C2267" i="24" s="1"/>
  <c r="B2266" i="24"/>
  <c r="C2266" i="24" s="1"/>
  <c r="B2265" i="24"/>
  <c r="C2265" i="24" s="1"/>
  <c r="B2264" i="24"/>
  <c r="C2264" i="24" s="1"/>
  <c r="B2263" i="24"/>
  <c r="C2263" i="24" s="1"/>
  <c r="B2262" i="24"/>
  <c r="C2262" i="24" s="1"/>
  <c r="C2261" i="24"/>
  <c r="B2261" i="24"/>
  <c r="B2260" i="24"/>
  <c r="C2260" i="24" s="1"/>
  <c r="B2259" i="24"/>
  <c r="C2259" i="24" s="1"/>
  <c r="B2258" i="24"/>
  <c r="C2258" i="24" s="1"/>
  <c r="B2257" i="24"/>
  <c r="C2257" i="24" s="1"/>
  <c r="B2256" i="24"/>
  <c r="C2256" i="24" s="1"/>
  <c r="B2255" i="24"/>
  <c r="C2255" i="24" s="1"/>
  <c r="B2254" i="24"/>
  <c r="C2254" i="24" s="1"/>
  <c r="B2253" i="24"/>
  <c r="C2253" i="24" s="1"/>
  <c r="B2252" i="24"/>
  <c r="C2252" i="24" s="1"/>
  <c r="B2251" i="24"/>
  <c r="C2251" i="24" s="1"/>
  <c r="B2250" i="24"/>
  <c r="C2250" i="24" s="1"/>
  <c r="B2249" i="24"/>
  <c r="C2249" i="24" s="1"/>
  <c r="B2248" i="24"/>
  <c r="C2248" i="24" s="1"/>
  <c r="B2247" i="24"/>
  <c r="C2247" i="24" s="1"/>
  <c r="B2246" i="24"/>
  <c r="C2246" i="24" s="1"/>
  <c r="B2245" i="24"/>
  <c r="C2245" i="24" s="1"/>
  <c r="B2244" i="24"/>
  <c r="C2244" i="24" s="1"/>
  <c r="B2243" i="24"/>
  <c r="C2243" i="24" s="1"/>
  <c r="B2242" i="24"/>
  <c r="C2242" i="24" s="1"/>
  <c r="C2241" i="24"/>
  <c r="B2241" i="24"/>
  <c r="B2240" i="24"/>
  <c r="C2240" i="24" s="1"/>
  <c r="B2239" i="24"/>
  <c r="C2239" i="24" s="1"/>
  <c r="B2238" i="24"/>
  <c r="C2238" i="24" s="1"/>
  <c r="B2237" i="24"/>
  <c r="C2237" i="24" s="1"/>
  <c r="B2236" i="24"/>
  <c r="C2236" i="24" s="1"/>
  <c r="B2235" i="24"/>
  <c r="C2235" i="24" s="1"/>
  <c r="B2234" i="24"/>
  <c r="C2234" i="24" s="1"/>
  <c r="B2233" i="24"/>
  <c r="C2233" i="24" s="1"/>
  <c r="B2232" i="24"/>
  <c r="C2232" i="24" s="1"/>
  <c r="B2231" i="24"/>
  <c r="C2231" i="24" s="1"/>
  <c r="B2230" i="24"/>
  <c r="C2230" i="24" s="1"/>
  <c r="B2229" i="24"/>
  <c r="C2229" i="24" s="1"/>
  <c r="B2228" i="24"/>
  <c r="C2228" i="24" s="1"/>
  <c r="B2227" i="24"/>
  <c r="C2227" i="24" s="1"/>
  <c r="B2226" i="24"/>
  <c r="C2226" i="24" s="1"/>
  <c r="B2225" i="24"/>
  <c r="C2225" i="24" s="1"/>
  <c r="B2224" i="24"/>
  <c r="C2224" i="24" s="1"/>
  <c r="B2223" i="24"/>
  <c r="C2223" i="24" s="1"/>
  <c r="B2222" i="24"/>
  <c r="C2222" i="24" s="1"/>
  <c r="B2221" i="24"/>
  <c r="C2221" i="24" s="1"/>
  <c r="B2220" i="24"/>
  <c r="C2220" i="24" s="1"/>
  <c r="B2219" i="24"/>
  <c r="C2219" i="24" s="1"/>
  <c r="B2218" i="24"/>
  <c r="C2218" i="24" s="1"/>
  <c r="C2217" i="24"/>
  <c r="B2217" i="24"/>
  <c r="B2216" i="24"/>
  <c r="C2216" i="24" s="1"/>
  <c r="B2215" i="24"/>
  <c r="C2215" i="24" s="1"/>
  <c r="B2214" i="24"/>
  <c r="C2214" i="24" s="1"/>
  <c r="B2213" i="24"/>
  <c r="C2213" i="24" s="1"/>
  <c r="B2212" i="24"/>
  <c r="C2212" i="24" s="1"/>
  <c r="B2211" i="24"/>
  <c r="C2211" i="24" s="1"/>
  <c r="B2210" i="24"/>
  <c r="C2210" i="24" s="1"/>
  <c r="B2209" i="24"/>
  <c r="C2209" i="24" s="1"/>
  <c r="B2208" i="24"/>
  <c r="C2208" i="24" s="1"/>
  <c r="B2207" i="24"/>
  <c r="C2207" i="24" s="1"/>
  <c r="B2206" i="24"/>
  <c r="C2206" i="24" s="1"/>
  <c r="B2205" i="24"/>
  <c r="C2205" i="24" s="1"/>
  <c r="B2204" i="24"/>
  <c r="C2204" i="24" s="1"/>
  <c r="B2203" i="24"/>
  <c r="C2203" i="24" s="1"/>
  <c r="B2202" i="24"/>
  <c r="C2202" i="24" s="1"/>
  <c r="C2201" i="24"/>
  <c r="B2201" i="24"/>
  <c r="B2200" i="24"/>
  <c r="C2200" i="24" s="1"/>
  <c r="C2199" i="24"/>
  <c r="B2199" i="24"/>
  <c r="B2198" i="24"/>
  <c r="C2198" i="24" s="1"/>
  <c r="B2197" i="24"/>
  <c r="C2197" i="24" s="1"/>
  <c r="B2196" i="24"/>
  <c r="C2196" i="24" s="1"/>
  <c r="B2195" i="24"/>
  <c r="C2195" i="24" s="1"/>
  <c r="B2194" i="24"/>
  <c r="C2194" i="24" s="1"/>
  <c r="B2193" i="24"/>
  <c r="C2193" i="24" s="1"/>
  <c r="B2192" i="24"/>
  <c r="C2192" i="24" s="1"/>
  <c r="B2191" i="24"/>
  <c r="C2191" i="24" s="1"/>
  <c r="B2190" i="24"/>
  <c r="C2190" i="24" s="1"/>
  <c r="B2189" i="24"/>
  <c r="C2189" i="24" s="1"/>
  <c r="B2188" i="24"/>
  <c r="C2188" i="24" s="1"/>
  <c r="B2187" i="24"/>
  <c r="C2187" i="24" s="1"/>
  <c r="B2186" i="24"/>
  <c r="C2186" i="24" s="1"/>
  <c r="B2185" i="24"/>
  <c r="C2185" i="24" s="1"/>
  <c r="B2184" i="24"/>
  <c r="C2184" i="24" s="1"/>
  <c r="C2183" i="24"/>
  <c r="B2183" i="24"/>
  <c r="B2182" i="24"/>
  <c r="C2182" i="24" s="1"/>
  <c r="B2181" i="24"/>
  <c r="C2181" i="24" s="1"/>
  <c r="B2180" i="24"/>
  <c r="C2180" i="24" s="1"/>
  <c r="B2179" i="24"/>
  <c r="C2179" i="24" s="1"/>
  <c r="B2178" i="24"/>
  <c r="C2178" i="24" s="1"/>
  <c r="B2177" i="24"/>
  <c r="C2177" i="24" s="1"/>
  <c r="B2176" i="24"/>
  <c r="C2176" i="24" s="1"/>
  <c r="B2175" i="24"/>
  <c r="C2175" i="24" s="1"/>
  <c r="B2174" i="24"/>
  <c r="C2174" i="24" s="1"/>
  <c r="B2173" i="24"/>
  <c r="C2173" i="24" s="1"/>
  <c r="B2172" i="24"/>
  <c r="C2172" i="24" s="1"/>
  <c r="B2171" i="24"/>
  <c r="C2171" i="24" s="1"/>
  <c r="B2170" i="24"/>
  <c r="C2170" i="24" s="1"/>
  <c r="C2169" i="24"/>
  <c r="B2169" i="24"/>
  <c r="B2168" i="24"/>
  <c r="C2168" i="24" s="1"/>
  <c r="B2167" i="24"/>
  <c r="C2167" i="24" s="1"/>
  <c r="B2166" i="24"/>
  <c r="C2166" i="24" s="1"/>
  <c r="B2165" i="24"/>
  <c r="C2165" i="24" s="1"/>
  <c r="B2164" i="24"/>
  <c r="C2164" i="24" s="1"/>
  <c r="B2163" i="24"/>
  <c r="C2163" i="24" s="1"/>
  <c r="B2162" i="24"/>
  <c r="C2162" i="24" s="1"/>
  <c r="B2161" i="24"/>
  <c r="C2161" i="24" s="1"/>
  <c r="B2160" i="24"/>
  <c r="C2160" i="24" s="1"/>
  <c r="B2159" i="24"/>
  <c r="C2159" i="24" s="1"/>
  <c r="C2158" i="24"/>
  <c r="B2158" i="24"/>
  <c r="B2157" i="24"/>
  <c r="C2157" i="24" s="1"/>
  <c r="B2156" i="24"/>
  <c r="C2156" i="24" s="1"/>
  <c r="B2155" i="24"/>
  <c r="C2155" i="24" s="1"/>
  <c r="B2154" i="24"/>
  <c r="C2154" i="24" s="1"/>
  <c r="C2153" i="24"/>
  <c r="B2153" i="24"/>
  <c r="B2152" i="24"/>
  <c r="C2152" i="24" s="1"/>
  <c r="B2151" i="24"/>
  <c r="C2151" i="24" s="1"/>
  <c r="C2150" i="24"/>
  <c r="B2150" i="24"/>
  <c r="B2149" i="24"/>
  <c r="C2149" i="24" s="1"/>
  <c r="B2148" i="24"/>
  <c r="C2148" i="24" s="1"/>
  <c r="B2147" i="24"/>
  <c r="C2147" i="24" s="1"/>
  <c r="B2146" i="24"/>
  <c r="C2146" i="24" s="1"/>
  <c r="B2145" i="24"/>
  <c r="C2145" i="24" s="1"/>
  <c r="B2144" i="24"/>
  <c r="C2144" i="24" s="1"/>
  <c r="B2143" i="24"/>
  <c r="C2143" i="24" s="1"/>
  <c r="C2142" i="24"/>
  <c r="B2142" i="24"/>
  <c r="B2141" i="24"/>
  <c r="C2141" i="24" s="1"/>
  <c r="B2140" i="24"/>
  <c r="C2140" i="24" s="1"/>
  <c r="B2139" i="24"/>
  <c r="C2139" i="24" s="1"/>
  <c r="B2138" i="24"/>
  <c r="C2138" i="24" s="1"/>
  <c r="B2137" i="24"/>
  <c r="C2137" i="24" s="1"/>
  <c r="B2136" i="24"/>
  <c r="C2136" i="24" s="1"/>
  <c r="B2135" i="24"/>
  <c r="C2135" i="24" s="1"/>
  <c r="C2134" i="24"/>
  <c r="B2134" i="24"/>
  <c r="B2133" i="24"/>
  <c r="C2133" i="24" s="1"/>
  <c r="B2132" i="24"/>
  <c r="C2132" i="24" s="1"/>
  <c r="B2131" i="24"/>
  <c r="C2131" i="24" s="1"/>
  <c r="B2130" i="24"/>
  <c r="C2130" i="24" s="1"/>
  <c r="B2129" i="24"/>
  <c r="C2129" i="24" s="1"/>
  <c r="B2128" i="24"/>
  <c r="C2128" i="24" s="1"/>
  <c r="B2127" i="24"/>
  <c r="C2127" i="24" s="1"/>
  <c r="C2126" i="24"/>
  <c r="B2126" i="24"/>
  <c r="B2125" i="24"/>
  <c r="C2125" i="24" s="1"/>
  <c r="B2124" i="24"/>
  <c r="C2124" i="24" s="1"/>
  <c r="B2123" i="24"/>
  <c r="C2123" i="24" s="1"/>
  <c r="B2122" i="24"/>
  <c r="C2122" i="24" s="1"/>
  <c r="B2121" i="24"/>
  <c r="C2121" i="24" s="1"/>
  <c r="B2120" i="24"/>
  <c r="C2120" i="24" s="1"/>
  <c r="B2119" i="24"/>
  <c r="C2119" i="24" s="1"/>
  <c r="C2118" i="24"/>
  <c r="B2118" i="24"/>
  <c r="B2117" i="24"/>
  <c r="C2117" i="24" s="1"/>
  <c r="B2116" i="24"/>
  <c r="C2116" i="24" s="1"/>
  <c r="B2115" i="24"/>
  <c r="C2115" i="24" s="1"/>
  <c r="B2114" i="24"/>
  <c r="C2114" i="24" s="1"/>
  <c r="B2113" i="24"/>
  <c r="C2113" i="24" s="1"/>
  <c r="B2112" i="24"/>
  <c r="C2112" i="24" s="1"/>
  <c r="B2111" i="24"/>
  <c r="C2111" i="24" s="1"/>
  <c r="C2110" i="24"/>
  <c r="B2110" i="24"/>
  <c r="B2109" i="24"/>
  <c r="C2109" i="24" s="1"/>
  <c r="B2108" i="24"/>
  <c r="C2108" i="24" s="1"/>
  <c r="B2107" i="24"/>
  <c r="C2107" i="24" s="1"/>
  <c r="B2106" i="24"/>
  <c r="C2106" i="24" s="1"/>
  <c r="B2105" i="24"/>
  <c r="C2105" i="24" s="1"/>
  <c r="B2104" i="24"/>
  <c r="C2104" i="24" s="1"/>
  <c r="B2103" i="24"/>
  <c r="C2103" i="24" s="1"/>
  <c r="C2102" i="24"/>
  <c r="B2102" i="24"/>
  <c r="B2101" i="24"/>
  <c r="C2101" i="24" s="1"/>
  <c r="B2100" i="24"/>
  <c r="C2100" i="24" s="1"/>
  <c r="B2099" i="24"/>
  <c r="C2099" i="24" s="1"/>
  <c r="B2098" i="24"/>
  <c r="C2098" i="24" s="1"/>
  <c r="B2097" i="24"/>
  <c r="C2097" i="24" s="1"/>
  <c r="B2096" i="24"/>
  <c r="C2096" i="24" s="1"/>
  <c r="B2095" i="24"/>
  <c r="C2095" i="24" s="1"/>
  <c r="C2094" i="24"/>
  <c r="B2094" i="24"/>
  <c r="B2093" i="24"/>
  <c r="C2093" i="24" s="1"/>
  <c r="B2092" i="24"/>
  <c r="C2092" i="24" s="1"/>
  <c r="B2091" i="24"/>
  <c r="C2091" i="24" s="1"/>
  <c r="B2090" i="24"/>
  <c r="C2090" i="24" s="1"/>
  <c r="B2089" i="24"/>
  <c r="C2089" i="24" s="1"/>
  <c r="B2088" i="24"/>
  <c r="C2088" i="24" s="1"/>
  <c r="B2087" i="24"/>
  <c r="C2087" i="24" s="1"/>
  <c r="C2086" i="24"/>
  <c r="B2086" i="24"/>
  <c r="B2085" i="24"/>
  <c r="C2085" i="24" s="1"/>
  <c r="B2084" i="24"/>
  <c r="C2084" i="24" s="1"/>
  <c r="B2083" i="24"/>
  <c r="C2083" i="24" s="1"/>
  <c r="B2082" i="24"/>
  <c r="C2082" i="24" s="1"/>
  <c r="B2081" i="24"/>
  <c r="C2081" i="24" s="1"/>
  <c r="B2080" i="24"/>
  <c r="C2080" i="24" s="1"/>
  <c r="B2079" i="24"/>
  <c r="C2079" i="24" s="1"/>
  <c r="C2078" i="24"/>
  <c r="B2078" i="24"/>
  <c r="B2077" i="24"/>
  <c r="C2077" i="24" s="1"/>
  <c r="B2076" i="24"/>
  <c r="C2076" i="24" s="1"/>
  <c r="B2075" i="24"/>
  <c r="C2075" i="24" s="1"/>
  <c r="B2074" i="24"/>
  <c r="C2074" i="24" s="1"/>
  <c r="B2073" i="24"/>
  <c r="C2073" i="24" s="1"/>
  <c r="B2072" i="24"/>
  <c r="C2072" i="24" s="1"/>
  <c r="B2071" i="24"/>
  <c r="C2071" i="24" s="1"/>
  <c r="C2070" i="24"/>
  <c r="B2070" i="24"/>
  <c r="B2069" i="24"/>
  <c r="C2069" i="24" s="1"/>
  <c r="B2068" i="24"/>
  <c r="C2068" i="24" s="1"/>
  <c r="B2067" i="24"/>
  <c r="C2067" i="24" s="1"/>
  <c r="B2066" i="24"/>
  <c r="C2066" i="24" s="1"/>
  <c r="B2065" i="24"/>
  <c r="C2065" i="24" s="1"/>
  <c r="B2064" i="24"/>
  <c r="C2064" i="24" s="1"/>
  <c r="B2063" i="24"/>
  <c r="C2063" i="24" s="1"/>
  <c r="B2062" i="24"/>
  <c r="C2062" i="24" s="1"/>
  <c r="B2061" i="24"/>
  <c r="C2061" i="24" s="1"/>
  <c r="B2060" i="24"/>
  <c r="C2060" i="24" s="1"/>
  <c r="B2059" i="24"/>
  <c r="C2059" i="24" s="1"/>
  <c r="B2058" i="24"/>
  <c r="C2058" i="24" s="1"/>
  <c r="B2057" i="24"/>
  <c r="C2057" i="24" s="1"/>
  <c r="C2056" i="24"/>
  <c r="B2056" i="24"/>
  <c r="B2055" i="24"/>
  <c r="C2055" i="24" s="1"/>
  <c r="C2054" i="24"/>
  <c r="B2054" i="24"/>
  <c r="B2053" i="24"/>
  <c r="C2053" i="24" s="1"/>
  <c r="B2052" i="24"/>
  <c r="C2052" i="24" s="1"/>
  <c r="B2051" i="24"/>
  <c r="C2051" i="24" s="1"/>
  <c r="B2050" i="24"/>
  <c r="C2050" i="24" s="1"/>
  <c r="B2049" i="24"/>
  <c r="C2049" i="24" s="1"/>
  <c r="B2048" i="24"/>
  <c r="C2048" i="24" s="1"/>
  <c r="B2047" i="24"/>
  <c r="C2047" i="24" s="1"/>
  <c r="B2046" i="24"/>
  <c r="C2046" i="24" s="1"/>
  <c r="B2045" i="24"/>
  <c r="C2045" i="24" s="1"/>
  <c r="B2044" i="24"/>
  <c r="C2044" i="24" s="1"/>
  <c r="B2043" i="24"/>
  <c r="C2043" i="24" s="1"/>
  <c r="B2042" i="24"/>
  <c r="C2042" i="24" s="1"/>
  <c r="B2041" i="24"/>
  <c r="C2041" i="24" s="1"/>
  <c r="B2040" i="24"/>
  <c r="C2040" i="24" s="1"/>
  <c r="B2039" i="24"/>
  <c r="C2039" i="24" s="1"/>
  <c r="B2038" i="24"/>
  <c r="C2038" i="24" s="1"/>
  <c r="B2037" i="24"/>
  <c r="C2037" i="24" s="1"/>
  <c r="B2036" i="24"/>
  <c r="C2036" i="24" s="1"/>
  <c r="B2035" i="24"/>
  <c r="C2035" i="24" s="1"/>
  <c r="B2034" i="24"/>
  <c r="C2034" i="24" s="1"/>
  <c r="B2033" i="24"/>
  <c r="C2033" i="24" s="1"/>
  <c r="B2032" i="24"/>
  <c r="C2032" i="24" s="1"/>
  <c r="B2031" i="24"/>
  <c r="C2031" i="24" s="1"/>
  <c r="B2030" i="24"/>
  <c r="C2030" i="24" s="1"/>
  <c r="B2029" i="24"/>
  <c r="C2029" i="24" s="1"/>
  <c r="B2028" i="24"/>
  <c r="C2028" i="24" s="1"/>
  <c r="B2027" i="24"/>
  <c r="C2027" i="24" s="1"/>
  <c r="B2026" i="24"/>
  <c r="C2026" i="24" s="1"/>
  <c r="B2025" i="24"/>
  <c r="C2025" i="24" s="1"/>
  <c r="B2024" i="24"/>
  <c r="C2024" i="24" s="1"/>
  <c r="B2023" i="24"/>
  <c r="C2023" i="24" s="1"/>
  <c r="B2022" i="24"/>
  <c r="C2022" i="24" s="1"/>
  <c r="B2021" i="24"/>
  <c r="C2021" i="24" s="1"/>
  <c r="B2020" i="24"/>
  <c r="C2020" i="24" s="1"/>
  <c r="B2019" i="24"/>
  <c r="C2019" i="24" s="1"/>
  <c r="B2018" i="24"/>
  <c r="C2018" i="24" s="1"/>
  <c r="B2017" i="24"/>
  <c r="C2017" i="24" s="1"/>
  <c r="B2016" i="24"/>
  <c r="C2016" i="24" s="1"/>
  <c r="B2015" i="24"/>
  <c r="C2015" i="24" s="1"/>
  <c r="B2014" i="24"/>
  <c r="C2014" i="24" s="1"/>
  <c r="B2013" i="24"/>
  <c r="C2013" i="24" s="1"/>
  <c r="B2012" i="24"/>
  <c r="C2012" i="24" s="1"/>
  <c r="B2011" i="24"/>
  <c r="C2011" i="24" s="1"/>
  <c r="B2010" i="24"/>
  <c r="C2010" i="24" s="1"/>
  <c r="B2009" i="24"/>
  <c r="C2009" i="24" s="1"/>
  <c r="B2008" i="24"/>
  <c r="C2008" i="24" s="1"/>
  <c r="B2007" i="24"/>
  <c r="C2007" i="24" s="1"/>
  <c r="B2006" i="24"/>
  <c r="C2006" i="24" s="1"/>
  <c r="B2005" i="24"/>
  <c r="C2005" i="24" s="1"/>
  <c r="B2004" i="24"/>
  <c r="C2004" i="24" s="1"/>
  <c r="B2003" i="24"/>
  <c r="C2003" i="24" s="1"/>
  <c r="B2002" i="24"/>
  <c r="C2002" i="24" s="1"/>
  <c r="B2001" i="24"/>
  <c r="C2001" i="24" s="1"/>
  <c r="B2000" i="24"/>
  <c r="C2000" i="24" s="1"/>
  <c r="B1999" i="24"/>
  <c r="C1999" i="24" s="1"/>
  <c r="B1998" i="24"/>
  <c r="C1998" i="24" s="1"/>
  <c r="B1997" i="24"/>
  <c r="C1997" i="24" s="1"/>
  <c r="B1996" i="24"/>
  <c r="C1996" i="24" s="1"/>
  <c r="B1995" i="24"/>
  <c r="C1995" i="24" s="1"/>
  <c r="B1994" i="24"/>
  <c r="C1994" i="24" s="1"/>
  <c r="B1993" i="24"/>
  <c r="C1993" i="24" s="1"/>
  <c r="B1992" i="24"/>
  <c r="C1992" i="24" s="1"/>
  <c r="B1991" i="24"/>
  <c r="C1991" i="24" s="1"/>
  <c r="B1990" i="24"/>
  <c r="C1990" i="24" s="1"/>
  <c r="B1989" i="24"/>
  <c r="C1989" i="24" s="1"/>
  <c r="B1988" i="24"/>
  <c r="C1988" i="24" s="1"/>
  <c r="B1987" i="24"/>
  <c r="C1987" i="24" s="1"/>
  <c r="B1986" i="24"/>
  <c r="C1986" i="24" s="1"/>
  <c r="B1985" i="24"/>
  <c r="C1985" i="24" s="1"/>
  <c r="B1984" i="24"/>
  <c r="C1984" i="24" s="1"/>
  <c r="B1983" i="24"/>
  <c r="C1983" i="24" s="1"/>
  <c r="B1982" i="24"/>
  <c r="C1982" i="24" s="1"/>
  <c r="B1981" i="24"/>
  <c r="C1981" i="24" s="1"/>
  <c r="B1980" i="24"/>
  <c r="C1980" i="24" s="1"/>
  <c r="B1979" i="24"/>
  <c r="C1979" i="24" s="1"/>
  <c r="B1978" i="24"/>
  <c r="C1978" i="24" s="1"/>
  <c r="B1977" i="24"/>
  <c r="C1977" i="24" s="1"/>
  <c r="B1976" i="24"/>
  <c r="C1976" i="24" s="1"/>
  <c r="B1975" i="24"/>
  <c r="C1975" i="24" s="1"/>
  <c r="B1974" i="24"/>
  <c r="C1974" i="24" s="1"/>
  <c r="B1973" i="24"/>
  <c r="C1973" i="24" s="1"/>
  <c r="B1972" i="24"/>
  <c r="C1972" i="24" s="1"/>
  <c r="B1971" i="24"/>
  <c r="C1971" i="24" s="1"/>
  <c r="B1970" i="24"/>
  <c r="C1970" i="24" s="1"/>
  <c r="B1969" i="24"/>
  <c r="C1969" i="24" s="1"/>
  <c r="B1968" i="24"/>
  <c r="C1968" i="24" s="1"/>
  <c r="B1967" i="24"/>
  <c r="C1967" i="24" s="1"/>
  <c r="B1966" i="24"/>
  <c r="C1966" i="24" s="1"/>
  <c r="B1965" i="24"/>
  <c r="C1965" i="24" s="1"/>
  <c r="B1964" i="24"/>
  <c r="C1964" i="24" s="1"/>
  <c r="B1963" i="24"/>
  <c r="C1963" i="24" s="1"/>
  <c r="B1962" i="24"/>
  <c r="C1962" i="24" s="1"/>
  <c r="B1961" i="24"/>
  <c r="C1961" i="24" s="1"/>
  <c r="B1960" i="24"/>
  <c r="C1960" i="24" s="1"/>
  <c r="B1959" i="24"/>
  <c r="C1959" i="24" s="1"/>
  <c r="B1958" i="24"/>
  <c r="C1958" i="24" s="1"/>
  <c r="B1957" i="24"/>
  <c r="C1957" i="24" s="1"/>
  <c r="B1956" i="24"/>
  <c r="C1956" i="24" s="1"/>
  <c r="B1955" i="24"/>
  <c r="C1955" i="24" s="1"/>
  <c r="B1954" i="24"/>
  <c r="C1954" i="24" s="1"/>
  <c r="B1953" i="24"/>
  <c r="C1953" i="24" s="1"/>
  <c r="B1952" i="24"/>
  <c r="C1952" i="24" s="1"/>
  <c r="B1951" i="24"/>
  <c r="C1951" i="24" s="1"/>
  <c r="B1950" i="24"/>
  <c r="C1950" i="24" s="1"/>
  <c r="B1949" i="24"/>
  <c r="C1949" i="24" s="1"/>
  <c r="B1948" i="24"/>
  <c r="C1948" i="24" s="1"/>
  <c r="B1947" i="24"/>
  <c r="C1947" i="24" s="1"/>
  <c r="B1946" i="24"/>
  <c r="C1946" i="24" s="1"/>
  <c r="B1945" i="24"/>
  <c r="C1945" i="24" s="1"/>
  <c r="B1944" i="24"/>
  <c r="C1944" i="24" s="1"/>
  <c r="B1943" i="24"/>
  <c r="C1943" i="24" s="1"/>
  <c r="B1942" i="24"/>
  <c r="C1942" i="24" s="1"/>
  <c r="B1941" i="24"/>
  <c r="C1941" i="24" s="1"/>
  <c r="B1940" i="24"/>
  <c r="C1940" i="24" s="1"/>
  <c r="B1939" i="24"/>
  <c r="C1939" i="24" s="1"/>
  <c r="B1938" i="24"/>
  <c r="C1938" i="24" s="1"/>
  <c r="B1937" i="24"/>
  <c r="C1937" i="24" s="1"/>
  <c r="B1936" i="24"/>
  <c r="C1936" i="24" s="1"/>
  <c r="B1935" i="24"/>
  <c r="C1935" i="24" s="1"/>
  <c r="B1934" i="24"/>
  <c r="C1934" i="24" s="1"/>
  <c r="B1933" i="24"/>
  <c r="C1933" i="24" s="1"/>
  <c r="B1932" i="24"/>
  <c r="C1932" i="24" s="1"/>
  <c r="B1931" i="24"/>
  <c r="C1931" i="24" s="1"/>
  <c r="B1930" i="24"/>
  <c r="C1930" i="24" s="1"/>
  <c r="B1929" i="24"/>
  <c r="C1929" i="24" s="1"/>
  <c r="B1928" i="24"/>
  <c r="C1928" i="24" s="1"/>
  <c r="B1927" i="24"/>
  <c r="C1927" i="24" s="1"/>
  <c r="B1926" i="24"/>
  <c r="C1926" i="24" s="1"/>
  <c r="B1925" i="24"/>
  <c r="C1925" i="24" s="1"/>
  <c r="B1924" i="24"/>
  <c r="C1924" i="24" s="1"/>
  <c r="B1923" i="24"/>
  <c r="C1923" i="24" s="1"/>
  <c r="B1922" i="24"/>
  <c r="C1922" i="24" s="1"/>
  <c r="B1921" i="24"/>
  <c r="C1921" i="24" s="1"/>
  <c r="B1920" i="24"/>
  <c r="C1920" i="24" s="1"/>
  <c r="B1919" i="24"/>
  <c r="C1919" i="24" s="1"/>
  <c r="B1918" i="24"/>
  <c r="C1918" i="24" s="1"/>
  <c r="B1917" i="24"/>
  <c r="C1917" i="24" s="1"/>
  <c r="B1916" i="24"/>
  <c r="C1916" i="24" s="1"/>
  <c r="I1915" i="24"/>
  <c r="I1916" i="24" s="1"/>
  <c r="B1915" i="24"/>
  <c r="C1915" i="24" s="1"/>
  <c r="J1914" i="24"/>
  <c r="I1914" i="24"/>
  <c r="B1914" i="24"/>
  <c r="C1914" i="24" s="1"/>
  <c r="I1913" i="24"/>
  <c r="J1913" i="24" s="1"/>
  <c r="B1913" i="24"/>
  <c r="C1913" i="24" s="1"/>
  <c r="J1912" i="24"/>
  <c r="I1912" i="24"/>
  <c r="B1912" i="24"/>
  <c r="C1912" i="24" s="1"/>
  <c r="I1911" i="24"/>
  <c r="J1911" i="24" s="1"/>
  <c r="B1911" i="24"/>
  <c r="C1911" i="24" s="1"/>
  <c r="J1910" i="24"/>
  <c r="I1910" i="24"/>
  <c r="B1910" i="24"/>
  <c r="C1910" i="24" s="1"/>
  <c r="I1909" i="24"/>
  <c r="J1909" i="24" s="1"/>
  <c r="B1909" i="24"/>
  <c r="C1909" i="24" s="1"/>
  <c r="J1908" i="24"/>
  <c r="I1908" i="24"/>
  <c r="B1908" i="24"/>
  <c r="C1908" i="24" s="1"/>
  <c r="I1907" i="24"/>
  <c r="J1907" i="24" s="1"/>
  <c r="B1907" i="24"/>
  <c r="C1907" i="24" s="1"/>
  <c r="I1906" i="24"/>
  <c r="J1906" i="24" s="1"/>
  <c r="B1906" i="24"/>
  <c r="C1906" i="24" s="1"/>
  <c r="I1905" i="24"/>
  <c r="J1905" i="24" s="1"/>
  <c r="B1905" i="24"/>
  <c r="C1905" i="24" s="1"/>
  <c r="I1904" i="24"/>
  <c r="J1904" i="24" s="1"/>
  <c r="B1904" i="24"/>
  <c r="C1904" i="24" s="1"/>
  <c r="I1903" i="24"/>
  <c r="J1903" i="24" s="1"/>
  <c r="B1903" i="24"/>
  <c r="C1903" i="24" s="1"/>
  <c r="I1902" i="24"/>
  <c r="J1902" i="24" s="1"/>
  <c r="B1902" i="24"/>
  <c r="C1902" i="24" s="1"/>
  <c r="I1901" i="24"/>
  <c r="J1901" i="24" s="1"/>
  <c r="B1901" i="24"/>
  <c r="C1901" i="24" s="1"/>
  <c r="I1900" i="24"/>
  <c r="J1900" i="24" s="1"/>
  <c r="B1900" i="24"/>
  <c r="C1900" i="24" s="1"/>
  <c r="I1899" i="24"/>
  <c r="J1899" i="24" s="1"/>
  <c r="B1899" i="24"/>
  <c r="C1899" i="24" s="1"/>
  <c r="I1898" i="24"/>
  <c r="J1898" i="24" s="1"/>
  <c r="B1898" i="24"/>
  <c r="C1898" i="24" s="1"/>
  <c r="I1897" i="24"/>
  <c r="J1897" i="24" s="1"/>
  <c r="B1897" i="24"/>
  <c r="C1897" i="24" s="1"/>
  <c r="I1896" i="24"/>
  <c r="J1896" i="24" s="1"/>
  <c r="B1896" i="24"/>
  <c r="C1896" i="24" s="1"/>
  <c r="I1895" i="24"/>
  <c r="J1895" i="24" s="1"/>
  <c r="B1895" i="24"/>
  <c r="C1895" i="24" s="1"/>
  <c r="I1894" i="24"/>
  <c r="J1894" i="24" s="1"/>
  <c r="B1894" i="24"/>
  <c r="C1894" i="24" s="1"/>
  <c r="I1893" i="24"/>
  <c r="J1893" i="24" s="1"/>
  <c r="B1893" i="24"/>
  <c r="C1893" i="24" s="1"/>
  <c r="I1892" i="24"/>
  <c r="J1892" i="24" s="1"/>
  <c r="B1892" i="24"/>
  <c r="C1892" i="24" s="1"/>
  <c r="I1891" i="24"/>
  <c r="J1891" i="24" s="1"/>
  <c r="B1891" i="24"/>
  <c r="C1891" i="24" s="1"/>
  <c r="I1890" i="24"/>
  <c r="J1890" i="24" s="1"/>
  <c r="B1890" i="24"/>
  <c r="C1890" i="24" s="1"/>
  <c r="I1889" i="24"/>
  <c r="J1889" i="24" s="1"/>
  <c r="B1889" i="24"/>
  <c r="C1889" i="24" s="1"/>
  <c r="I1888" i="24"/>
  <c r="J1888" i="24" s="1"/>
  <c r="B1888" i="24"/>
  <c r="C1888" i="24" s="1"/>
  <c r="I1887" i="24"/>
  <c r="J1887" i="24" s="1"/>
  <c r="B1887" i="24"/>
  <c r="C1887" i="24" s="1"/>
  <c r="I1886" i="24"/>
  <c r="J1886" i="24" s="1"/>
  <c r="B1886" i="24"/>
  <c r="C1886" i="24" s="1"/>
  <c r="I1885" i="24"/>
  <c r="J1885" i="24" s="1"/>
  <c r="B1885" i="24"/>
  <c r="C1885" i="24" s="1"/>
  <c r="I1884" i="24"/>
  <c r="J1884" i="24" s="1"/>
  <c r="B1884" i="24"/>
  <c r="C1884" i="24" s="1"/>
  <c r="I1883" i="24"/>
  <c r="J1883" i="24" s="1"/>
  <c r="B1883" i="24"/>
  <c r="C1883" i="24" s="1"/>
  <c r="I1882" i="24"/>
  <c r="J1882" i="24" s="1"/>
  <c r="B1882" i="24"/>
  <c r="C1882" i="24" s="1"/>
  <c r="I1881" i="24"/>
  <c r="J1881" i="24" s="1"/>
  <c r="B1881" i="24"/>
  <c r="C1881" i="24" s="1"/>
  <c r="I1880" i="24"/>
  <c r="J1880" i="24" s="1"/>
  <c r="B1880" i="24"/>
  <c r="C1880" i="24" s="1"/>
  <c r="I1879" i="24"/>
  <c r="J1879" i="24" s="1"/>
  <c r="B1879" i="24"/>
  <c r="C1879" i="24" s="1"/>
  <c r="I1878" i="24"/>
  <c r="J1878" i="24" s="1"/>
  <c r="B1878" i="24"/>
  <c r="C1878" i="24" s="1"/>
  <c r="I1877" i="24"/>
  <c r="J1877" i="24" s="1"/>
  <c r="B1877" i="24"/>
  <c r="C1877" i="24" s="1"/>
  <c r="I1876" i="24"/>
  <c r="J1876" i="24" s="1"/>
  <c r="B1876" i="24"/>
  <c r="C1876" i="24" s="1"/>
  <c r="I1875" i="24"/>
  <c r="J1875" i="24" s="1"/>
  <c r="B1875" i="24"/>
  <c r="C1875" i="24" s="1"/>
  <c r="I1874" i="24"/>
  <c r="J1874" i="24" s="1"/>
  <c r="B1874" i="24"/>
  <c r="C1874" i="24" s="1"/>
  <c r="I1873" i="24"/>
  <c r="J1873" i="24" s="1"/>
  <c r="B1873" i="24"/>
  <c r="C1873" i="24" s="1"/>
  <c r="I1872" i="24"/>
  <c r="J1872" i="24" s="1"/>
  <c r="B1872" i="24"/>
  <c r="C1872" i="24" s="1"/>
  <c r="I1871" i="24"/>
  <c r="J1871" i="24" s="1"/>
  <c r="B1871" i="24"/>
  <c r="C1871" i="24" s="1"/>
  <c r="I1870" i="24"/>
  <c r="J1870" i="24" s="1"/>
  <c r="B1870" i="24"/>
  <c r="C1870" i="24" s="1"/>
  <c r="I1869" i="24"/>
  <c r="J1869" i="24" s="1"/>
  <c r="B1869" i="24"/>
  <c r="C1869" i="24" s="1"/>
  <c r="I1868" i="24"/>
  <c r="J1868" i="24" s="1"/>
  <c r="B1868" i="24"/>
  <c r="C1868" i="24" s="1"/>
  <c r="I1867" i="24"/>
  <c r="J1867" i="24" s="1"/>
  <c r="B1867" i="24"/>
  <c r="C1867" i="24" s="1"/>
  <c r="I1866" i="24"/>
  <c r="J1866" i="24" s="1"/>
  <c r="B1866" i="24"/>
  <c r="C1866" i="24" s="1"/>
  <c r="I1865" i="24"/>
  <c r="J1865" i="24" s="1"/>
  <c r="B1865" i="24"/>
  <c r="C1865" i="24" s="1"/>
  <c r="I1864" i="24"/>
  <c r="J1864" i="24" s="1"/>
  <c r="B1864" i="24"/>
  <c r="C1864" i="24" s="1"/>
  <c r="I1863" i="24"/>
  <c r="J1863" i="24" s="1"/>
  <c r="C1863" i="24"/>
  <c r="B1863" i="24"/>
  <c r="I1862" i="24"/>
  <c r="J1862" i="24" s="1"/>
  <c r="B1862" i="24"/>
  <c r="C1862" i="24" s="1"/>
  <c r="I1861" i="24"/>
  <c r="J1861" i="24" s="1"/>
  <c r="B1861" i="24"/>
  <c r="C1861" i="24" s="1"/>
  <c r="I1860" i="24"/>
  <c r="J1860" i="24" s="1"/>
  <c r="B1860" i="24"/>
  <c r="C1860" i="24" s="1"/>
  <c r="I1859" i="24"/>
  <c r="J1859" i="24" s="1"/>
  <c r="B1859" i="24"/>
  <c r="C1859" i="24" s="1"/>
  <c r="I1858" i="24"/>
  <c r="J1858" i="24" s="1"/>
  <c r="B1858" i="24"/>
  <c r="C1858" i="24" s="1"/>
  <c r="I1857" i="24"/>
  <c r="J1857" i="24" s="1"/>
  <c r="B1857" i="24"/>
  <c r="C1857" i="24" s="1"/>
  <c r="I1856" i="24"/>
  <c r="J1856" i="24" s="1"/>
  <c r="B1856" i="24"/>
  <c r="C1856" i="24" s="1"/>
  <c r="I1855" i="24"/>
  <c r="J1855" i="24" s="1"/>
  <c r="C1855" i="24"/>
  <c r="B1855" i="24"/>
  <c r="I1854" i="24"/>
  <c r="J1854" i="24" s="1"/>
  <c r="B1854" i="24"/>
  <c r="C1854" i="24" s="1"/>
  <c r="J1853" i="24"/>
  <c r="I1853" i="24"/>
  <c r="B1853" i="24"/>
  <c r="C1853" i="24" s="1"/>
  <c r="I1852" i="24"/>
  <c r="J1852" i="24" s="1"/>
  <c r="B1852" i="24"/>
  <c r="C1852" i="24" s="1"/>
  <c r="I1851" i="24"/>
  <c r="J1851" i="24" s="1"/>
  <c r="C1851" i="24"/>
  <c r="B1851" i="24"/>
  <c r="I1850" i="24"/>
  <c r="J1850" i="24" s="1"/>
  <c r="B1850" i="24"/>
  <c r="C1850" i="24" s="1"/>
  <c r="J1849" i="24"/>
  <c r="I1849" i="24"/>
  <c r="B1849" i="24"/>
  <c r="C1849" i="24" s="1"/>
  <c r="I1848" i="24"/>
  <c r="J1848" i="24" s="1"/>
  <c r="B1848" i="24"/>
  <c r="C1848" i="24" s="1"/>
  <c r="I1847" i="24"/>
  <c r="J1847" i="24" s="1"/>
  <c r="C1847" i="24"/>
  <c r="B1847" i="24"/>
  <c r="I1846" i="24"/>
  <c r="J1846" i="24" s="1"/>
  <c r="B1846" i="24"/>
  <c r="C1846" i="24" s="1"/>
  <c r="J1845" i="24"/>
  <c r="I1845" i="24"/>
  <c r="B1845" i="24"/>
  <c r="C1845" i="24" s="1"/>
  <c r="I1844" i="24"/>
  <c r="J1844" i="24" s="1"/>
  <c r="B1844" i="24"/>
  <c r="C1844" i="24" s="1"/>
  <c r="I1843" i="24"/>
  <c r="J1843" i="24" s="1"/>
  <c r="C1843" i="24"/>
  <c r="B1843" i="24"/>
  <c r="I1842" i="24"/>
  <c r="J1842" i="24" s="1"/>
  <c r="B1842" i="24"/>
  <c r="C1842" i="24" s="1"/>
  <c r="J1841" i="24"/>
  <c r="I1841" i="24"/>
  <c r="B1841" i="24"/>
  <c r="C1841" i="24" s="1"/>
  <c r="I1840" i="24"/>
  <c r="J1840" i="24" s="1"/>
  <c r="B1840" i="24"/>
  <c r="C1840" i="24" s="1"/>
  <c r="I1839" i="24"/>
  <c r="J1839" i="24" s="1"/>
  <c r="C1839" i="24"/>
  <c r="B1839" i="24"/>
  <c r="I1838" i="24"/>
  <c r="J1838" i="24" s="1"/>
  <c r="B1838" i="24"/>
  <c r="C1838" i="24" s="1"/>
  <c r="J1837" i="24"/>
  <c r="I1837" i="24"/>
  <c r="B1837" i="24"/>
  <c r="C1837" i="24" s="1"/>
  <c r="I1836" i="24"/>
  <c r="J1836" i="24" s="1"/>
  <c r="B1836" i="24"/>
  <c r="C1836" i="24" s="1"/>
  <c r="I1835" i="24"/>
  <c r="J1835" i="24" s="1"/>
  <c r="C1835" i="24"/>
  <c r="B1835" i="24"/>
  <c r="I1834" i="24"/>
  <c r="J1834" i="24" s="1"/>
  <c r="B1834" i="24"/>
  <c r="C1834" i="24" s="1"/>
  <c r="J1833" i="24"/>
  <c r="I1833" i="24"/>
  <c r="B1833" i="24"/>
  <c r="C1833" i="24" s="1"/>
  <c r="I1832" i="24"/>
  <c r="J1832" i="24" s="1"/>
  <c r="B1832" i="24"/>
  <c r="C1832" i="24" s="1"/>
  <c r="I1831" i="24"/>
  <c r="J1831" i="24" s="1"/>
  <c r="B1831" i="24"/>
  <c r="C1831" i="24" s="1"/>
  <c r="I1830" i="24"/>
  <c r="J1830" i="24" s="1"/>
  <c r="B1830" i="24"/>
  <c r="C1830" i="24" s="1"/>
  <c r="J1829" i="24"/>
  <c r="I1829" i="24"/>
  <c r="B1829" i="24"/>
  <c r="C1829" i="24" s="1"/>
  <c r="I1828" i="24"/>
  <c r="J1828" i="24" s="1"/>
  <c r="B1828" i="24"/>
  <c r="C1828" i="24" s="1"/>
  <c r="I1827" i="24"/>
  <c r="J1827" i="24" s="1"/>
  <c r="C1827" i="24"/>
  <c r="B1827" i="24"/>
  <c r="I1826" i="24"/>
  <c r="J1826" i="24" s="1"/>
  <c r="B1826" i="24"/>
  <c r="C1826" i="24" s="1"/>
  <c r="I1825" i="24"/>
  <c r="J1825" i="24" s="1"/>
  <c r="B1825" i="24"/>
  <c r="C1825" i="24" s="1"/>
  <c r="I1824" i="24"/>
  <c r="J1824" i="24" s="1"/>
  <c r="B1824" i="24"/>
  <c r="C1824" i="24" s="1"/>
  <c r="I1823" i="24"/>
  <c r="J1823" i="24" s="1"/>
  <c r="B1823" i="24"/>
  <c r="C1823" i="24" s="1"/>
  <c r="I1822" i="24"/>
  <c r="J1822" i="24" s="1"/>
  <c r="B1822" i="24"/>
  <c r="C1822" i="24" s="1"/>
  <c r="J1821" i="24"/>
  <c r="I1821" i="24"/>
  <c r="B1821" i="24"/>
  <c r="C1821" i="24" s="1"/>
  <c r="I1820" i="24"/>
  <c r="J1820" i="24" s="1"/>
  <c r="B1820" i="24"/>
  <c r="C1820" i="24" s="1"/>
  <c r="I1819" i="24"/>
  <c r="J1819" i="24" s="1"/>
  <c r="C1819" i="24"/>
  <c r="B1819" i="24"/>
  <c r="I1818" i="24"/>
  <c r="J1818" i="24" s="1"/>
  <c r="B1818" i="24"/>
  <c r="C1818" i="24" s="1"/>
  <c r="I1817" i="24"/>
  <c r="J1817" i="24" s="1"/>
  <c r="B1817" i="24"/>
  <c r="C1817" i="24" s="1"/>
  <c r="I1816" i="24"/>
  <c r="J1816" i="24" s="1"/>
  <c r="B1816" i="24"/>
  <c r="C1816" i="24" s="1"/>
  <c r="I1815" i="24"/>
  <c r="J1815" i="24" s="1"/>
  <c r="B1815" i="24"/>
  <c r="C1815" i="24" s="1"/>
  <c r="I1814" i="24"/>
  <c r="J1814" i="24" s="1"/>
  <c r="B1814" i="24"/>
  <c r="C1814" i="24" s="1"/>
  <c r="J1813" i="24"/>
  <c r="I1813" i="24"/>
  <c r="B1813" i="24"/>
  <c r="C1813" i="24" s="1"/>
  <c r="I1812" i="24"/>
  <c r="J1812" i="24" s="1"/>
  <c r="B1812" i="24"/>
  <c r="C1812" i="24" s="1"/>
  <c r="I1811" i="24"/>
  <c r="J1811" i="24" s="1"/>
  <c r="C1811" i="24"/>
  <c r="B1811" i="24"/>
  <c r="I1810" i="24"/>
  <c r="J1810" i="24" s="1"/>
  <c r="B1810" i="24"/>
  <c r="C1810" i="24" s="1"/>
  <c r="I1809" i="24"/>
  <c r="J1809" i="24" s="1"/>
  <c r="B1809" i="24"/>
  <c r="C1809" i="24" s="1"/>
  <c r="I1808" i="24"/>
  <c r="J1808" i="24" s="1"/>
  <c r="B1808" i="24"/>
  <c r="C1808" i="24" s="1"/>
  <c r="I1807" i="24"/>
  <c r="J1807" i="24" s="1"/>
  <c r="B1807" i="24"/>
  <c r="C1807" i="24" s="1"/>
  <c r="I1806" i="24"/>
  <c r="J1806" i="24" s="1"/>
  <c r="B1806" i="24"/>
  <c r="C1806" i="24" s="1"/>
  <c r="J1805" i="24"/>
  <c r="I1805" i="24"/>
  <c r="B1805" i="24"/>
  <c r="C1805" i="24" s="1"/>
  <c r="I1804" i="24"/>
  <c r="J1804" i="24" s="1"/>
  <c r="B1804" i="24"/>
  <c r="C1804" i="24" s="1"/>
  <c r="I1803" i="24"/>
  <c r="J1803" i="24" s="1"/>
  <c r="C1803" i="24"/>
  <c r="B1803" i="24"/>
  <c r="I1802" i="24"/>
  <c r="J1802" i="24" s="1"/>
  <c r="B1802" i="24"/>
  <c r="C1802" i="24" s="1"/>
  <c r="I1801" i="24"/>
  <c r="J1801" i="24" s="1"/>
  <c r="B1801" i="24"/>
  <c r="C1801" i="24" s="1"/>
  <c r="I1800" i="24"/>
  <c r="J1800" i="24" s="1"/>
  <c r="B1800" i="24"/>
  <c r="C1800" i="24" s="1"/>
  <c r="I1799" i="24"/>
  <c r="J1799" i="24" s="1"/>
  <c r="B1799" i="24"/>
  <c r="C1799" i="24" s="1"/>
  <c r="I1798" i="24"/>
  <c r="J1798" i="24" s="1"/>
  <c r="B1798" i="24"/>
  <c r="C1798" i="24" s="1"/>
  <c r="J1797" i="24"/>
  <c r="I1797" i="24"/>
  <c r="B1797" i="24"/>
  <c r="C1797" i="24" s="1"/>
  <c r="I1796" i="24"/>
  <c r="J1796" i="24" s="1"/>
  <c r="B1796" i="24"/>
  <c r="C1796" i="24" s="1"/>
  <c r="I1795" i="24"/>
  <c r="J1795" i="24" s="1"/>
  <c r="C1795" i="24"/>
  <c r="B1795" i="24"/>
  <c r="I1794" i="24"/>
  <c r="J1794" i="24" s="1"/>
  <c r="B1794" i="24"/>
  <c r="C1794" i="24" s="1"/>
  <c r="I1793" i="24"/>
  <c r="J1793" i="24" s="1"/>
  <c r="B1793" i="24"/>
  <c r="C1793" i="24" s="1"/>
  <c r="I1792" i="24"/>
  <c r="J1792" i="24" s="1"/>
  <c r="B1792" i="24"/>
  <c r="C1792" i="24" s="1"/>
  <c r="I1791" i="24"/>
  <c r="J1791" i="24" s="1"/>
  <c r="B1791" i="24"/>
  <c r="C1791" i="24" s="1"/>
  <c r="I1790" i="24"/>
  <c r="J1790" i="24" s="1"/>
  <c r="B1790" i="24"/>
  <c r="C1790" i="24" s="1"/>
  <c r="J1789" i="24"/>
  <c r="I1789" i="24"/>
  <c r="B1789" i="24"/>
  <c r="C1789" i="24" s="1"/>
  <c r="I1788" i="24"/>
  <c r="J1788" i="24" s="1"/>
  <c r="B1788" i="24"/>
  <c r="C1788" i="24" s="1"/>
  <c r="I1787" i="24"/>
  <c r="J1787" i="24" s="1"/>
  <c r="C1787" i="24"/>
  <c r="B1787" i="24"/>
  <c r="I1786" i="24"/>
  <c r="J1786" i="24" s="1"/>
  <c r="C1786" i="24"/>
  <c r="B1786" i="24"/>
  <c r="J1785" i="24"/>
  <c r="I1785" i="24"/>
  <c r="B1785" i="24"/>
  <c r="C1785" i="24" s="1"/>
  <c r="I1784" i="24"/>
  <c r="J1784" i="24" s="1"/>
  <c r="B1784" i="24"/>
  <c r="C1784" i="24" s="1"/>
  <c r="I1783" i="24"/>
  <c r="J1783" i="24" s="1"/>
  <c r="B1783" i="24"/>
  <c r="C1783" i="24" s="1"/>
  <c r="I1782" i="24"/>
  <c r="J1782" i="24" s="1"/>
  <c r="C1782" i="24"/>
  <c r="B1782" i="24"/>
  <c r="J1781" i="24"/>
  <c r="I1781" i="24"/>
  <c r="C1781" i="24"/>
  <c r="B1781" i="24"/>
  <c r="I1780" i="24"/>
  <c r="J1780" i="24" s="1"/>
  <c r="C1780" i="24"/>
  <c r="B1780" i="24"/>
  <c r="I1779" i="24"/>
  <c r="J1779" i="24" s="1"/>
  <c r="B1779" i="24"/>
  <c r="C1779" i="24" s="1"/>
  <c r="I1778" i="24"/>
  <c r="J1778" i="24" s="1"/>
  <c r="B1778" i="24"/>
  <c r="C1778" i="24" s="1"/>
  <c r="J1777" i="24"/>
  <c r="I1777" i="24"/>
  <c r="C1777" i="24"/>
  <c r="B1777" i="24"/>
  <c r="I1776" i="24"/>
  <c r="J1776" i="24" s="1"/>
  <c r="B1776" i="24"/>
  <c r="C1776" i="24" s="1"/>
  <c r="J1775" i="24"/>
  <c r="I1775" i="24"/>
  <c r="B1775" i="24"/>
  <c r="C1775" i="24" s="1"/>
  <c r="I1774" i="24"/>
  <c r="J1774" i="24" s="1"/>
  <c r="C1774" i="24"/>
  <c r="B1774" i="24"/>
  <c r="I1773" i="24"/>
  <c r="J1773" i="24" s="1"/>
  <c r="C1773" i="24"/>
  <c r="B1773" i="24"/>
  <c r="I1772" i="24"/>
  <c r="J1772" i="24" s="1"/>
  <c r="B1772" i="24"/>
  <c r="C1772" i="24" s="1"/>
  <c r="I1771" i="24"/>
  <c r="J1771" i="24" s="1"/>
  <c r="C1771" i="24"/>
  <c r="B1771" i="24"/>
  <c r="I1770" i="24"/>
  <c r="J1770" i="24" s="1"/>
  <c r="C1770" i="24"/>
  <c r="B1770" i="24"/>
  <c r="J1769" i="24"/>
  <c r="I1769" i="24"/>
  <c r="B1769" i="24"/>
  <c r="C1769" i="24" s="1"/>
  <c r="J1768" i="24"/>
  <c r="I1768" i="24"/>
  <c r="C1768" i="24"/>
  <c r="B1768" i="24"/>
  <c r="J1767" i="24"/>
  <c r="I1767" i="24"/>
  <c r="B1767" i="24"/>
  <c r="C1767" i="24" s="1"/>
  <c r="J1766" i="24"/>
  <c r="I1766" i="24"/>
  <c r="C1766" i="24"/>
  <c r="B1766" i="24"/>
  <c r="J1765" i="24"/>
  <c r="I1765" i="24"/>
  <c r="B1765" i="24"/>
  <c r="C1765" i="24" s="1"/>
  <c r="J1764" i="24"/>
  <c r="I1764" i="24"/>
  <c r="C1764" i="24"/>
  <c r="B1764" i="24"/>
  <c r="J1763" i="24"/>
  <c r="I1763" i="24"/>
  <c r="B1763" i="24"/>
  <c r="C1763" i="24" s="1"/>
  <c r="J1762" i="24"/>
  <c r="I1762" i="24"/>
  <c r="C1762" i="24"/>
  <c r="B1762" i="24"/>
  <c r="J1761" i="24"/>
  <c r="I1761" i="24"/>
  <c r="B1761" i="24"/>
  <c r="C1761" i="24" s="1"/>
  <c r="J1760" i="24"/>
  <c r="I1760" i="24"/>
  <c r="C1760" i="24"/>
  <c r="B1760" i="24"/>
  <c r="J1759" i="24"/>
  <c r="I1759" i="24"/>
  <c r="B1759" i="24"/>
  <c r="C1759" i="24" s="1"/>
  <c r="J1758" i="24"/>
  <c r="I1758" i="24"/>
  <c r="C1758" i="24"/>
  <c r="B1758" i="24"/>
  <c r="J1757" i="24"/>
  <c r="I1757" i="24"/>
  <c r="B1757" i="24"/>
  <c r="C1757" i="24" s="1"/>
  <c r="J1756" i="24"/>
  <c r="I1756" i="24"/>
  <c r="C1756" i="24"/>
  <c r="B1756" i="24"/>
  <c r="J1755" i="24"/>
  <c r="I1755" i="24"/>
  <c r="B1755" i="24"/>
  <c r="C1755" i="24" s="1"/>
  <c r="J1754" i="24"/>
  <c r="I1754" i="24"/>
  <c r="C1754" i="24"/>
  <c r="B1754" i="24"/>
  <c r="J1753" i="24"/>
  <c r="I1753" i="24"/>
  <c r="B1753" i="24"/>
  <c r="C1753" i="24" s="1"/>
  <c r="J1752" i="24"/>
  <c r="I1752" i="24"/>
  <c r="C1752" i="24"/>
  <c r="B1752" i="24"/>
  <c r="J1751" i="24"/>
  <c r="I1751" i="24"/>
  <c r="B1751" i="24"/>
  <c r="C1751" i="24" s="1"/>
  <c r="J1750" i="24"/>
  <c r="I1750" i="24"/>
  <c r="C1750" i="24"/>
  <c r="B1750" i="24"/>
  <c r="I1749" i="24"/>
  <c r="J1749" i="24" s="1"/>
  <c r="B1749" i="24"/>
  <c r="C1749" i="24" s="1"/>
  <c r="J1748" i="24"/>
  <c r="I1748" i="24"/>
  <c r="C1748" i="24"/>
  <c r="B1748" i="24"/>
  <c r="I1747" i="24"/>
  <c r="J1747" i="24" s="1"/>
  <c r="B1747" i="24"/>
  <c r="C1747" i="24" s="1"/>
  <c r="J1746" i="24"/>
  <c r="I1746" i="24"/>
  <c r="C1746" i="24"/>
  <c r="B1746" i="24"/>
  <c r="I1745" i="24"/>
  <c r="J1745" i="24" s="1"/>
  <c r="B1745" i="24"/>
  <c r="C1745" i="24" s="1"/>
  <c r="J1744" i="24"/>
  <c r="I1744" i="24"/>
  <c r="C1744" i="24"/>
  <c r="B1744" i="24"/>
  <c r="I1743" i="24"/>
  <c r="J1743" i="24" s="1"/>
  <c r="B1743" i="24"/>
  <c r="C1743" i="24" s="1"/>
  <c r="I1742" i="24"/>
  <c r="J1742" i="24" s="1"/>
  <c r="C1742" i="24"/>
  <c r="B1742" i="24"/>
  <c r="I1741" i="24"/>
  <c r="J1741" i="24" s="1"/>
  <c r="B1741" i="24"/>
  <c r="C1741" i="24" s="1"/>
  <c r="I1740" i="24"/>
  <c r="J1740" i="24" s="1"/>
  <c r="C1740" i="24"/>
  <c r="B1740" i="24"/>
  <c r="I1739" i="24"/>
  <c r="J1739" i="24" s="1"/>
  <c r="B1739" i="24"/>
  <c r="C1739" i="24" s="1"/>
  <c r="I1738" i="24"/>
  <c r="J1738" i="24" s="1"/>
  <c r="C1738" i="24"/>
  <c r="B1738" i="24"/>
  <c r="I1737" i="24"/>
  <c r="J1737" i="24" s="1"/>
  <c r="B1737" i="24"/>
  <c r="C1737" i="24" s="1"/>
  <c r="I1736" i="24"/>
  <c r="J1736" i="24" s="1"/>
  <c r="B1736" i="24"/>
  <c r="C1736" i="24" s="1"/>
  <c r="I1735" i="24"/>
  <c r="J1735" i="24" s="1"/>
  <c r="B1735" i="24"/>
  <c r="C1735" i="24" s="1"/>
  <c r="I1734" i="24"/>
  <c r="J1734" i="24" s="1"/>
  <c r="B1734" i="24"/>
  <c r="C1734" i="24" s="1"/>
  <c r="I1733" i="24"/>
  <c r="J1733" i="24" s="1"/>
  <c r="B1733" i="24"/>
  <c r="C1733" i="24" s="1"/>
  <c r="I1732" i="24"/>
  <c r="J1732" i="24" s="1"/>
  <c r="B1732" i="24"/>
  <c r="C1732" i="24" s="1"/>
  <c r="I1731" i="24"/>
  <c r="J1731" i="24" s="1"/>
  <c r="B1731" i="24"/>
  <c r="C1731" i="24" s="1"/>
  <c r="I1730" i="24"/>
  <c r="J1730" i="24" s="1"/>
  <c r="B1730" i="24"/>
  <c r="C1730" i="24" s="1"/>
  <c r="I1729" i="24"/>
  <c r="J1729" i="24" s="1"/>
  <c r="B1729" i="24"/>
  <c r="C1729" i="24" s="1"/>
  <c r="I1728" i="24"/>
  <c r="J1728" i="24" s="1"/>
  <c r="B1728" i="24"/>
  <c r="C1728" i="24" s="1"/>
  <c r="I1727" i="24"/>
  <c r="J1727" i="24" s="1"/>
  <c r="B1727" i="24"/>
  <c r="C1727" i="24" s="1"/>
  <c r="I1726" i="24"/>
  <c r="J1726" i="24" s="1"/>
  <c r="B1726" i="24"/>
  <c r="C1726" i="24" s="1"/>
  <c r="I1725" i="24"/>
  <c r="J1725" i="24" s="1"/>
  <c r="B1725" i="24"/>
  <c r="C1725" i="24" s="1"/>
  <c r="I1724" i="24"/>
  <c r="J1724" i="24" s="1"/>
  <c r="B1724" i="24"/>
  <c r="C1724" i="24" s="1"/>
  <c r="I1723" i="24"/>
  <c r="J1723" i="24" s="1"/>
  <c r="B1723" i="24"/>
  <c r="C1723" i="24" s="1"/>
  <c r="I1722" i="24"/>
  <c r="J1722" i="24" s="1"/>
  <c r="B1722" i="24"/>
  <c r="C1722" i="24" s="1"/>
  <c r="I1721" i="24"/>
  <c r="J1721" i="24" s="1"/>
  <c r="B1721" i="24"/>
  <c r="C1721" i="24" s="1"/>
  <c r="I1720" i="24"/>
  <c r="J1720" i="24" s="1"/>
  <c r="B1720" i="24"/>
  <c r="C1720" i="24" s="1"/>
  <c r="I1719" i="24"/>
  <c r="J1719" i="24" s="1"/>
  <c r="B1719" i="24"/>
  <c r="C1719" i="24" s="1"/>
  <c r="I1718" i="24"/>
  <c r="J1718" i="24" s="1"/>
  <c r="B1718" i="24"/>
  <c r="C1718" i="24" s="1"/>
  <c r="I1717" i="24"/>
  <c r="J1717" i="24" s="1"/>
  <c r="B1717" i="24"/>
  <c r="C1717" i="24" s="1"/>
  <c r="I1716" i="24"/>
  <c r="J1716" i="24" s="1"/>
  <c r="B1716" i="24"/>
  <c r="C1716" i="24" s="1"/>
  <c r="I1715" i="24"/>
  <c r="J1715" i="24" s="1"/>
  <c r="B1715" i="24"/>
  <c r="C1715" i="24" s="1"/>
  <c r="I1714" i="24"/>
  <c r="J1714" i="24" s="1"/>
  <c r="B1714" i="24"/>
  <c r="C1714" i="24" s="1"/>
  <c r="I1713" i="24"/>
  <c r="J1713" i="24" s="1"/>
  <c r="B1713" i="24"/>
  <c r="C1713" i="24" s="1"/>
  <c r="I1712" i="24"/>
  <c r="J1712" i="24" s="1"/>
  <c r="B1712" i="24"/>
  <c r="C1712" i="24" s="1"/>
  <c r="I1711" i="24"/>
  <c r="J1711" i="24" s="1"/>
  <c r="B1711" i="24"/>
  <c r="C1711" i="24" s="1"/>
  <c r="I1710" i="24"/>
  <c r="J1710" i="24" s="1"/>
  <c r="B1710" i="24"/>
  <c r="C1710" i="24" s="1"/>
  <c r="I1709" i="24"/>
  <c r="J1709" i="24" s="1"/>
  <c r="B1709" i="24"/>
  <c r="C1709" i="24" s="1"/>
  <c r="I1708" i="24"/>
  <c r="J1708" i="24" s="1"/>
  <c r="B1708" i="24"/>
  <c r="C1708" i="24" s="1"/>
  <c r="I1707" i="24"/>
  <c r="J1707" i="24" s="1"/>
  <c r="B1707" i="24"/>
  <c r="C1707" i="24" s="1"/>
  <c r="I1706" i="24"/>
  <c r="J1706" i="24" s="1"/>
  <c r="B1706" i="24"/>
  <c r="C1706" i="24" s="1"/>
  <c r="I1705" i="24"/>
  <c r="J1705" i="24" s="1"/>
  <c r="B1705" i="24"/>
  <c r="C1705" i="24" s="1"/>
  <c r="I1704" i="24"/>
  <c r="J1704" i="24" s="1"/>
  <c r="B1704" i="24"/>
  <c r="C1704" i="24" s="1"/>
  <c r="I1703" i="24"/>
  <c r="J1703" i="24" s="1"/>
  <c r="B1703" i="24"/>
  <c r="C1703" i="24" s="1"/>
  <c r="I1702" i="24"/>
  <c r="J1702" i="24" s="1"/>
  <c r="B1702" i="24"/>
  <c r="C1702" i="24" s="1"/>
  <c r="I1701" i="24"/>
  <c r="J1701" i="24" s="1"/>
  <c r="B1701" i="24"/>
  <c r="C1701" i="24" s="1"/>
  <c r="I1700" i="24"/>
  <c r="J1700" i="24" s="1"/>
  <c r="B1700" i="24"/>
  <c r="C1700" i="24" s="1"/>
  <c r="I1699" i="24"/>
  <c r="J1699" i="24" s="1"/>
  <c r="B1699" i="24"/>
  <c r="C1699" i="24" s="1"/>
  <c r="I1698" i="24"/>
  <c r="J1698" i="24" s="1"/>
  <c r="B1698" i="24"/>
  <c r="C1698" i="24" s="1"/>
  <c r="I1697" i="24"/>
  <c r="J1697" i="24" s="1"/>
  <c r="B1697" i="24"/>
  <c r="C1697" i="24" s="1"/>
  <c r="I1696" i="24"/>
  <c r="J1696" i="24" s="1"/>
  <c r="B1696" i="24"/>
  <c r="C1696" i="24" s="1"/>
  <c r="I1695" i="24"/>
  <c r="J1695" i="24" s="1"/>
  <c r="B1695" i="24"/>
  <c r="C1695" i="24" s="1"/>
  <c r="I1694" i="24"/>
  <c r="J1694" i="24" s="1"/>
  <c r="B1694" i="24"/>
  <c r="C1694" i="24" s="1"/>
  <c r="I1693" i="24"/>
  <c r="J1693" i="24" s="1"/>
  <c r="B1693" i="24"/>
  <c r="C1693" i="24" s="1"/>
  <c r="I1692" i="24"/>
  <c r="J1692" i="24" s="1"/>
  <c r="B1692" i="24"/>
  <c r="C1692" i="24" s="1"/>
  <c r="I1691" i="24"/>
  <c r="J1691" i="24" s="1"/>
  <c r="B1691" i="24"/>
  <c r="C1691" i="24" s="1"/>
  <c r="I1690" i="24"/>
  <c r="J1690" i="24" s="1"/>
  <c r="B1690" i="24"/>
  <c r="C1690" i="24" s="1"/>
  <c r="I1689" i="24"/>
  <c r="J1689" i="24" s="1"/>
  <c r="B1689" i="24"/>
  <c r="C1689" i="24" s="1"/>
  <c r="I1688" i="24"/>
  <c r="J1688" i="24" s="1"/>
  <c r="B1688" i="24"/>
  <c r="C1688" i="24" s="1"/>
  <c r="I1687" i="24"/>
  <c r="J1687" i="24" s="1"/>
  <c r="B1687" i="24"/>
  <c r="C1687" i="24" s="1"/>
  <c r="I1686" i="24"/>
  <c r="J1686" i="24" s="1"/>
  <c r="B1686" i="24"/>
  <c r="C1686" i="24" s="1"/>
  <c r="I1685" i="24"/>
  <c r="J1685" i="24" s="1"/>
  <c r="B1685" i="24"/>
  <c r="C1685" i="24" s="1"/>
  <c r="I1684" i="24"/>
  <c r="J1684" i="24" s="1"/>
  <c r="B1684" i="24"/>
  <c r="C1684" i="24" s="1"/>
  <c r="I1683" i="24"/>
  <c r="J1683" i="24" s="1"/>
  <c r="B1683" i="24"/>
  <c r="C1683" i="24" s="1"/>
  <c r="I1682" i="24"/>
  <c r="J1682" i="24" s="1"/>
  <c r="B1682" i="24"/>
  <c r="C1682" i="24" s="1"/>
  <c r="I1681" i="24"/>
  <c r="J1681" i="24" s="1"/>
  <c r="B1681" i="24"/>
  <c r="C1681" i="24" s="1"/>
  <c r="I1680" i="24"/>
  <c r="J1680" i="24" s="1"/>
  <c r="B1680" i="24"/>
  <c r="C1680" i="24" s="1"/>
  <c r="I1679" i="24"/>
  <c r="J1679" i="24" s="1"/>
  <c r="B1679" i="24"/>
  <c r="C1679" i="24" s="1"/>
  <c r="I1678" i="24"/>
  <c r="J1678" i="24" s="1"/>
  <c r="B1678" i="24"/>
  <c r="C1678" i="24" s="1"/>
  <c r="I1677" i="24"/>
  <c r="J1677" i="24" s="1"/>
  <c r="B1677" i="24"/>
  <c r="C1677" i="24" s="1"/>
  <c r="I1676" i="24"/>
  <c r="J1676" i="24" s="1"/>
  <c r="B1676" i="24"/>
  <c r="C1676" i="24" s="1"/>
  <c r="I1675" i="24"/>
  <c r="J1675" i="24" s="1"/>
  <c r="B1675" i="24"/>
  <c r="C1675" i="24" s="1"/>
  <c r="I1674" i="24"/>
  <c r="J1674" i="24" s="1"/>
  <c r="B1674" i="24"/>
  <c r="C1674" i="24" s="1"/>
  <c r="I1673" i="24"/>
  <c r="J1673" i="24" s="1"/>
  <c r="B1673" i="24"/>
  <c r="C1673" i="24" s="1"/>
  <c r="I1672" i="24"/>
  <c r="J1672" i="24" s="1"/>
  <c r="B1672" i="24"/>
  <c r="C1672" i="24" s="1"/>
  <c r="I1671" i="24"/>
  <c r="J1671" i="24" s="1"/>
  <c r="B1671" i="24"/>
  <c r="C1671" i="24" s="1"/>
  <c r="I1670" i="24"/>
  <c r="J1670" i="24" s="1"/>
  <c r="B1670" i="24"/>
  <c r="C1670" i="24" s="1"/>
  <c r="I1669" i="24"/>
  <c r="J1669" i="24" s="1"/>
  <c r="B1669" i="24"/>
  <c r="C1669" i="24" s="1"/>
  <c r="I1668" i="24"/>
  <c r="J1668" i="24" s="1"/>
  <c r="B1668" i="24"/>
  <c r="C1668" i="24" s="1"/>
  <c r="I1667" i="24"/>
  <c r="J1667" i="24" s="1"/>
  <c r="B1667" i="24"/>
  <c r="C1667" i="24" s="1"/>
  <c r="I1666" i="24"/>
  <c r="J1666" i="24" s="1"/>
  <c r="B1666" i="24"/>
  <c r="C1666" i="24" s="1"/>
  <c r="I1665" i="24"/>
  <c r="J1665" i="24" s="1"/>
  <c r="B1665" i="24"/>
  <c r="C1665" i="24" s="1"/>
  <c r="I1664" i="24"/>
  <c r="J1664" i="24" s="1"/>
  <c r="B1664" i="24"/>
  <c r="C1664" i="24" s="1"/>
  <c r="I1663" i="24"/>
  <c r="J1663" i="24" s="1"/>
  <c r="B1663" i="24"/>
  <c r="C1663" i="24" s="1"/>
  <c r="I1662" i="24"/>
  <c r="J1662" i="24" s="1"/>
  <c r="B1662" i="24"/>
  <c r="C1662" i="24" s="1"/>
  <c r="I1661" i="24"/>
  <c r="J1661" i="24" s="1"/>
  <c r="B1661" i="24"/>
  <c r="C1661" i="24" s="1"/>
  <c r="I1660" i="24"/>
  <c r="J1660" i="24" s="1"/>
  <c r="B1660" i="24"/>
  <c r="C1660" i="24" s="1"/>
  <c r="I1659" i="24"/>
  <c r="J1659" i="24" s="1"/>
  <c r="B1659" i="24"/>
  <c r="C1659" i="24" s="1"/>
  <c r="I1658" i="24"/>
  <c r="J1658" i="24" s="1"/>
  <c r="B1658" i="24"/>
  <c r="C1658" i="24" s="1"/>
  <c r="I1657" i="24"/>
  <c r="J1657" i="24" s="1"/>
  <c r="B1657" i="24"/>
  <c r="C1657" i="24" s="1"/>
  <c r="I1656" i="24"/>
  <c r="J1656" i="24" s="1"/>
  <c r="B1656" i="24"/>
  <c r="C1656" i="24" s="1"/>
  <c r="I1655" i="24"/>
  <c r="J1655" i="24" s="1"/>
  <c r="B1655" i="24"/>
  <c r="C1655" i="24" s="1"/>
  <c r="I1654" i="24"/>
  <c r="J1654" i="24" s="1"/>
  <c r="B1654" i="24"/>
  <c r="C1654" i="24" s="1"/>
  <c r="I1653" i="24"/>
  <c r="J1653" i="24" s="1"/>
  <c r="B1653" i="24"/>
  <c r="C1653" i="24" s="1"/>
  <c r="I1652" i="24"/>
  <c r="J1652" i="24" s="1"/>
  <c r="B1652" i="24"/>
  <c r="C1652" i="24" s="1"/>
  <c r="I1651" i="24"/>
  <c r="J1651" i="24" s="1"/>
  <c r="B1651" i="24"/>
  <c r="C1651" i="24" s="1"/>
  <c r="I1650" i="24"/>
  <c r="J1650" i="24" s="1"/>
  <c r="B1650" i="24"/>
  <c r="C1650" i="24" s="1"/>
  <c r="I1649" i="24"/>
  <c r="J1649" i="24" s="1"/>
  <c r="B1649" i="24"/>
  <c r="C1649" i="24" s="1"/>
  <c r="I1648" i="24"/>
  <c r="J1648" i="24" s="1"/>
  <c r="B1648" i="24"/>
  <c r="C1648" i="24" s="1"/>
  <c r="I1647" i="24"/>
  <c r="J1647" i="24" s="1"/>
  <c r="B1647" i="24"/>
  <c r="C1647" i="24" s="1"/>
  <c r="I1646" i="24"/>
  <c r="J1646" i="24" s="1"/>
  <c r="B1646" i="24"/>
  <c r="C1646" i="24" s="1"/>
  <c r="I1645" i="24"/>
  <c r="J1645" i="24" s="1"/>
  <c r="B1645" i="24"/>
  <c r="C1645" i="24" s="1"/>
  <c r="I1644" i="24"/>
  <c r="J1644" i="24" s="1"/>
  <c r="B1644" i="24"/>
  <c r="C1644" i="24" s="1"/>
  <c r="I1643" i="24"/>
  <c r="J1643" i="24" s="1"/>
  <c r="B1643" i="24"/>
  <c r="C1643" i="24" s="1"/>
  <c r="I1642" i="24"/>
  <c r="J1642" i="24" s="1"/>
  <c r="B1642" i="24"/>
  <c r="C1642" i="24" s="1"/>
  <c r="I1641" i="24"/>
  <c r="J1641" i="24" s="1"/>
  <c r="B1641" i="24"/>
  <c r="C1641" i="24" s="1"/>
  <c r="I1640" i="24"/>
  <c r="J1640" i="24" s="1"/>
  <c r="B1640" i="24"/>
  <c r="C1640" i="24" s="1"/>
  <c r="I1639" i="24"/>
  <c r="J1639" i="24" s="1"/>
  <c r="B1639" i="24"/>
  <c r="C1639" i="24" s="1"/>
  <c r="I1638" i="24"/>
  <c r="J1638" i="24" s="1"/>
  <c r="B1638" i="24"/>
  <c r="C1638" i="24" s="1"/>
  <c r="I1637" i="24"/>
  <c r="J1637" i="24" s="1"/>
  <c r="B1637" i="24"/>
  <c r="C1637" i="24" s="1"/>
  <c r="I1636" i="24"/>
  <c r="J1636" i="24" s="1"/>
  <c r="B1636" i="24"/>
  <c r="C1636" i="24" s="1"/>
  <c r="I1635" i="24"/>
  <c r="J1635" i="24" s="1"/>
  <c r="B1635" i="24"/>
  <c r="C1635" i="24" s="1"/>
  <c r="I1634" i="24"/>
  <c r="J1634" i="24" s="1"/>
  <c r="B1634" i="24"/>
  <c r="C1634" i="24" s="1"/>
  <c r="I1633" i="24"/>
  <c r="J1633" i="24" s="1"/>
  <c r="B1633" i="24"/>
  <c r="C1633" i="24" s="1"/>
  <c r="I1632" i="24"/>
  <c r="J1632" i="24" s="1"/>
  <c r="B1632" i="24"/>
  <c r="C1632" i="24" s="1"/>
  <c r="I1631" i="24"/>
  <c r="J1631" i="24" s="1"/>
  <c r="B1631" i="24"/>
  <c r="C1631" i="24" s="1"/>
  <c r="I1630" i="24"/>
  <c r="J1630" i="24" s="1"/>
  <c r="B1630" i="24"/>
  <c r="C1630" i="24" s="1"/>
  <c r="I1629" i="24"/>
  <c r="J1629" i="24" s="1"/>
  <c r="B1629" i="24"/>
  <c r="C1629" i="24" s="1"/>
  <c r="I1628" i="24"/>
  <c r="J1628" i="24" s="1"/>
  <c r="B1628" i="24"/>
  <c r="C1628" i="24" s="1"/>
  <c r="I1627" i="24"/>
  <c r="J1627" i="24" s="1"/>
  <c r="B1627" i="24"/>
  <c r="C1627" i="24" s="1"/>
  <c r="I1626" i="24"/>
  <c r="J1626" i="24" s="1"/>
  <c r="B1626" i="24"/>
  <c r="C1626" i="24" s="1"/>
  <c r="I1625" i="24"/>
  <c r="J1625" i="24" s="1"/>
  <c r="B1625" i="24"/>
  <c r="C1625" i="24" s="1"/>
  <c r="I1624" i="24"/>
  <c r="J1624" i="24" s="1"/>
  <c r="B1624" i="24"/>
  <c r="C1624" i="24" s="1"/>
  <c r="I1623" i="24"/>
  <c r="J1623" i="24" s="1"/>
  <c r="B1623" i="24"/>
  <c r="C1623" i="24" s="1"/>
  <c r="I1622" i="24"/>
  <c r="J1622" i="24" s="1"/>
  <c r="B1622" i="24"/>
  <c r="C1622" i="24" s="1"/>
  <c r="I1621" i="24"/>
  <c r="J1621" i="24" s="1"/>
  <c r="B1621" i="24"/>
  <c r="C1621" i="24" s="1"/>
  <c r="I1620" i="24"/>
  <c r="J1620" i="24" s="1"/>
  <c r="B1620" i="24"/>
  <c r="C1620" i="24" s="1"/>
  <c r="I1619" i="24"/>
  <c r="J1619" i="24" s="1"/>
  <c r="B1619" i="24"/>
  <c r="C1619" i="24" s="1"/>
  <c r="I1618" i="24"/>
  <c r="J1618" i="24" s="1"/>
  <c r="B1618" i="24"/>
  <c r="C1618" i="24" s="1"/>
  <c r="I1617" i="24"/>
  <c r="J1617" i="24" s="1"/>
  <c r="B1617" i="24"/>
  <c r="C1617" i="24" s="1"/>
  <c r="I1616" i="24"/>
  <c r="J1616" i="24" s="1"/>
  <c r="B1616" i="24"/>
  <c r="C1616" i="24" s="1"/>
  <c r="I1615" i="24"/>
  <c r="J1615" i="24" s="1"/>
  <c r="B1615" i="24"/>
  <c r="C1615" i="24" s="1"/>
  <c r="I1614" i="24"/>
  <c r="J1614" i="24" s="1"/>
  <c r="B1614" i="24"/>
  <c r="C1614" i="24" s="1"/>
  <c r="I1613" i="24"/>
  <c r="J1613" i="24" s="1"/>
  <c r="B1613" i="24"/>
  <c r="C1613" i="24" s="1"/>
  <c r="I1612" i="24"/>
  <c r="J1612" i="24" s="1"/>
  <c r="B1612" i="24"/>
  <c r="C1612" i="24" s="1"/>
  <c r="I1611" i="24"/>
  <c r="J1611" i="24" s="1"/>
  <c r="B1611" i="24"/>
  <c r="C1611" i="24" s="1"/>
  <c r="I1610" i="24"/>
  <c r="J1610" i="24" s="1"/>
  <c r="B1610" i="24"/>
  <c r="C1610" i="24" s="1"/>
  <c r="I1609" i="24"/>
  <c r="J1609" i="24" s="1"/>
  <c r="B1609" i="24"/>
  <c r="C1609" i="24" s="1"/>
  <c r="I1608" i="24"/>
  <c r="J1608" i="24" s="1"/>
  <c r="B1608" i="24"/>
  <c r="C1608" i="24" s="1"/>
  <c r="I1607" i="24"/>
  <c r="J1607" i="24" s="1"/>
  <c r="B1607" i="24"/>
  <c r="C1607" i="24" s="1"/>
  <c r="I1606" i="24"/>
  <c r="J1606" i="24" s="1"/>
  <c r="B1606" i="24"/>
  <c r="C1606" i="24" s="1"/>
  <c r="I1605" i="24"/>
  <c r="J1605" i="24" s="1"/>
  <c r="B1605" i="24"/>
  <c r="C1605" i="24" s="1"/>
  <c r="I1604" i="24"/>
  <c r="J1604" i="24" s="1"/>
  <c r="B1604" i="24"/>
  <c r="C1604" i="24" s="1"/>
  <c r="I1603" i="24"/>
  <c r="J1603" i="24" s="1"/>
  <c r="B1603" i="24"/>
  <c r="C1603" i="24" s="1"/>
  <c r="I1602" i="24"/>
  <c r="J1602" i="24" s="1"/>
  <c r="B1602" i="24"/>
  <c r="C1602" i="24" s="1"/>
  <c r="I1601" i="24"/>
  <c r="J1601" i="24" s="1"/>
  <c r="B1601" i="24"/>
  <c r="C1601" i="24" s="1"/>
  <c r="I1600" i="24"/>
  <c r="J1600" i="24" s="1"/>
  <c r="B1600" i="24"/>
  <c r="C1600" i="24" s="1"/>
  <c r="I1599" i="24"/>
  <c r="J1599" i="24" s="1"/>
  <c r="B1599" i="24"/>
  <c r="C1599" i="24" s="1"/>
  <c r="I1598" i="24"/>
  <c r="J1598" i="24" s="1"/>
  <c r="B1598" i="24"/>
  <c r="C1598" i="24" s="1"/>
  <c r="I1597" i="24"/>
  <c r="J1597" i="24" s="1"/>
  <c r="B1597" i="24"/>
  <c r="C1597" i="24" s="1"/>
  <c r="I1596" i="24"/>
  <c r="J1596" i="24" s="1"/>
  <c r="B1596" i="24"/>
  <c r="C1596" i="24" s="1"/>
  <c r="I1595" i="24"/>
  <c r="J1595" i="24" s="1"/>
  <c r="B1595" i="24"/>
  <c r="C1595" i="24" s="1"/>
  <c r="I1594" i="24"/>
  <c r="J1594" i="24" s="1"/>
  <c r="B1594" i="24"/>
  <c r="C1594" i="24" s="1"/>
  <c r="I1593" i="24"/>
  <c r="J1593" i="24" s="1"/>
  <c r="B1593" i="24"/>
  <c r="C1593" i="24" s="1"/>
  <c r="I1592" i="24"/>
  <c r="J1592" i="24" s="1"/>
  <c r="B1592" i="24"/>
  <c r="C1592" i="24" s="1"/>
  <c r="I1591" i="24"/>
  <c r="J1591" i="24" s="1"/>
  <c r="B1591" i="24"/>
  <c r="C1591" i="24" s="1"/>
  <c r="I1590" i="24"/>
  <c r="J1590" i="24" s="1"/>
  <c r="B1590" i="24"/>
  <c r="C1590" i="24" s="1"/>
  <c r="I1589" i="24"/>
  <c r="J1589" i="24" s="1"/>
  <c r="B1589" i="24"/>
  <c r="C1589" i="24" s="1"/>
  <c r="I1588" i="24"/>
  <c r="J1588" i="24" s="1"/>
  <c r="B1588" i="24"/>
  <c r="C1588" i="24" s="1"/>
  <c r="I1587" i="24"/>
  <c r="J1587" i="24" s="1"/>
  <c r="B1587" i="24"/>
  <c r="C1587" i="24" s="1"/>
  <c r="I1586" i="24"/>
  <c r="J1586" i="24" s="1"/>
  <c r="B1586" i="24"/>
  <c r="C1586" i="24" s="1"/>
  <c r="I1585" i="24"/>
  <c r="J1585" i="24" s="1"/>
  <c r="B1585" i="24"/>
  <c r="C1585" i="24" s="1"/>
  <c r="I1584" i="24"/>
  <c r="J1584" i="24" s="1"/>
  <c r="B1584" i="24"/>
  <c r="C1584" i="24" s="1"/>
  <c r="I1583" i="24"/>
  <c r="J1583" i="24" s="1"/>
  <c r="B1583" i="24"/>
  <c r="C1583" i="24" s="1"/>
  <c r="I1582" i="24"/>
  <c r="J1582" i="24" s="1"/>
  <c r="B1582" i="24"/>
  <c r="C1582" i="24" s="1"/>
  <c r="I1581" i="24"/>
  <c r="J1581" i="24" s="1"/>
  <c r="B1581" i="24"/>
  <c r="C1581" i="24" s="1"/>
  <c r="I1580" i="24"/>
  <c r="J1580" i="24" s="1"/>
  <c r="B1580" i="24"/>
  <c r="C1580" i="24" s="1"/>
  <c r="I1579" i="24"/>
  <c r="J1579" i="24" s="1"/>
  <c r="B1579" i="24"/>
  <c r="C1579" i="24" s="1"/>
  <c r="I1578" i="24"/>
  <c r="J1578" i="24" s="1"/>
  <c r="B1578" i="24"/>
  <c r="C1578" i="24" s="1"/>
  <c r="I1577" i="24"/>
  <c r="J1577" i="24" s="1"/>
  <c r="B1577" i="24"/>
  <c r="C1577" i="24" s="1"/>
  <c r="I1576" i="24"/>
  <c r="J1576" i="24" s="1"/>
  <c r="B1576" i="24"/>
  <c r="C1576" i="24" s="1"/>
  <c r="I1575" i="24"/>
  <c r="J1575" i="24" s="1"/>
  <c r="B1575" i="24"/>
  <c r="C1575" i="24" s="1"/>
  <c r="I1574" i="24"/>
  <c r="J1574" i="24" s="1"/>
  <c r="B1574" i="24"/>
  <c r="C1574" i="24" s="1"/>
  <c r="I1573" i="24"/>
  <c r="J1573" i="24" s="1"/>
  <c r="B1573" i="24"/>
  <c r="C1573" i="24" s="1"/>
  <c r="I1572" i="24"/>
  <c r="J1572" i="24" s="1"/>
  <c r="B1572" i="24"/>
  <c r="C1572" i="24" s="1"/>
  <c r="I1571" i="24"/>
  <c r="J1571" i="24" s="1"/>
  <c r="B1571" i="24"/>
  <c r="C1571" i="24" s="1"/>
  <c r="I1570" i="24"/>
  <c r="J1570" i="24" s="1"/>
  <c r="B1570" i="24"/>
  <c r="C1570" i="24" s="1"/>
  <c r="I1569" i="24"/>
  <c r="J1569" i="24" s="1"/>
  <c r="B1569" i="24"/>
  <c r="C1569" i="24" s="1"/>
  <c r="I1568" i="24"/>
  <c r="J1568" i="24" s="1"/>
  <c r="B1568" i="24"/>
  <c r="C1568" i="24" s="1"/>
  <c r="I1567" i="24"/>
  <c r="J1567" i="24" s="1"/>
  <c r="B1567" i="24"/>
  <c r="C1567" i="24" s="1"/>
  <c r="I1566" i="24"/>
  <c r="J1566" i="24" s="1"/>
  <c r="B1566" i="24"/>
  <c r="C1566" i="24" s="1"/>
  <c r="I1565" i="24"/>
  <c r="J1565" i="24" s="1"/>
  <c r="B1565" i="24"/>
  <c r="C1565" i="24" s="1"/>
  <c r="I1564" i="24"/>
  <c r="J1564" i="24" s="1"/>
  <c r="B1564" i="24"/>
  <c r="C1564" i="24" s="1"/>
  <c r="I1563" i="24"/>
  <c r="J1563" i="24" s="1"/>
  <c r="B1563" i="24"/>
  <c r="C1563" i="24" s="1"/>
  <c r="I1562" i="24"/>
  <c r="J1562" i="24" s="1"/>
  <c r="B1562" i="24"/>
  <c r="C1562" i="24" s="1"/>
  <c r="I1561" i="24"/>
  <c r="J1561" i="24" s="1"/>
  <c r="B1561" i="24"/>
  <c r="C1561" i="24" s="1"/>
  <c r="I1560" i="24"/>
  <c r="J1560" i="24" s="1"/>
  <c r="B1560" i="24"/>
  <c r="C1560" i="24" s="1"/>
  <c r="I1559" i="24"/>
  <c r="J1559" i="24" s="1"/>
  <c r="B1559" i="24"/>
  <c r="C1559" i="24" s="1"/>
  <c r="I1558" i="24"/>
  <c r="J1558" i="24" s="1"/>
  <c r="B1558" i="24"/>
  <c r="C1558" i="24" s="1"/>
  <c r="I1557" i="24"/>
  <c r="J1557" i="24" s="1"/>
  <c r="B1557" i="24"/>
  <c r="C1557" i="24" s="1"/>
  <c r="I1556" i="24"/>
  <c r="J1556" i="24" s="1"/>
  <c r="B1556" i="24"/>
  <c r="C1556" i="24" s="1"/>
  <c r="I1555" i="24"/>
  <c r="J1555" i="24" s="1"/>
  <c r="B1555" i="24"/>
  <c r="C1555" i="24" s="1"/>
  <c r="I1554" i="24"/>
  <c r="J1554" i="24" s="1"/>
  <c r="B1554" i="24"/>
  <c r="C1554" i="24" s="1"/>
  <c r="I1553" i="24"/>
  <c r="J1553" i="24" s="1"/>
  <c r="B1553" i="24"/>
  <c r="C1553" i="24" s="1"/>
  <c r="I1552" i="24"/>
  <c r="J1552" i="24" s="1"/>
  <c r="B1552" i="24"/>
  <c r="C1552" i="24" s="1"/>
  <c r="I1551" i="24"/>
  <c r="J1551" i="24" s="1"/>
  <c r="B1551" i="24"/>
  <c r="C1551" i="24" s="1"/>
  <c r="I1550" i="24"/>
  <c r="J1550" i="24" s="1"/>
  <c r="B1550" i="24"/>
  <c r="C1550" i="24" s="1"/>
  <c r="I1549" i="24"/>
  <c r="J1549" i="24" s="1"/>
  <c r="B1549" i="24"/>
  <c r="C1549" i="24" s="1"/>
  <c r="I1548" i="24"/>
  <c r="J1548" i="24" s="1"/>
  <c r="B1548" i="24"/>
  <c r="C1548" i="24" s="1"/>
  <c r="I1547" i="24"/>
  <c r="J1547" i="24" s="1"/>
  <c r="B1547" i="24"/>
  <c r="C1547" i="24" s="1"/>
  <c r="I1546" i="24"/>
  <c r="J1546" i="24" s="1"/>
  <c r="B1546" i="24"/>
  <c r="C1546" i="24" s="1"/>
  <c r="I1545" i="24"/>
  <c r="J1545" i="24" s="1"/>
  <c r="B1545" i="24"/>
  <c r="C1545" i="24" s="1"/>
  <c r="I1544" i="24"/>
  <c r="J1544" i="24" s="1"/>
  <c r="B1544" i="24"/>
  <c r="C1544" i="24" s="1"/>
  <c r="I1543" i="24"/>
  <c r="J1543" i="24" s="1"/>
  <c r="B1543" i="24"/>
  <c r="C1543" i="24" s="1"/>
  <c r="I1542" i="24"/>
  <c r="J1542" i="24" s="1"/>
  <c r="B1542" i="24"/>
  <c r="C1542" i="24" s="1"/>
  <c r="I1541" i="24"/>
  <c r="J1541" i="24" s="1"/>
  <c r="B1541" i="24"/>
  <c r="C1541" i="24" s="1"/>
  <c r="I1540" i="24"/>
  <c r="J1540" i="24" s="1"/>
  <c r="B1540" i="24"/>
  <c r="C1540" i="24" s="1"/>
  <c r="I1539" i="24"/>
  <c r="J1539" i="24" s="1"/>
  <c r="C1539" i="24"/>
  <c r="B1539" i="24"/>
  <c r="I1538" i="24"/>
  <c r="J1538" i="24" s="1"/>
  <c r="B1538" i="24"/>
  <c r="C1538" i="24" s="1"/>
  <c r="I1537" i="24"/>
  <c r="J1537" i="24" s="1"/>
  <c r="B1537" i="24"/>
  <c r="C1537" i="24" s="1"/>
  <c r="I1536" i="24"/>
  <c r="J1536" i="24" s="1"/>
  <c r="B1536" i="24"/>
  <c r="C1536" i="24" s="1"/>
  <c r="I1535" i="24"/>
  <c r="J1535" i="24" s="1"/>
  <c r="B1535" i="24"/>
  <c r="C1535" i="24" s="1"/>
  <c r="I1534" i="24"/>
  <c r="J1534" i="24" s="1"/>
  <c r="B1534" i="24"/>
  <c r="C1534" i="24" s="1"/>
  <c r="I1533" i="24"/>
  <c r="J1533" i="24" s="1"/>
  <c r="B1533" i="24"/>
  <c r="C1533" i="24" s="1"/>
  <c r="I1532" i="24"/>
  <c r="J1532" i="24" s="1"/>
  <c r="B1532" i="24"/>
  <c r="C1532" i="24" s="1"/>
  <c r="I1531" i="24"/>
  <c r="J1531" i="24" s="1"/>
  <c r="C1531" i="24"/>
  <c r="B1531" i="24"/>
  <c r="I1530" i="24"/>
  <c r="J1530" i="24" s="1"/>
  <c r="B1530" i="24"/>
  <c r="C1530" i="24" s="1"/>
  <c r="I1529" i="24"/>
  <c r="J1529" i="24" s="1"/>
  <c r="B1529" i="24"/>
  <c r="C1529" i="24" s="1"/>
  <c r="I1528" i="24"/>
  <c r="J1528" i="24" s="1"/>
  <c r="B1528" i="24"/>
  <c r="C1528" i="24" s="1"/>
  <c r="I1527" i="24"/>
  <c r="J1527" i="24" s="1"/>
  <c r="B1527" i="24"/>
  <c r="C1527" i="24" s="1"/>
  <c r="I1526" i="24"/>
  <c r="J1526" i="24" s="1"/>
  <c r="B1526" i="24"/>
  <c r="C1526" i="24" s="1"/>
  <c r="I1525" i="24"/>
  <c r="J1525" i="24" s="1"/>
  <c r="B1525" i="24"/>
  <c r="C1525" i="24" s="1"/>
  <c r="I1524" i="24"/>
  <c r="J1524" i="24" s="1"/>
  <c r="B1524" i="24"/>
  <c r="C1524" i="24" s="1"/>
  <c r="I1523" i="24"/>
  <c r="J1523" i="24" s="1"/>
  <c r="C1523" i="24"/>
  <c r="B1523" i="24"/>
  <c r="I1522" i="24"/>
  <c r="J1522" i="24" s="1"/>
  <c r="B1522" i="24"/>
  <c r="C1522" i="24" s="1"/>
  <c r="I1521" i="24"/>
  <c r="J1521" i="24" s="1"/>
  <c r="B1521" i="24"/>
  <c r="C1521" i="24" s="1"/>
  <c r="I1520" i="24"/>
  <c r="J1520" i="24" s="1"/>
  <c r="B1520" i="24"/>
  <c r="C1520" i="24" s="1"/>
  <c r="I1519" i="24"/>
  <c r="J1519" i="24" s="1"/>
  <c r="B1519" i="24"/>
  <c r="C1519" i="24" s="1"/>
  <c r="I1518" i="24"/>
  <c r="J1518" i="24" s="1"/>
  <c r="B1518" i="24"/>
  <c r="C1518" i="24" s="1"/>
  <c r="I1517" i="24"/>
  <c r="J1517" i="24" s="1"/>
  <c r="B1517" i="24"/>
  <c r="C1517" i="24" s="1"/>
  <c r="I1516" i="24"/>
  <c r="J1516" i="24" s="1"/>
  <c r="B1516" i="24"/>
  <c r="C1516" i="24" s="1"/>
  <c r="I1515" i="24"/>
  <c r="J1515" i="24" s="1"/>
  <c r="C1515" i="24"/>
  <c r="B1515" i="24"/>
  <c r="I1514" i="24"/>
  <c r="J1514" i="24" s="1"/>
  <c r="B1514" i="24"/>
  <c r="C1514" i="24" s="1"/>
  <c r="I1513" i="24"/>
  <c r="J1513" i="24" s="1"/>
  <c r="B1513" i="24"/>
  <c r="C1513" i="24" s="1"/>
  <c r="I1512" i="24"/>
  <c r="J1512" i="24" s="1"/>
  <c r="B1512" i="24"/>
  <c r="C1512" i="24" s="1"/>
  <c r="I1511" i="24"/>
  <c r="J1511" i="24" s="1"/>
  <c r="B1511" i="24"/>
  <c r="C1511" i="24" s="1"/>
  <c r="I1510" i="24"/>
  <c r="J1510" i="24" s="1"/>
  <c r="B1510" i="24"/>
  <c r="C1510" i="24" s="1"/>
  <c r="I1509" i="24"/>
  <c r="J1509" i="24" s="1"/>
  <c r="B1509" i="24"/>
  <c r="C1509" i="24" s="1"/>
  <c r="I1508" i="24"/>
  <c r="J1508" i="24" s="1"/>
  <c r="B1508" i="24"/>
  <c r="C1508" i="24" s="1"/>
  <c r="I1507" i="24"/>
  <c r="J1507" i="24" s="1"/>
  <c r="C1507" i="24"/>
  <c r="B1507" i="24"/>
  <c r="I1506" i="24"/>
  <c r="J1506" i="24" s="1"/>
  <c r="B1506" i="24"/>
  <c r="C1506" i="24" s="1"/>
  <c r="I1505" i="24"/>
  <c r="J1505" i="24" s="1"/>
  <c r="B1505" i="24"/>
  <c r="C1505" i="24" s="1"/>
  <c r="I1504" i="24"/>
  <c r="J1504" i="24" s="1"/>
  <c r="B1504" i="24"/>
  <c r="C1504" i="24" s="1"/>
  <c r="I1503" i="24"/>
  <c r="J1503" i="24" s="1"/>
  <c r="B1503" i="24"/>
  <c r="C1503" i="24" s="1"/>
  <c r="I1502" i="24"/>
  <c r="J1502" i="24" s="1"/>
  <c r="B1502" i="24"/>
  <c r="C1502" i="24" s="1"/>
  <c r="I1501" i="24"/>
  <c r="J1501" i="24" s="1"/>
  <c r="B1501" i="24"/>
  <c r="C1501" i="24" s="1"/>
  <c r="I1500" i="24"/>
  <c r="J1500" i="24" s="1"/>
  <c r="B1500" i="24"/>
  <c r="C1500" i="24" s="1"/>
  <c r="I1499" i="24"/>
  <c r="J1499" i="24" s="1"/>
  <c r="C1499" i="24"/>
  <c r="B1499" i="24"/>
  <c r="I1498" i="24"/>
  <c r="J1498" i="24" s="1"/>
  <c r="B1498" i="24"/>
  <c r="C1498" i="24" s="1"/>
  <c r="I1497" i="24"/>
  <c r="J1497" i="24" s="1"/>
  <c r="B1497" i="24"/>
  <c r="C1497" i="24" s="1"/>
  <c r="I1496" i="24"/>
  <c r="J1496" i="24" s="1"/>
  <c r="B1496" i="24"/>
  <c r="C1496" i="24" s="1"/>
  <c r="I1495" i="24"/>
  <c r="J1495" i="24" s="1"/>
  <c r="B1495" i="24"/>
  <c r="C1495" i="24" s="1"/>
  <c r="I1494" i="24"/>
  <c r="J1494" i="24" s="1"/>
  <c r="B1494" i="24"/>
  <c r="C1494" i="24" s="1"/>
  <c r="I1493" i="24"/>
  <c r="J1493" i="24" s="1"/>
  <c r="B1493" i="24"/>
  <c r="C1493" i="24" s="1"/>
  <c r="I1492" i="24"/>
  <c r="J1492" i="24" s="1"/>
  <c r="B1492" i="24"/>
  <c r="C1492" i="24" s="1"/>
  <c r="I1491" i="24"/>
  <c r="J1491" i="24" s="1"/>
  <c r="C1491" i="24"/>
  <c r="B1491" i="24"/>
  <c r="I1490" i="24"/>
  <c r="J1490" i="24" s="1"/>
  <c r="B1490" i="24"/>
  <c r="C1490" i="24" s="1"/>
  <c r="I1489" i="24"/>
  <c r="J1489" i="24" s="1"/>
  <c r="B1489" i="24"/>
  <c r="C1489" i="24" s="1"/>
  <c r="I1488" i="24"/>
  <c r="J1488" i="24" s="1"/>
  <c r="B1488" i="24"/>
  <c r="C1488" i="24" s="1"/>
  <c r="I1487" i="24"/>
  <c r="J1487" i="24" s="1"/>
  <c r="B1487" i="24"/>
  <c r="C1487" i="24" s="1"/>
  <c r="I1486" i="24"/>
  <c r="J1486" i="24" s="1"/>
  <c r="B1486" i="24"/>
  <c r="C1486" i="24" s="1"/>
  <c r="I1485" i="24"/>
  <c r="J1485" i="24" s="1"/>
  <c r="B1485" i="24"/>
  <c r="C1485" i="24" s="1"/>
  <c r="I1484" i="24"/>
  <c r="J1484" i="24" s="1"/>
  <c r="B1484" i="24"/>
  <c r="C1484" i="24" s="1"/>
  <c r="I1483" i="24"/>
  <c r="J1483" i="24" s="1"/>
  <c r="C1483" i="24"/>
  <c r="B1483" i="24"/>
  <c r="I1482" i="24"/>
  <c r="J1482" i="24" s="1"/>
  <c r="B1482" i="24"/>
  <c r="C1482" i="24" s="1"/>
  <c r="I1481" i="24"/>
  <c r="J1481" i="24" s="1"/>
  <c r="B1481" i="24"/>
  <c r="C1481" i="24" s="1"/>
  <c r="I1480" i="24"/>
  <c r="J1480" i="24" s="1"/>
  <c r="B1480" i="24"/>
  <c r="C1480" i="24" s="1"/>
  <c r="I1479" i="24"/>
  <c r="J1479" i="24" s="1"/>
  <c r="B1479" i="24"/>
  <c r="C1479" i="24" s="1"/>
  <c r="I1478" i="24"/>
  <c r="J1478" i="24" s="1"/>
  <c r="B1478" i="24"/>
  <c r="C1478" i="24" s="1"/>
  <c r="I1477" i="24"/>
  <c r="J1477" i="24" s="1"/>
  <c r="B1477" i="24"/>
  <c r="C1477" i="24" s="1"/>
  <c r="I1476" i="24"/>
  <c r="J1476" i="24" s="1"/>
  <c r="B1476" i="24"/>
  <c r="C1476" i="24" s="1"/>
  <c r="I1475" i="24"/>
  <c r="J1475" i="24" s="1"/>
  <c r="C1475" i="24"/>
  <c r="B1475" i="24"/>
  <c r="I1474" i="24"/>
  <c r="J1474" i="24" s="1"/>
  <c r="B1474" i="24"/>
  <c r="C1474" i="24" s="1"/>
  <c r="I1473" i="24"/>
  <c r="J1473" i="24" s="1"/>
  <c r="C1473" i="24"/>
  <c r="B1473" i="24"/>
  <c r="I1472" i="24"/>
  <c r="J1472" i="24" s="1"/>
  <c r="B1472" i="24"/>
  <c r="C1472" i="24" s="1"/>
  <c r="I1471" i="24"/>
  <c r="J1471" i="24" s="1"/>
  <c r="B1471" i="24"/>
  <c r="C1471" i="24" s="1"/>
  <c r="I1470" i="24"/>
  <c r="J1470" i="24" s="1"/>
  <c r="B1470" i="24"/>
  <c r="C1470" i="24" s="1"/>
  <c r="I1469" i="24"/>
  <c r="J1469" i="24" s="1"/>
  <c r="B1469" i="24"/>
  <c r="C1469" i="24" s="1"/>
  <c r="I1468" i="24"/>
  <c r="J1468" i="24" s="1"/>
  <c r="B1468" i="24"/>
  <c r="C1468" i="24" s="1"/>
  <c r="I1467" i="24"/>
  <c r="J1467" i="24" s="1"/>
  <c r="C1467" i="24"/>
  <c r="B1467" i="24"/>
  <c r="I1466" i="24"/>
  <c r="J1466" i="24" s="1"/>
  <c r="B1466" i="24"/>
  <c r="C1466" i="24" s="1"/>
  <c r="I1465" i="24"/>
  <c r="J1465" i="24" s="1"/>
  <c r="B1465" i="24"/>
  <c r="C1465" i="24" s="1"/>
  <c r="I1464" i="24"/>
  <c r="J1464" i="24" s="1"/>
  <c r="B1464" i="24"/>
  <c r="C1464" i="24" s="1"/>
  <c r="I1463" i="24"/>
  <c r="J1463" i="24" s="1"/>
  <c r="B1463" i="24"/>
  <c r="C1463" i="24" s="1"/>
  <c r="I1462" i="24"/>
  <c r="J1462" i="24" s="1"/>
  <c r="B1462" i="24"/>
  <c r="C1462" i="24" s="1"/>
  <c r="I1461" i="24"/>
  <c r="J1461" i="24" s="1"/>
  <c r="B1461" i="24"/>
  <c r="C1461" i="24" s="1"/>
  <c r="I1460" i="24"/>
  <c r="J1460" i="24" s="1"/>
  <c r="B1460" i="24"/>
  <c r="C1460" i="24" s="1"/>
  <c r="I1459" i="24"/>
  <c r="J1459" i="24" s="1"/>
  <c r="C1459" i="24"/>
  <c r="B1459" i="24"/>
  <c r="I1458" i="24"/>
  <c r="J1458" i="24" s="1"/>
  <c r="B1458" i="24"/>
  <c r="C1458" i="24" s="1"/>
  <c r="I1457" i="24"/>
  <c r="J1457" i="24" s="1"/>
  <c r="C1457" i="24"/>
  <c r="B1457" i="24"/>
  <c r="I1456" i="24"/>
  <c r="J1456" i="24" s="1"/>
  <c r="B1456" i="24"/>
  <c r="C1456" i="24" s="1"/>
  <c r="I1455" i="24"/>
  <c r="J1455" i="24" s="1"/>
  <c r="B1455" i="24"/>
  <c r="C1455" i="24" s="1"/>
  <c r="I1454" i="24"/>
  <c r="J1454" i="24" s="1"/>
  <c r="B1454" i="24"/>
  <c r="C1454" i="24" s="1"/>
  <c r="I1453" i="24"/>
  <c r="J1453" i="24" s="1"/>
  <c r="B1453" i="24"/>
  <c r="C1453" i="24" s="1"/>
  <c r="I1452" i="24"/>
  <c r="J1452" i="24" s="1"/>
  <c r="B1452" i="24"/>
  <c r="C1452" i="24" s="1"/>
  <c r="I1451" i="24"/>
  <c r="J1451" i="24" s="1"/>
  <c r="C1451" i="24"/>
  <c r="B1451" i="24"/>
  <c r="I1450" i="24"/>
  <c r="J1450" i="24" s="1"/>
  <c r="B1450" i="24"/>
  <c r="C1450" i="24" s="1"/>
  <c r="I1449" i="24"/>
  <c r="J1449" i="24" s="1"/>
  <c r="B1449" i="24"/>
  <c r="C1449" i="24" s="1"/>
  <c r="I1448" i="24"/>
  <c r="J1448" i="24" s="1"/>
  <c r="B1448" i="24"/>
  <c r="C1448" i="24" s="1"/>
  <c r="I1447" i="24"/>
  <c r="J1447" i="24" s="1"/>
  <c r="B1447" i="24"/>
  <c r="C1447" i="24" s="1"/>
  <c r="I1446" i="24"/>
  <c r="J1446" i="24" s="1"/>
  <c r="B1446" i="24"/>
  <c r="C1446" i="24" s="1"/>
  <c r="I1445" i="24"/>
  <c r="J1445" i="24" s="1"/>
  <c r="B1445" i="24"/>
  <c r="C1445" i="24" s="1"/>
  <c r="I1444" i="24"/>
  <c r="J1444" i="24" s="1"/>
  <c r="B1444" i="24"/>
  <c r="C1444" i="24" s="1"/>
  <c r="I1443" i="24"/>
  <c r="J1443" i="24" s="1"/>
  <c r="B1443" i="24"/>
  <c r="C1443" i="24" s="1"/>
  <c r="I1442" i="24"/>
  <c r="J1442" i="24" s="1"/>
  <c r="C1442" i="24"/>
  <c r="B1442" i="24"/>
  <c r="I1441" i="24"/>
  <c r="J1441" i="24" s="1"/>
  <c r="B1441" i="24"/>
  <c r="C1441" i="24" s="1"/>
  <c r="I1440" i="24"/>
  <c r="J1440" i="24" s="1"/>
  <c r="B1440" i="24"/>
  <c r="C1440" i="24" s="1"/>
  <c r="I1439" i="24"/>
  <c r="J1439" i="24" s="1"/>
  <c r="C1439" i="24"/>
  <c r="B1439" i="24"/>
  <c r="I1438" i="24"/>
  <c r="J1438" i="24" s="1"/>
  <c r="C1438" i="24"/>
  <c r="B1438" i="24"/>
  <c r="I1437" i="24"/>
  <c r="J1437" i="24" s="1"/>
  <c r="B1437" i="24"/>
  <c r="C1437" i="24" s="1"/>
  <c r="I1436" i="24"/>
  <c r="J1436" i="24" s="1"/>
  <c r="B1436" i="24"/>
  <c r="C1436" i="24" s="1"/>
  <c r="I1435" i="24"/>
  <c r="J1435" i="24" s="1"/>
  <c r="B1435" i="24"/>
  <c r="C1435" i="24" s="1"/>
  <c r="I1434" i="24"/>
  <c r="J1434" i="24" s="1"/>
  <c r="C1434" i="24"/>
  <c r="B1434" i="24"/>
  <c r="I1433" i="24"/>
  <c r="J1433" i="24" s="1"/>
  <c r="B1433" i="24"/>
  <c r="C1433" i="24" s="1"/>
  <c r="I1432" i="24"/>
  <c r="J1432" i="24" s="1"/>
  <c r="B1432" i="24"/>
  <c r="C1432" i="24" s="1"/>
  <c r="I1431" i="24"/>
  <c r="J1431" i="24" s="1"/>
  <c r="C1431" i="24"/>
  <c r="B1431" i="24"/>
  <c r="I1430" i="24"/>
  <c r="J1430" i="24" s="1"/>
  <c r="C1430" i="24"/>
  <c r="B1430" i="24"/>
  <c r="I1429" i="24"/>
  <c r="J1429" i="24" s="1"/>
  <c r="B1429" i="24"/>
  <c r="C1429" i="24" s="1"/>
  <c r="I1428" i="24"/>
  <c r="J1428" i="24" s="1"/>
  <c r="B1428" i="24"/>
  <c r="C1428" i="24" s="1"/>
  <c r="I1427" i="24"/>
  <c r="J1427" i="24" s="1"/>
  <c r="B1427" i="24"/>
  <c r="C1427" i="24" s="1"/>
  <c r="I1426" i="24"/>
  <c r="J1426" i="24" s="1"/>
  <c r="C1426" i="24"/>
  <c r="B1426" i="24"/>
  <c r="I1425" i="24"/>
  <c r="J1425" i="24" s="1"/>
  <c r="B1425" i="24"/>
  <c r="C1425" i="24" s="1"/>
  <c r="I1424" i="24"/>
  <c r="J1424" i="24" s="1"/>
  <c r="B1424" i="24"/>
  <c r="C1424" i="24" s="1"/>
  <c r="I1423" i="24"/>
  <c r="J1423" i="24" s="1"/>
  <c r="C1423" i="24"/>
  <c r="B1423" i="24"/>
  <c r="I1422" i="24"/>
  <c r="J1422" i="24" s="1"/>
  <c r="C1422" i="24"/>
  <c r="B1422" i="24"/>
  <c r="I1421" i="24"/>
  <c r="J1421" i="24" s="1"/>
  <c r="B1421" i="24"/>
  <c r="C1421" i="24" s="1"/>
  <c r="I1420" i="24"/>
  <c r="J1420" i="24" s="1"/>
  <c r="B1420" i="24"/>
  <c r="C1420" i="24" s="1"/>
  <c r="I1419" i="24"/>
  <c r="J1419" i="24" s="1"/>
  <c r="B1419" i="24"/>
  <c r="C1419" i="24" s="1"/>
  <c r="I1418" i="24"/>
  <c r="J1418" i="24" s="1"/>
  <c r="C1418" i="24"/>
  <c r="B1418" i="24"/>
  <c r="I1417" i="24"/>
  <c r="J1417" i="24" s="1"/>
  <c r="B1417" i="24"/>
  <c r="C1417" i="24" s="1"/>
  <c r="I1416" i="24"/>
  <c r="J1416" i="24" s="1"/>
  <c r="B1416" i="24"/>
  <c r="C1416" i="24" s="1"/>
  <c r="I1415" i="24"/>
  <c r="J1415" i="24" s="1"/>
  <c r="C1415" i="24"/>
  <c r="B1415" i="24"/>
  <c r="I1414" i="24"/>
  <c r="J1414" i="24" s="1"/>
  <c r="C1414" i="24"/>
  <c r="B1414" i="24"/>
  <c r="I1413" i="24"/>
  <c r="J1413" i="24" s="1"/>
  <c r="B1413" i="24"/>
  <c r="C1413" i="24" s="1"/>
  <c r="I1412" i="24"/>
  <c r="J1412" i="24" s="1"/>
  <c r="B1412" i="24"/>
  <c r="C1412" i="24" s="1"/>
  <c r="J1411" i="24"/>
  <c r="I1411" i="24"/>
  <c r="B1411" i="24"/>
  <c r="C1411" i="24" s="1"/>
  <c r="J1410" i="24"/>
  <c r="I1410" i="24"/>
  <c r="B1410" i="24"/>
  <c r="C1410" i="24" s="1"/>
  <c r="J1409" i="24"/>
  <c r="I1409" i="24"/>
  <c r="B1409" i="24"/>
  <c r="C1409" i="24" s="1"/>
  <c r="J1408" i="24"/>
  <c r="I1408" i="24"/>
  <c r="B1408" i="24"/>
  <c r="C1408" i="24" s="1"/>
  <c r="J1407" i="24"/>
  <c r="I1407" i="24"/>
  <c r="B1407" i="24"/>
  <c r="C1407" i="24" s="1"/>
  <c r="J1406" i="24"/>
  <c r="I1406" i="24"/>
  <c r="B1406" i="24"/>
  <c r="C1406" i="24" s="1"/>
  <c r="J1405" i="24"/>
  <c r="I1405" i="24"/>
  <c r="B1405" i="24"/>
  <c r="C1405" i="24" s="1"/>
  <c r="J1404" i="24"/>
  <c r="I1404" i="24"/>
  <c r="B1404" i="24"/>
  <c r="C1404" i="24" s="1"/>
  <c r="J1403" i="24"/>
  <c r="I1403" i="24"/>
  <c r="B1403" i="24"/>
  <c r="C1403" i="24" s="1"/>
  <c r="I1402" i="24"/>
  <c r="J1402" i="24" s="1"/>
  <c r="B1402" i="24"/>
  <c r="C1402" i="24" s="1"/>
  <c r="J1401" i="24"/>
  <c r="I1401" i="24"/>
  <c r="B1401" i="24"/>
  <c r="C1401" i="24" s="1"/>
  <c r="I1400" i="24"/>
  <c r="J1400" i="24" s="1"/>
  <c r="B1400" i="24"/>
  <c r="C1400" i="24" s="1"/>
  <c r="J1399" i="24"/>
  <c r="I1399" i="24"/>
  <c r="B1399" i="24"/>
  <c r="C1399" i="24" s="1"/>
  <c r="I1398" i="24"/>
  <c r="J1398" i="24" s="1"/>
  <c r="B1398" i="24"/>
  <c r="C1398" i="24" s="1"/>
  <c r="J1397" i="24"/>
  <c r="I1397" i="24"/>
  <c r="B1397" i="24"/>
  <c r="C1397" i="24" s="1"/>
  <c r="I1396" i="24"/>
  <c r="J1396" i="24" s="1"/>
  <c r="B1396" i="24"/>
  <c r="C1396" i="24" s="1"/>
  <c r="I1395" i="24"/>
  <c r="J1395" i="24" s="1"/>
  <c r="B1395" i="24"/>
  <c r="C1395" i="24" s="1"/>
  <c r="I1394" i="24"/>
  <c r="J1394" i="24" s="1"/>
  <c r="B1394" i="24"/>
  <c r="C1394" i="24" s="1"/>
  <c r="I1393" i="24"/>
  <c r="J1393" i="24" s="1"/>
  <c r="B1393" i="24"/>
  <c r="C1393" i="24" s="1"/>
  <c r="I1392" i="24"/>
  <c r="J1392" i="24" s="1"/>
  <c r="B1392" i="24"/>
  <c r="C1392" i="24" s="1"/>
  <c r="I1391" i="24"/>
  <c r="J1391" i="24" s="1"/>
  <c r="B1391" i="24"/>
  <c r="C1391" i="24" s="1"/>
  <c r="I1390" i="24"/>
  <c r="J1390" i="24" s="1"/>
  <c r="B1390" i="24"/>
  <c r="C1390" i="24" s="1"/>
  <c r="I1389" i="24"/>
  <c r="J1389" i="24" s="1"/>
  <c r="B1389" i="24"/>
  <c r="C1389" i="24" s="1"/>
  <c r="I1388" i="24"/>
  <c r="J1388" i="24" s="1"/>
  <c r="B1388" i="24"/>
  <c r="C1388" i="24" s="1"/>
  <c r="I1387" i="24"/>
  <c r="J1387" i="24" s="1"/>
  <c r="B1387" i="24"/>
  <c r="C1387" i="24" s="1"/>
  <c r="I1386" i="24"/>
  <c r="J1386" i="24" s="1"/>
  <c r="B1386" i="24"/>
  <c r="C1386" i="24" s="1"/>
  <c r="I1385" i="24"/>
  <c r="J1385" i="24" s="1"/>
  <c r="B1385" i="24"/>
  <c r="C1385" i="24" s="1"/>
  <c r="I1384" i="24"/>
  <c r="J1384" i="24" s="1"/>
  <c r="B1384" i="24"/>
  <c r="C1384" i="24" s="1"/>
  <c r="I1383" i="24"/>
  <c r="J1383" i="24" s="1"/>
  <c r="B1383" i="24"/>
  <c r="C1383" i="24" s="1"/>
  <c r="I1382" i="24"/>
  <c r="J1382" i="24" s="1"/>
  <c r="B1382" i="24"/>
  <c r="C1382" i="24" s="1"/>
  <c r="I1381" i="24"/>
  <c r="J1381" i="24" s="1"/>
  <c r="B1381" i="24"/>
  <c r="C1381" i="24" s="1"/>
  <c r="I1380" i="24"/>
  <c r="J1380" i="24" s="1"/>
  <c r="B1380" i="24"/>
  <c r="C1380" i="24" s="1"/>
  <c r="I1379" i="24"/>
  <c r="J1379" i="24" s="1"/>
  <c r="B1379" i="24"/>
  <c r="C1379" i="24" s="1"/>
  <c r="I1378" i="24"/>
  <c r="J1378" i="24" s="1"/>
  <c r="B1378" i="24"/>
  <c r="C1378" i="24" s="1"/>
  <c r="I1377" i="24"/>
  <c r="J1377" i="24" s="1"/>
  <c r="B1377" i="24"/>
  <c r="C1377" i="24" s="1"/>
  <c r="I1376" i="24"/>
  <c r="J1376" i="24" s="1"/>
  <c r="B1376" i="24"/>
  <c r="C1376" i="24" s="1"/>
  <c r="I1375" i="24"/>
  <c r="J1375" i="24" s="1"/>
  <c r="B1375" i="24"/>
  <c r="C1375" i="24" s="1"/>
  <c r="I1374" i="24"/>
  <c r="J1374" i="24" s="1"/>
  <c r="B1374" i="24"/>
  <c r="C1374" i="24" s="1"/>
  <c r="I1373" i="24"/>
  <c r="J1373" i="24" s="1"/>
  <c r="B1373" i="24"/>
  <c r="C1373" i="24" s="1"/>
  <c r="I1372" i="24"/>
  <c r="J1372" i="24" s="1"/>
  <c r="B1372" i="24"/>
  <c r="C1372" i="24" s="1"/>
  <c r="I1371" i="24"/>
  <c r="J1371" i="24" s="1"/>
  <c r="B1371" i="24"/>
  <c r="C1371" i="24" s="1"/>
  <c r="I1370" i="24"/>
  <c r="J1370" i="24" s="1"/>
  <c r="B1370" i="24"/>
  <c r="C1370" i="24" s="1"/>
  <c r="I1369" i="24"/>
  <c r="J1369" i="24" s="1"/>
  <c r="B1369" i="24"/>
  <c r="C1369" i="24" s="1"/>
  <c r="I1368" i="24"/>
  <c r="J1368" i="24" s="1"/>
  <c r="B1368" i="24"/>
  <c r="C1368" i="24" s="1"/>
  <c r="I1367" i="24"/>
  <c r="J1367" i="24" s="1"/>
  <c r="B1367" i="24"/>
  <c r="C1367" i="24" s="1"/>
  <c r="I1366" i="24"/>
  <c r="J1366" i="24" s="1"/>
  <c r="B1366" i="24"/>
  <c r="C1366" i="24" s="1"/>
  <c r="I1365" i="24"/>
  <c r="J1365" i="24" s="1"/>
  <c r="B1365" i="24"/>
  <c r="C1365" i="24" s="1"/>
  <c r="I1364" i="24"/>
  <c r="J1364" i="24" s="1"/>
  <c r="B1364" i="24"/>
  <c r="C1364" i="24" s="1"/>
  <c r="I1363" i="24"/>
  <c r="J1363" i="24" s="1"/>
  <c r="B1363" i="24"/>
  <c r="C1363" i="24" s="1"/>
  <c r="I1362" i="24"/>
  <c r="J1362" i="24" s="1"/>
  <c r="B1362" i="24"/>
  <c r="C1362" i="24" s="1"/>
  <c r="I1361" i="24"/>
  <c r="J1361" i="24" s="1"/>
  <c r="B1361" i="24"/>
  <c r="C1361" i="24" s="1"/>
  <c r="I1360" i="24"/>
  <c r="J1360" i="24" s="1"/>
  <c r="B1360" i="24"/>
  <c r="C1360" i="24" s="1"/>
  <c r="I1359" i="24"/>
  <c r="J1359" i="24" s="1"/>
  <c r="B1359" i="24"/>
  <c r="C1359" i="24" s="1"/>
  <c r="I1358" i="24"/>
  <c r="J1358" i="24" s="1"/>
  <c r="B1358" i="24"/>
  <c r="C1358" i="24" s="1"/>
  <c r="I1357" i="24"/>
  <c r="J1357" i="24" s="1"/>
  <c r="B1357" i="24"/>
  <c r="C1357" i="24" s="1"/>
  <c r="I1356" i="24"/>
  <c r="J1356" i="24" s="1"/>
  <c r="B1356" i="24"/>
  <c r="C1356" i="24" s="1"/>
  <c r="I1355" i="24"/>
  <c r="J1355" i="24" s="1"/>
  <c r="B1355" i="24"/>
  <c r="C1355" i="24" s="1"/>
  <c r="I1354" i="24"/>
  <c r="J1354" i="24" s="1"/>
  <c r="B1354" i="24"/>
  <c r="C1354" i="24" s="1"/>
  <c r="I1353" i="24"/>
  <c r="J1353" i="24" s="1"/>
  <c r="B1353" i="24"/>
  <c r="C1353" i="24" s="1"/>
  <c r="I1352" i="24"/>
  <c r="J1352" i="24" s="1"/>
  <c r="B1352" i="24"/>
  <c r="C1352" i="24" s="1"/>
  <c r="I1351" i="24"/>
  <c r="J1351" i="24" s="1"/>
  <c r="B1351" i="24"/>
  <c r="C1351" i="24" s="1"/>
  <c r="I1350" i="24"/>
  <c r="J1350" i="24" s="1"/>
  <c r="B1350" i="24"/>
  <c r="C1350" i="24" s="1"/>
  <c r="I1349" i="24"/>
  <c r="J1349" i="24" s="1"/>
  <c r="B1349" i="24"/>
  <c r="C1349" i="24" s="1"/>
  <c r="I1348" i="24"/>
  <c r="J1348" i="24" s="1"/>
  <c r="B1348" i="24"/>
  <c r="C1348" i="24" s="1"/>
  <c r="I1347" i="24"/>
  <c r="J1347" i="24" s="1"/>
  <c r="B1347" i="24"/>
  <c r="C1347" i="24" s="1"/>
  <c r="I1346" i="24"/>
  <c r="J1346" i="24" s="1"/>
  <c r="B1346" i="24"/>
  <c r="C1346" i="24" s="1"/>
  <c r="I1345" i="24"/>
  <c r="J1345" i="24" s="1"/>
  <c r="B1345" i="24"/>
  <c r="C1345" i="24" s="1"/>
  <c r="I1344" i="24"/>
  <c r="J1344" i="24" s="1"/>
  <c r="B1344" i="24"/>
  <c r="C1344" i="24" s="1"/>
  <c r="I1343" i="24"/>
  <c r="J1343" i="24" s="1"/>
  <c r="B1343" i="24"/>
  <c r="C1343" i="24" s="1"/>
  <c r="I1342" i="24"/>
  <c r="J1342" i="24" s="1"/>
  <c r="B1342" i="24"/>
  <c r="C1342" i="24" s="1"/>
  <c r="I1341" i="24"/>
  <c r="J1341" i="24" s="1"/>
  <c r="B1341" i="24"/>
  <c r="C1341" i="24" s="1"/>
  <c r="I1340" i="24"/>
  <c r="J1340" i="24" s="1"/>
  <c r="B1340" i="24"/>
  <c r="C1340" i="24" s="1"/>
  <c r="I1339" i="24"/>
  <c r="J1339" i="24" s="1"/>
  <c r="B1339" i="24"/>
  <c r="C1339" i="24" s="1"/>
  <c r="I1338" i="24"/>
  <c r="J1338" i="24" s="1"/>
  <c r="B1338" i="24"/>
  <c r="C1338" i="24" s="1"/>
  <c r="I1337" i="24"/>
  <c r="J1337" i="24" s="1"/>
  <c r="B1337" i="24"/>
  <c r="C1337" i="24" s="1"/>
  <c r="I1336" i="24"/>
  <c r="J1336" i="24" s="1"/>
  <c r="B1336" i="24"/>
  <c r="C1336" i="24" s="1"/>
  <c r="I1335" i="24"/>
  <c r="J1335" i="24" s="1"/>
  <c r="B1335" i="24"/>
  <c r="C1335" i="24" s="1"/>
  <c r="I1334" i="24"/>
  <c r="J1334" i="24" s="1"/>
  <c r="B1334" i="24"/>
  <c r="C1334" i="24" s="1"/>
  <c r="I1333" i="24"/>
  <c r="J1333" i="24" s="1"/>
  <c r="B1333" i="24"/>
  <c r="C1333" i="24" s="1"/>
  <c r="I1332" i="24"/>
  <c r="J1332" i="24" s="1"/>
  <c r="B1332" i="24"/>
  <c r="C1332" i="24" s="1"/>
  <c r="I1331" i="24"/>
  <c r="J1331" i="24" s="1"/>
  <c r="B1331" i="24"/>
  <c r="C1331" i="24" s="1"/>
  <c r="I1330" i="24"/>
  <c r="J1330" i="24" s="1"/>
  <c r="B1330" i="24"/>
  <c r="C1330" i="24" s="1"/>
  <c r="I1329" i="24"/>
  <c r="J1329" i="24" s="1"/>
  <c r="B1329" i="24"/>
  <c r="C1329" i="24" s="1"/>
  <c r="I1328" i="24"/>
  <c r="J1328" i="24" s="1"/>
  <c r="B1328" i="24"/>
  <c r="C1328" i="24" s="1"/>
  <c r="I1327" i="24"/>
  <c r="J1327" i="24" s="1"/>
  <c r="B1327" i="24"/>
  <c r="C1327" i="24" s="1"/>
  <c r="I1326" i="24"/>
  <c r="J1326" i="24" s="1"/>
  <c r="B1326" i="24"/>
  <c r="C1326" i="24" s="1"/>
  <c r="I1325" i="24"/>
  <c r="J1325" i="24" s="1"/>
  <c r="B1325" i="24"/>
  <c r="C1325" i="24" s="1"/>
  <c r="I1324" i="24"/>
  <c r="J1324" i="24" s="1"/>
  <c r="B1324" i="24"/>
  <c r="C1324" i="24" s="1"/>
  <c r="I1323" i="24"/>
  <c r="J1323" i="24" s="1"/>
  <c r="B1323" i="24"/>
  <c r="C1323" i="24" s="1"/>
  <c r="I1322" i="24"/>
  <c r="J1322" i="24" s="1"/>
  <c r="B1322" i="24"/>
  <c r="C1322" i="24" s="1"/>
  <c r="I1321" i="24"/>
  <c r="J1321" i="24" s="1"/>
  <c r="B1321" i="24"/>
  <c r="C1321" i="24" s="1"/>
  <c r="I1320" i="24"/>
  <c r="J1320" i="24" s="1"/>
  <c r="B1320" i="24"/>
  <c r="C1320" i="24" s="1"/>
  <c r="I1319" i="24"/>
  <c r="J1319" i="24" s="1"/>
  <c r="B1319" i="24"/>
  <c r="C1319" i="24" s="1"/>
  <c r="I1318" i="24"/>
  <c r="J1318" i="24" s="1"/>
  <c r="B1318" i="24"/>
  <c r="C1318" i="24" s="1"/>
  <c r="I1317" i="24"/>
  <c r="J1317" i="24" s="1"/>
  <c r="B1317" i="24"/>
  <c r="C1317" i="24" s="1"/>
  <c r="I1316" i="24"/>
  <c r="J1316" i="24" s="1"/>
  <c r="B1316" i="24"/>
  <c r="C1316" i="24" s="1"/>
  <c r="I1315" i="24"/>
  <c r="J1315" i="24" s="1"/>
  <c r="B1315" i="24"/>
  <c r="C1315" i="24" s="1"/>
  <c r="I1314" i="24"/>
  <c r="J1314" i="24" s="1"/>
  <c r="B1314" i="24"/>
  <c r="C1314" i="24" s="1"/>
  <c r="I1313" i="24"/>
  <c r="J1313" i="24" s="1"/>
  <c r="B1313" i="24"/>
  <c r="C1313" i="24" s="1"/>
  <c r="I1312" i="24"/>
  <c r="J1312" i="24" s="1"/>
  <c r="B1312" i="24"/>
  <c r="C1312" i="24" s="1"/>
  <c r="I1311" i="24"/>
  <c r="J1311" i="24" s="1"/>
  <c r="B1311" i="24"/>
  <c r="C1311" i="24" s="1"/>
  <c r="I1310" i="24"/>
  <c r="J1310" i="24" s="1"/>
  <c r="B1310" i="24"/>
  <c r="C1310" i="24" s="1"/>
  <c r="I1309" i="24"/>
  <c r="J1309" i="24" s="1"/>
  <c r="B1309" i="24"/>
  <c r="C1309" i="24" s="1"/>
  <c r="I1308" i="24"/>
  <c r="J1308" i="24" s="1"/>
  <c r="B1308" i="24"/>
  <c r="C1308" i="24" s="1"/>
  <c r="I1307" i="24"/>
  <c r="J1307" i="24" s="1"/>
  <c r="B1307" i="24"/>
  <c r="C1307" i="24" s="1"/>
  <c r="I1306" i="24"/>
  <c r="J1306" i="24" s="1"/>
  <c r="B1306" i="24"/>
  <c r="C1306" i="24" s="1"/>
  <c r="I1305" i="24"/>
  <c r="J1305" i="24" s="1"/>
  <c r="B1305" i="24"/>
  <c r="C1305" i="24" s="1"/>
  <c r="I1304" i="24"/>
  <c r="J1304" i="24" s="1"/>
  <c r="B1304" i="24"/>
  <c r="C1304" i="24" s="1"/>
  <c r="I1303" i="24"/>
  <c r="J1303" i="24" s="1"/>
  <c r="B1303" i="24"/>
  <c r="C1303" i="24" s="1"/>
  <c r="I1302" i="24"/>
  <c r="J1302" i="24" s="1"/>
  <c r="B1302" i="24"/>
  <c r="C1302" i="24" s="1"/>
  <c r="I1301" i="24"/>
  <c r="J1301" i="24" s="1"/>
  <c r="B1301" i="24"/>
  <c r="C1301" i="24" s="1"/>
  <c r="I1300" i="24"/>
  <c r="J1300" i="24" s="1"/>
  <c r="B1300" i="24"/>
  <c r="C1300" i="24" s="1"/>
  <c r="I1299" i="24"/>
  <c r="J1299" i="24" s="1"/>
  <c r="B1299" i="24"/>
  <c r="C1299" i="24" s="1"/>
  <c r="I1298" i="24"/>
  <c r="J1298" i="24" s="1"/>
  <c r="B1298" i="24"/>
  <c r="C1298" i="24" s="1"/>
  <c r="I1297" i="24"/>
  <c r="J1297" i="24" s="1"/>
  <c r="B1297" i="24"/>
  <c r="C1297" i="24" s="1"/>
  <c r="I1296" i="24"/>
  <c r="J1296" i="24" s="1"/>
  <c r="B1296" i="24"/>
  <c r="C1296" i="24" s="1"/>
  <c r="I1295" i="24"/>
  <c r="J1295" i="24" s="1"/>
  <c r="B1295" i="24"/>
  <c r="C1295" i="24" s="1"/>
  <c r="I1294" i="24"/>
  <c r="J1294" i="24" s="1"/>
  <c r="B1294" i="24"/>
  <c r="C1294" i="24" s="1"/>
  <c r="I1293" i="24"/>
  <c r="J1293" i="24" s="1"/>
  <c r="B1293" i="24"/>
  <c r="C1293" i="24" s="1"/>
  <c r="I1292" i="24"/>
  <c r="J1292" i="24" s="1"/>
  <c r="B1292" i="24"/>
  <c r="C1292" i="24" s="1"/>
  <c r="I1291" i="24"/>
  <c r="J1291" i="24" s="1"/>
  <c r="B1291" i="24"/>
  <c r="C1291" i="24" s="1"/>
  <c r="I1290" i="24"/>
  <c r="J1290" i="24" s="1"/>
  <c r="B1290" i="24"/>
  <c r="C1290" i="24" s="1"/>
  <c r="I1289" i="24"/>
  <c r="J1289" i="24" s="1"/>
  <c r="B1289" i="24"/>
  <c r="C1289" i="24" s="1"/>
  <c r="I1288" i="24"/>
  <c r="J1288" i="24" s="1"/>
  <c r="B1288" i="24"/>
  <c r="C1288" i="24" s="1"/>
  <c r="I1287" i="24"/>
  <c r="J1287" i="24" s="1"/>
  <c r="B1287" i="24"/>
  <c r="C1287" i="24" s="1"/>
  <c r="I1286" i="24"/>
  <c r="J1286" i="24" s="1"/>
  <c r="B1286" i="24"/>
  <c r="C1286" i="24" s="1"/>
  <c r="I1285" i="24"/>
  <c r="J1285" i="24" s="1"/>
  <c r="B1285" i="24"/>
  <c r="C1285" i="24" s="1"/>
  <c r="I1284" i="24"/>
  <c r="J1284" i="24" s="1"/>
  <c r="B1284" i="24"/>
  <c r="C1284" i="24" s="1"/>
  <c r="I1283" i="24"/>
  <c r="J1283" i="24" s="1"/>
  <c r="B1283" i="24"/>
  <c r="C1283" i="24" s="1"/>
  <c r="I1282" i="24"/>
  <c r="J1282" i="24" s="1"/>
  <c r="B1282" i="24"/>
  <c r="C1282" i="24" s="1"/>
  <c r="I1281" i="24"/>
  <c r="J1281" i="24" s="1"/>
  <c r="B1281" i="24"/>
  <c r="C1281" i="24" s="1"/>
  <c r="I1280" i="24"/>
  <c r="J1280" i="24" s="1"/>
  <c r="B1280" i="24"/>
  <c r="C1280" i="24" s="1"/>
  <c r="I1279" i="24"/>
  <c r="J1279" i="24" s="1"/>
  <c r="B1279" i="24"/>
  <c r="C1279" i="24" s="1"/>
  <c r="I1278" i="24"/>
  <c r="J1278" i="24" s="1"/>
  <c r="B1278" i="24"/>
  <c r="C1278" i="24" s="1"/>
  <c r="I1277" i="24"/>
  <c r="J1277" i="24" s="1"/>
  <c r="B1277" i="24"/>
  <c r="C1277" i="24" s="1"/>
  <c r="I1276" i="24"/>
  <c r="J1276" i="24" s="1"/>
  <c r="B1276" i="24"/>
  <c r="C1276" i="24" s="1"/>
  <c r="I1275" i="24"/>
  <c r="J1275" i="24" s="1"/>
  <c r="B1275" i="24"/>
  <c r="C1275" i="24" s="1"/>
  <c r="I1274" i="24"/>
  <c r="J1274" i="24" s="1"/>
  <c r="B1274" i="24"/>
  <c r="C1274" i="24" s="1"/>
  <c r="I1273" i="24"/>
  <c r="J1273" i="24" s="1"/>
  <c r="B1273" i="24"/>
  <c r="C1273" i="24" s="1"/>
  <c r="I1272" i="24"/>
  <c r="J1272" i="24" s="1"/>
  <c r="B1272" i="24"/>
  <c r="C1272" i="24" s="1"/>
  <c r="I1271" i="24"/>
  <c r="J1271" i="24" s="1"/>
  <c r="B1271" i="24"/>
  <c r="C1271" i="24" s="1"/>
  <c r="I1270" i="24"/>
  <c r="J1270" i="24" s="1"/>
  <c r="B1270" i="24"/>
  <c r="C1270" i="24" s="1"/>
  <c r="I1269" i="24"/>
  <c r="J1269" i="24" s="1"/>
  <c r="B1269" i="24"/>
  <c r="C1269" i="24" s="1"/>
  <c r="I1268" i="24"/>
  <c r="J1268" i="24" s="1"/>
  <c r="B1268" i="24"/>
  <c r="C1268" i="24" s="1"/>
  <c r="I1267" i="24"/>
  <c r="J1267" i="24" s="1"/>
  <c r="B1267" i="24"/>
  <c r="C1267" i="24" s="1"/>
  <c r="I1266" i="24"/>
  <c r="J1266" i="24" s="1"/>
  <c r="B1266" i="24"/>
  <c r="C1266" i="24" s="1"/>
  <c r="I1265" i="24"/>
  <c r="J1265" i="24" s="1"/>
  <c r="B1265" i="24"/>
  <c r="C1265" i="24" s="1"/>
  <c r="I1264" i="24"/>
  <c r="J1264" i="24" s="1"/>
  <c r="B1264" i="24"/>
  <c r="C1264" i="24" s="1"/>
  <c r="I1263" i="24"/>
  <c r="J1263" i="24" s="1"/>
  <c r="B1263" i="24"/>
  <c r="C1263" i="24" s="1"/>
  <c r="I1262" i="24"/>
  <c r="J1262" i="24" s="1"/>
  <c r="B1262" i="24"/>
  <c r="C1262" i="24" s="1"/>
  <c r="I1261" i="24"/>
  <c r="J1261" i="24" s="1"/>
  <c r="B1261" i="24"/>
  <c r="C1261" i="24" s="1"/>
  <c r="I1260" i="24"/>
  <c r="J1260" i="24" s="1"/>
  <c r="B1260" i="24"/>
  <c r="C1260" i="24" s="1"/>
  <c r="I1259" i="24"/>
  <c r="J1259" i="24" s="1"/>
  <c r="B1259" i="24"/>
  <c r="C1259" i="24" s="1"/>
  <c r="I1258" i="24"/>
  <c r="J1258" i="24" s="1"/>
  <c r="B1258" i="24"/>
  <c r="C1258" i="24" s="1"/>
  <c r="I1257" i="24"/>
  <c r="J1257" i="24" s="1"/>
  <c r="B1257" i="24"/>
  <c r="C1257" i="24" s="1"/>
  <c r="I1256" i="24"/>
  <c r="J1256" i="24" s="1"/>
  <c r="B1256" i="24"/>
  <c r="C1256" i="24" s="1"/>
  <c r="I1255" i="24"/>
  <c r="J1255" i="24" s="1"/>
  <c r="B1255" i="24"/>
  <c r="C1255" i="24" s="1"/>
  <c r="I1254" i="24"/>
  <c r="J1254" i="24" s="1"/>
  <c r="B1254" i="24"/>
  <c r="C1254" i="24" s="1"/>
  <c r="I1253" i="24"/>
  <c r="J1253" i="24" s="1"/>
  <c r="B1253" i="24"/>
  <c r="C1253" i="24" s="1"/>
  <c r="I1252" i="24"/>
  <c r="J1252" i="24" s="1"/>
  <c r="B1252" i="24"/>
  <c r="C1252" i="24" s="1"/>
  <c r="I1251" i="24"/>
  <c r="J1251" i="24" s="1"/>
  <c r="B1251" i="24"/>
  <c r="C1251" i="24" s="1"/>
  <c r="I1250" i="24"/>
  <c r="J1250" i="24" s="1"/>
  <c r="B1250" i="24"/>
  <c r="C1250" i="24" s="1"/>
  <c r="I1249" i="24"/>
  <c r="J1249" i="24" s="1"/>
  <c r="B1249" i="24"/>
  <c r="C1249" i="24" s="1"/>
  <c r="I1248" i="24"/>
  <c r="J1248" i="24" s="1"/>
  <c r="B1248" i="24"/>
  <c r="C1248" i="24" s="1"/>
  <c r="I1247" i="24"/>
  <c r="J1247" i="24" s="1"/>
  <c r="B1247" i="24"/>
  <c r="C1247" i="24" s="1"/>
  <c r="I1246" i="24"/>
  <c r="J1246" i="24" s="1"/>
  <c r="B1246" i="24"/>
  <c r="C1246" i="24" s="1"/>
  <c r="I1245" i="24"/>
  <c r="J1245" i="24" s="1"/>
  <c r="B1245" i="24"/>
  <c r="C1245" i="24" s="1"/>
  <c r="I1244" i="24"/>
  <c r="J1244" i="24" s="1"/>
  <c r="B1244" i="24"/>
  <c r="C1244" i="24" s="1"/>
  <c r="I1243" i="24"/>
  <c r="J1243" i="24" s="1"/>
  <c r="B1243" i="24"/>
  <c r="C1243" i="24" s="1"/>
  <c r="I1242" i="24"/>
  <c r="J1242" i="24" s="1"/>
  <c r="B1242" i="24"/>
  <c r="C1242" i="24" s="1"/>
  <c r="I1241" i="24"/>
  <c r="J1241" i="24" s="1"/>
  <c r="B1241" i="24"/>
  <c r="C1241" i="24" s="1"/>
  <c r="I1240" i="24"/>
  <c r="J1240" i="24" s="1"/>
  <c r="B1240" i="24"/>
  <c r="C1240" i="24" s="1"/>
  <c r="I1239" i="24"/>
  <c r="J1239" i="24" s="1"/>
  <c r="B1239" i="24"/>
  <c r="C1239" i="24" s="1"/>
  <c r="I1238" i="24"/>
  <c r="J1238" i="24" s="1"/>
  <c r="B1238" i="24"/>
  <c r="C1238" i="24" s="1"/>
  <c r="J1237" i="24"/>
  <c r="I1237" i="24"/>
  <c r="B1237" i="24"/>
  <c r="C1237" i="24" s="1"/>
  <c r="I1236" i="24"/>
  <c r="J1236" i="24" s="1"/>
  <c r="B1236" i="24"/>
  <c r="C1236" i="24" s="1"/>
  <c r="I1235" i="24"/>
  <c r="J1235" i="24" s="1"/>
  <c r="B1235" i="24"/>
  <c r="C1235" i="24" s="1"/>
  <c r="I1234" i="24"/>
  <c r="J1234" i="24" s="1"/>
  <c r="B1234" i="24"/>
  <c r="C1234" i="24" s="1"/>
  <c r="I1233" i="24"/>
  <c r="J1233" i="24" s="1"/>
  <c r="B1233" i="24"/>
  <c r="C1233" i="24" s="1"/>
  <c r="I1232" i="24"/>
  <c r="J1232" i="24" s="1"/>
  <c r="B1232" i="24"/>
  <c r="C1232" i="24" s="1"/>
  <c r="I1231" i="24"/>
  <c r="J1231" i="24" s="1"/>
  <c r="B1231" i="24"/>
  <c r="C1231" i="24" s="1"/>
  <c r="I1230" i="24"/>
  <c r="J1230" i="24" s="1"/>
  <c r="B1230" i="24"/>
  <c r="C1230" i="24" s="1"/>
  <c r="J1229" i="24"/>
  <c r="I1229" i="24"/>
  <c r="B1229" i="24"/>
  <c r="C1229" i="24" s="1"/>
  <c r="I1228" i="24"/>
  <c r="J1228" i="24" s="1"/>
  <c r="B1228" i="24"/>
  <c r="C1228" i="24" s="1"/>
  <c r="J1227" i="24"/>
  <c r="I1227" i="24"/>
  <c r="B1227" i="24"/>
  <c r="C1227" i="24" s="1"/>
  <c r="I1226" i="24"/>
  <c r="J1226" i="24" s="1"/>
  <c r="B1226" i="24"/>
  <c r="C1226" i="24" s="1"/>
  <c r="I1225" i="24"/>
  <c r="J1225" i="24" s="1"/>
  <c r="B1225" i="24"/>
  <c r="C1225" i="24" s="1"/>
  <c r="I1224" i="24"/>
  <c r="J1224" i="24" s="1"/>
  <c r="B1224" i="24"/>
  <c r="C1224" i="24" s="1"/>
  <c r="I1223" i="24"/>
  <c r="J1223" i="24" s="1"/>
  <c r="B1223" i="24"/>
  <c r="C1223" i="24" s="1"/>
  <c r="I1222" i="24"/>
  <c r="J1222" i="24" s="1"/>
  <c r="B1222" i="24"/>
  <c r="C1222" i="24" s="1"/>
  <c r="J1221" i="24"/>
  <c r="I1221" i="24"/>
  <c r="B1221" i="24"/>
  <c r="C1221" i="24" s="1"/>
  <c r="I1220" i="24"/>
  <c r="J1220" i="24" s="1"/>
  <c r="B1220" i="24"/>
  <c r="C1220" i="24" s="1"/>
  <c r="I1219" i="24"/>
  <c r="J1219" i="24" s="1"/>
  <c r="B1219" i="24"/>
  <c r="C1219" i="24" s="1"/>
  <c r="I1218" i="24"/>
  <c r="J1218" i="24" s="1"/>
  <c r="B1218" i="24"/>
  <c r="C1218" i="24" s="1"/>
  <c r="I1217" i="24"/>
  <c r="J1217" i="24" s="1"/>
  <c r="B1217" i="24"/>
  <c r="C1217" i="24" s="1"/>
  <c r="I1216" i="24"/>
  <c r="J1216" i="24" s="1"/>
  <c r="B1216" i="24"/>
  <c r="C1216" i="24" s="1"/>
  <c r="I1215" i="24"/>
  <c r="J1215" i="24" s="1"/>
  <c r="B1215" i="24"/>
  <c r="C1215" i="24" s="1"/>
  <c r="I1214" i="24"/>
  <c r="J1214" i="24" s="1"/>
  <c r="B1214" i="24"/>
  <c r="C1214" i="24" s="1"/>
  <c r="J1213" i="24"/>
  <c r="I1213" i="24"/>
  <c r="B1213" i="24"/>
  <c r="C1213" i="24" s="1"/>
  <c r="I1212" i="24"/>
  <c r="J1212" i="24" s="1"/>
  <c r="B1212" i="24"/>
  <c r="C1212" i="24" s="1"/>
  <c r="J1211" i="24"/>
  <c r="I1211" i="24"/>
  <c r="B1211" i="24"/>
  <c r="C1211" i="24" s="1"/>
  <c r="I1210" i="24"/>
  <c r="J1210" i="24" s="1"/>
  <c r="B1210" i="24"/>
  <c r="C1210" i="24" s="1"/>
  <c r="I1209" i="24"/>
  <c r="J1209" i="24" s="1"/>
  <c r="B1209" i="24"/>
  <c r="C1209" i="24" s="1"/>
  <c r="I1208" i="24"/>
  <c r="J1208" i="24" s="1"/>
  <c r="B1208" i="24"/>
  <c r="C1208" i="24" s="1"/>
  <c r="I1207" i="24"/>
  <c r="J1207" i="24" s="1"/>
  <c r="B1207" i="24"/>
  <c r="C1207" i="24" s="1"/>
  <c r="I1206" i="24"/>
  <c r="J1206" i="24" s="1"/>
  <c r="B1206" i="24"/>
  <c r="C1206" i="24" s="1"/>
  <c r="I1205" i="24"/>
  <c r="J1205" i="24" s="1"/>
  <c r="B1205" i="24"/>
  <c r="C1205" i="24" s="1"/>
  <c r="I1204" i="24"/>
  <c r="J1204" i="24" s="1"/>
  <c r="B1204" i="24"/>
  <c r="C1204" i="24" s="1"/>
  <c r="I1203" i="24"/>
  <c r="J1203" i="24" s="1"/>
  <c r="B1203" i="24"/>
  <c r="C1203" i="24" s="1"/>
  <c r="I1202" i="24"/>
  <c r="J1202" i="24" s="1"/>
  <c r="B1202" i="24"/>
  <c r="C1202" i="24" s="1"/>
  <c r="I1201" i="24"/>
  <c r="J1201" i="24" s="1"/>
  <c r="B1201" i="24"/>
  <c r="C1201" i="24" s="1"/>
  <c r="I1200" i="24"/>
  <c r="J1200" i="24" s="1"/>
  <c r="B1200" i="24"/>
  <c r="C1200" i="24" s="1"/>
  <c r="I1199" i="24"/>
  <c r="J1199" i="24" s="1"/>
  <c r="B1199" i="24"/>
  <c r="C1199" i="24" s="1"/>
  <c r="I1198" i="24"/>
  <c r="J1198" i="24" s="1"/>
  <c r="B1198" i="24"/>
  <c r="C1198" i="24" s="1"/>
  <c r="J1197" i="24"/>
  <c r="I1197" i="24"/>
  <c r="B1197" i="24"/>
  <c r="C1197" i="24" s="1"/>
  <c r="I1196" i="24"/>
  <c r="J1196" i="24" s="1"/>
  <c r="B1196" i="24"/>
  <c r="C1196" i="24" s="1"/>
  <c r="J1195" i="24"/>
  <c r="I1195" i="24"/>
  <c r="B1195" i="24"/>
  <c r="C1195" i="24" s="1"/>
  <c r="I1194" i="24"/>
  <c r="J1194" i="24" s="1"/>
  <c r="B1194" i="24"/>
  <c r="C1194" i="24" s="1"/>
  <c r="I1193" i="24"/>
  <c r="J1193" i="24" s="1"/>
  <c r="B1193" i="24"/>
  <c r="C1193" i="24" s="1"/>
  <c r="I1192" i="24"/>
  <c r="J1192" i="24" s="1"/>
  <c r="B1192" i="24"/>
  <c r="C1192" i="24" s="1"/>
  <c r="I1191" i="24"/>
  <c r="J1191" i="24" s="1"/>
  <c r="B1191" i="24"/>
  <c r="C1191" i="24" s="1"/>
  <c r="I1190" i="24"/>
  <c r="J1190" i="24" s="1"/>
  <c r="B1190" i="24"/>
  <c r="C1190" i="24" s="1"/>
  <c r="J1189" i="24"/>
  <c r="I1189" i="24"/>
  <c r="B1189" i="24"/>
  <c r="C1189" i="24" s="1"/>
  <c r="I1188" i="24"/>
  <c r="J1188" i="24" s="1"/>
  <c r="B1188" i="24"/>
  <c r="C1188" i="24" s="1"/>
  <c r="I1187" i="24"/>
  <c r="J1187" i="24" s="1"/>
  <c r="B1187" i="24"/>
  <c r="C1187" i="24" s="1"/>
  <c r="I1186" i="24"/>
  <c r="J1186" i="24" s="1"/>
  <c r="B1186" i="24"/>
  <c r="C1186" i="24" s="1"/>
  <c r="I1185" i="24"/>
  <c r="J1185" i="24" s="1"/>
  <c r="B1185" i="24"/>
  <c r="C1185" i="24" s="1"/>
  <c r="I1184" i="24"/>
  <c r="J1184" i="24" s="1"/>
  <c r="B1184" i="24"/>
  <c r="C1184" i="24" s="1"/>
  <c r="I1183" i="24"/>
  <c r="J1183" i="24" s="1"/>
  <c r="B1183" i="24"/>
  <c r="C1183" i="24" s="1"/>
  <c r="I1182" i="24"/>
  <c r="J1182" i="24" s="1"/>
  <c r="B1182" i="24"/>
  <c r="C1182" i="24" s="1"/>
  <c r="J1181" i="24"/>
  <c r="I1181" i="24"/>
  <c r="B1181" i="24"/>
  <c r="C1181" i="24" s="1"/>
  <c r="I1180" i="24"/>
  <c r="J1180" i="24" s="1"/>
  <c r="B1180" i="24"/>
  <c r="C1180" i="24" s="1"/>
  <c r="J1179" i="24"/>
  <c r="I1179" i="24"/>
  <c r="B1179" i="24"/>
  <c r="C1179" i="24" s="1"/>
  <c r="I1178" i="24"/>
  <c r="J1178" i="24" s="1"/>
  <c r="B1178" i="24"/>
  <c r="C1178" i="24" s="1"/>
  <c r="I1177" i="24"/>
  <c r="J1177" i="24" s="1"/>
  <c r="B1177" i="24"/>
  <c r="C1177" i="24" s="1"/>
  <c r="I1176" i="24"/>
  <c r="J1176" i="24" s="1"/>
  <c r="B1176" i="24"/>
  <c r="C1176" i="24" s="1"/>
  <c r="I1175" i="24"/>
  <c r="J1175" i="24" s="1"/>
  <c r="B1175" i="24"/>
  <c r="C1175" i="24" s="1"/>
  <c r="I1174" i="24"/>
  <c r="J1174" i="24" s="1"/>
  <c r="B1174" i="24"/>
  <c r="C1174" i="24" s="1"/>
  <c r="J1173" i="24"/>
  <c r="I1173" i="24"/>
  <c r="B1173" i="24"/>
  <c r="C1173" i="24" s="1"/>
  <c r="J1172" i="24"/>
  <c r="I1172" i="24"/>
  <c r="B1172" i="24"/>
  <c r="C1172" i="24" s="1"/>
  <c r="I1171" i="24"/>
  <c r="J1171" i="24" s="1"/>
  <c r="B1171" i="24"/>
  <c r="C1171" i="24" s="1"/>
  <c r="I1170" i="24"/>
  <c r="J1170" i="24" s="1"/>
  <c r="B1170" i="24"/>
  <c r="C1170" i="24" s="1"/>
  <c r="I1169" i="24"/>
  <c r="J1169" i="24" s="1"/>
  <c r="B1169" i="24"/>
  <c r="C1169" i="24" s="1"/>
  <c r="J1168" i="24"/>
  <c r="I1168" i="24"/>
  <c r="B1168" i="24"/>
  <c r="C1168" i="24" s="1"/>
  <c r="I1167" i="24"/>
  <c r="J1167" i="24" s="1"/>
  <c r="B1167" i="24"/>
  <c r="C1167" i="24" s="1"/>
  <c r="I1166" i="24"/>
  <c r="J1166" i="24" s="1"/>
  <c r="B1166" i="24"/>
  <c r="C1166" i="24" s="1"/>
  <c r="J1165" i="24"/>
  <c r="I1165" i="24"/>
  <c r="B1165" i="24"/>
  <c r="C1165" i="24" s="1"/>
  <c r="J1164" i="24"/>
  <c r="I1164" i="24"/>
  <c r="B1164" i="24"/>
  <c r="C1164" i="24" s="1"/>
  <c r="I1163" i="24"/>
  <c r="J1163" i="24" s="1"/>
  <c r="B1163" i="24"/>
  <c r="C1163" i="24" s="1"/>
  <c r="I1162" i="24"/>
  <c r="J1162" i="24" s="1"/>
  <c r="B1162" i="24"/>
  <c r="C1162" i="24" s="1"/>
  <c r="J1161" i="24"/>
  <c r="I1161" i="24"/>
  <c r="B1161" i="24"/>
  <c r="C1161" i="24" s="1"/>
  <c r="J1160" i="24"/>
  <c r="I1160" i="24"/>
  <c r="B1160" i="24"/>
  <c r="C1160" i="24" s="1"/>
  <c r="I1159" i="24"/>
  <c r="J1159" i="24" s="1"/>
  <c r="B1159" i="24"/>
  <c r="C1159" i="24" s="1"/>
  <c r="I1158" i="24"/>
  <c r="J1158" i="24" s="1"/>
  <c r="B1158" i="24"/>
  <c r="C1158" i="24" s="1"/>
  <c r="J1157" i="24"/>
  <c r="I1157" i="24"/>
  <c r="B1157" i="24"/>
  <c r="C1157" i="24" s="1"/>
  <c r="J1156" i="24"/>
  <c r="I1156" i="24"/>
  <c r="B1156" i="24"/>
  <c r="C1156" i="24" s="1"/>
  <c r="I1155" i="24"/>
  <c r="J1155" i="24" s="1"/>
  <c r="C1155" i="24"/>
  <c r="B1155" i="24"/>
  <c r="I1154" i="24"/>
  <c r="J1154" i="24" s="1"/>
  <c r="B1154" i="24"/>
  <c r="C1154" i="24" s="1"/>
  <c r="I1153" i="24"/>
  <c r="J1153" i="24" s="1"/>
  <c r="C1153" i="24"/>
  <c r="B1153" i="24"/>
  <c r="I1152" i="24"/>
  <c r="J1152" i="24" s="1"/>
  <c r="B1152" i="24"/>
  <c r="C1152" i="24" s="1"/>
  <c r="J1151" i="24"/>
  <c r="I1151" i="24"/>
  <c r="B1151" i="24"/>
  <c r="C1151" i="24" s="1"/>
  <c r="J1150" i="24"/>
  <c r="I1150" i="24"/>
  <c r="B1150" i="24"/>
  <c r="C1150" i="24" s="1"/>
  <c r="J1149" i="24"/>
  <c r="I1149" i="24"/>
  <c r="B1149" i="24"/>
  <c r="C1149" i="24" s="1"/>
  <c r="J1148" i="24"/>
  <c r="I1148" i="24"/>
  <c r="B1148" i="24"/>
  <c r="C1148" i="24" s="1"/>
  <c r="I1147" i="24"/>
  <c r="J1147" i="24" s="1"/>
  <c r="C1147" i="24"/>
  <c r="B1147" i="24"/>
  <c r="I1146" i="24"/>
  <c r="J1146" i="24" s="1"/>
  <c r="B1146" i="24"/>
  <c r="C1146" i="24" s="1"/>
  <c r="I1145" i="24"/>
  <c r="J1145" i="24" s="1"/>
  <c r="C1145" i="24"/>
  <c r="B1145" i="24"/>
  <c r="I1144" i="24"/>
  <c r="J1144" i="24" s="1"/>
  <c r="B1144" i="24"/>
  <c r="C1144" i="24" s="1"/>
  <c r="J1143" i="24"/>
  <c r="I1143" i="24"/>
  <c r="B1143" i="24"/>
  <c r="C1143" i="24" s="1"/>
  <c r="J1142" i="24"/>
  <c r="I1142" i="24"/>
  <c r="B1142" i="24"/>
  <c r="C1142" i="24" s="1"/>
  <c r="J1141" i="24"/>
  <c r="I1141" i="24"/>
  <c r="B1141" i="24"/>
  <c r="C1141" i="24" s="1"/>
  <c r="J1140" i="24"/>
  <c r="I1140" i="24"/>
  <c r="B1140" i="24"/>
  <c r="C1140" i="24" s="1"/>
  <c r="I1139" i="24"/>
  <c r="J1139" i="24" s="1"/>
  <c r="C1139" i="24"/>
  <c r="B1139" i="24"/>
  <c r="I1138" i="24"/>
  <c r="J1138" i="24" s="1"/>
  <c r="B1138" i="24"/>
  <c r="C1138" i="24" s="1"/>
  <c r="I1137" i="24"/>
  <c r="J1137" i="24" s="1"/>
  <c r="C1137" i="24"/>
  <c r="B1137" i="24"/>
  <c r="I1136" i="24"/>
  <c r="J1136" i="24" s="1"/>
  <c r="B1136" i="24"/>
  <c r="C1136" i="24" s="1"/>
  <c r="J1135" i="24"/>
  <c r="I1135" i="24"/>
  <c r="B1135" i="24"/>
  <c r="C1135" i="24" s="1"/>
  <c r="J1134" i="24"/>
  <c r="I1134" i="24"/>
  <c r="B1134" i="24"/>
  <c r="C1134" i="24" s="1"/>
  <c r="J1133" i="24"/>
  <c r="I1133" i="24"/>
  <c r="B1133" i="24"/>
  <c r="C1133" i="24" s="1"/>
  <c r="J1132" i="24"/>
  <c r="I1132" i="24"/>
  <c r="B1132" i="24"/>
  <c r="C1132" i="24" s="1"/>
  <c r="I1131" i="24"/>
  <c r="J1131" i="24" s="1"/>
  <c r="C1131" i="24"/>
  <c r="B1131" i="24"/>
  <c r="I1130" i="24"/>
  <c r="J1130" i="24" s="1"/>
  <c r="B1130" i="24"/>
  <c r="C1130" i="24" s="1"/>
  <c r="I1129" i="24"/>
  <c r="J1129" i="24" s="1"/>
  <c r="C1129" i="24"/>
  <c r="B1129" i="24"/>
  <c r="I1128" i="24"/>
  <c r="J1128" i="24" s="1"/>
  <c r="B1128" i="24"/>
  <c r="C1128" i="24" s="1"/>
  <c r="J1127" i="24"/>
  <c r="I1127" i="24"/>
  <c r="B1127" i="24"/>
  <c r="C1127" i="24" s="1"/>
  <c r="J1126" i="24"/>
  <c r="I1126" i="24"/>
  <c r="B1126" i="24"/>
  <c r="C1126" i="24" s="1"/>
  <c r="J1125" i="24"/>
  <c r="I1125" i="24"/>
  <c r="B1125" i="24"/>
  <c r="C1125" i="24" s="1"/>
  <c r="J1124" i="24"/>
  <c r="I1124" i="24"/>
  <c r="B1124" i="24"/>
  <c r="C1124" i="24" s="1"/>
  <c r="I1123" i="24"/>
  <c r="J1123" i="24" s="1"/>
  <c r="C1123" i="24"/>
  <c r="B1123" i="24"/>
  <c r="I1122" i="24"/>
  <c r="J1122" i="24" s="1"/>
  <c r="B1122" i="24"/>
  <c r="C1122" i="24" s="1"/>
  <c r="I1121" i="24"/>
  <c r="J1121" i="24" s="1"/>
  <c r="C1121" i="24"/>
  <c r="B1121" i="24"/>
  <c r="I1120" i="24"/>
  <c r="J1120" i="24" s="1"/>
  <c r="B1120" i="24"/>
  <c r="C1120" i="24" s="1"/>
  <c r="J1119" i="24"/>
  <c r="I1119" i="24"/>
  <c r="B1119" i="24"/>
  <c r="C1119" i="24" s="1"/>
  <c r="J1118" i="24"/>
  <c r="I1118" i="24"/>
  <c r="B1118" i="24"/>
  <c r="C1118" i="24" s="1"/>
  <c r="J1117" i="24"/>
  <c r="I1117" i="24"/>
  <c r="B1117" i="24"/>
  <c r="C1117" i="24" s="1"/>
  <c r="J1116" i="24"/>
  <c r="I1116" i="24"/>
  <c r="B1116" i="24"/>
  <c r="C1116" i="24" s="1"/>
  <c r="I1115" i="24"/>
  <c r="J1115" i="24" s="1"/>
  <c r="C1115" i="24"/>
  <c r="B1115" i="24"/>
  <c r="I1114" i="24"/>
  <c r="J1114" i="24" s="1"/>
  <c r="B1114" i="24"/>
  <c r="C1114" i="24" s="1"/>
  <c r="I1113" i="24"/>
  <c r="J1113" i="24" s="1"/>
  <c r="C1113" i="24"/>
  <c r="B1113" i="24"/>
  <c r="I1112" i="24"/>
  <c r="J1112" i="24" s="1"/>
  <c r="B1112" i="24"/>
  <c r="C1112" i="24" s="1"/>
  <c r="J1111" i="24"/>
  <c r="I1111" i="24"/>
  <c r="B1111" i="24"/>
  <c r="C1111" i="24" s="1"/>
  <c r="J1110" i="24"/>
  <c r="I1110" i="24"/>
  <c r="B1110" i="24"/>
  <c r="C1110" i="24" s="1"/>
  <c r="J1109" i="24"/>
  <c r="I1109" i="24"/>
  <c r="B1109" i="24"/>
  <c r="C1109" i="24" s="1"/>
  <c r="J1108" i="24"/>
  <c r="I1108" i="24"/>
  <c r="B1108" i="24"/>
  <c r="C1108" i="24" s="1"/>
  <c r="I1107" i="24"/>
  <c r="J1107" i="24" s="1"/>
  <c r="C1107" i="24"/>
  <c r="B1107" i="24"/>
  <c r="I1106" i="24"/>
  <c r="J1106" i="24" s="1"/>
  <c r="B1106" i="24"/>
  <c r="C1106" i="24" s="1"/>
  <c r="I1105" i="24"/>
  <c r="J1105" i="24" s="1"/>
  <c r="C1105" i="24"/>
  <c r="B1105" i="24"/>
  <c r="I1104" i="24"/>
  <c r="J1104" i="24" s="1"/>
  <c r="B1104" i="24"/>
  <c r="C1104" i="24" s="1"/>
  <c r="J1103" i="24"/>
  <c r="I1103" i="24"/>
  <c r="B1103" i="24"/>
  <c r="C1103" i="24" s="1"/>
  <c r="J1102" i="24"/>
  <c r="I1102" i="24"/>
  <c r="B1102" i="24"/>
  <c r="C1102" i="24" s="1"/>
  <c r="J1101" i="24"/>
  <c r="I1101" i="24"/>
  <c r="B1101" i="24"/>
  <c r="C1101" i="24" s="1"/>
  <c r="J1100" i="24"/>
  <c r="I1100" i="24"/>
  <c r="B1100" i="24"/>
  <c r="C1100" i="24" s="1"/>
  <c r="I1099" i="24"/>
  <c r="J1099" i="24" s="1"/>
  <c r="C1099" i="24"/>
  <c r="B1099" i="24"/>
  <c r="I1098" i="24"/>
  <c r="J1098" i="24" s="1"/>
  <c r="B1098" i="24"/>
  <c r="C1098" i="24" s="1"/>
  <c r="I1097" i="24"/>
  <c r="J1097" i="24" s="1"/>
  <c r="C1097" i="24"/>
  <c r="B1097" i="24"/>
  <c r="I1096" i="24"/>
  <c r="J1096" i="24" s="1"/>
  <c r="B1096" i="24"/>
  <c r="C1096" i="24" s="1"/>
  <c r="J1095" i="24"/>
  <c r="I1095" i="24"/>
  <c r="B1095" i="24"/>
  <c r="C1095" i="24" s="1"/>
  <c r="J1094" i="24"/>
  <c r="I1094" i="24"/>
  <c r="B1094" i="24"/>
  <c r="C1094" i="24" s="1"/>
  <c r="J1093" i="24"/>
  <c r="I1093" i="24"/>
  <c r="B1093" i="24"/>
  <c r="C1093" i="24" s="1"/>
  <c r="J1092" i="24"/>
  <c r="I1092" i="24"/>
  <c r="B1092" i="24"/>
  <c r="C1092" i="24" s="1"/>
  <c r="J1091" i="24"/>
  <c r="I1091" i="24"/>
  <c r="B1091" i="24"/>
  <c r="C1091" i="24" s="1"/>
  <c r="J1090" i="24"/>
  <c r="I1090" i="24"/>
  <c r="B1090" i="24"/>
  <c r="C1090" i="24" s="1"/>
  <c r="I1089" i="24"/>
  <c r="J1089" i="24" s="1"/>
  <c r="B1089" i="24"/>
  <c r="C1089" i="24" s="1"/>
  <c r="I1088" i="24"/>
  <c r="J1088" i="24" s="1"/>
  <c r="B1088" i="24"/>
  <c r="C1088" i="24" s="1"/>
  <c r="I1087" i="24"/>
  <c r="J1087" i="24" s="1"/>
  <c r="B1087" i="24"/>
  <c r="C1087" i="24" s="1"/>
  <c r="I1086" i="24"/>
  <c r="J1086" i="24" s="1"/>
  <c r="B1086" i="24"/>
  <c r="C1086" i="24" s="1"/>
  <c r="I1085" i="24"/>
  <c r="J1085" i="24" s="1"/>
  <c r="B1085" i="24"/>
  <c r="C1085" i="24" s="1"/>
  <c r="I1084" i="24"/>
  <c r="J1084" i="24" s="1"/>
  <c r="B1084" i="24"/>
  <c r="C1084" i="24" s="1"/>
  <c r="I1083" i="24"/>
  <c r="J1083" i="24" s="1"/>
  <c r="B1083" i="24"/>
  <c r="C1083" i="24" s="1"/>
  <c r="I1082" i="24"/>
  <c r="J1082" i="24" s="1"/>
  <c r="B1082" i="24"/>
  <c r="C1082" i="24" s="1"/>
  <c r="I1081" i="24"/>
  <c r="J1081" i="24" s="1"/>
  <c r="B1081" i="24"/>
  <c r="C1081" i="24" s="1"/>
  <c r="I1080" i="24"/>
  <c r="J1080" i="24" s="1"/>
  <c r="B1080" i="24"/>
  <c r="C1080" i="24" s="1"/>
  <c r="I1079" i="24"/>
  <c r="J1079" i="24" s="1"/>
  <c r="B1079" i="24"/>
  <c r="C1079" i="24" s="1"/>
  <c r="I1078" i="24"/>
  <c r="J1078" i="24" s="1"/>
  <c r="B1078" i="24"/>
  <c r="C1078" i="24" s="1"/>
  <c r="I1077" i="24"/>
  <c r="J1077" i="24" s="1"/>
  <c r="B1077" i="24"/>
  <c r="C1077" i="24" s="1"/>
  <c r="I1076" i="24"/>
  <c r="J1076" i="24" s="1"/>
  <c r="B1076" i="24"/>
  <c r="C1076" i="24" s="1"/>
  <c r="I1075" i="24"/>
  <c r="J1075" i="24" s="1"/>
  <c r="B1075" i="24"/>
  <c r="C1075" i="24" s="1"/>
  <c r="I1074" i="24"/>
  <c r="J1074" i="24" s="1"/>
  <c r="B1074" i="24"/>
  <c r="C1074" i="24" s="1"/>
  <c r="I1073" i="24"/>
  <c r="J1073" i="24" s="1"/>
  <c r="B1073" i="24"/>
  <c r="C1073" i="24" s="1"/>
  <c r="I1072" i="24"/>
  <c r="J1072" i="24" s="1"/>
  <c r="B1072" i="24"/>
  <c r="C1072" i="24" s="1"/>
  <c r="I1071" i="24"/>
  <c r="J1071" i="24" s="1"/>
  <c r="B1071" i="24"/>
  <c r="C1071" i="24" s="1"/>
  <c r="I1070" i="24"/>
  <c r="J1070" i="24" s="1"/>
  <c r="B1070" i="24"/>
  <c r="C1070" i="24" s="1"/>
  <c r="I1069" i="24"/>
  <c r="J1069" i="24" s="1"/>
  <c r="B1069" i="24"/>
  <c r="C1069" i="24" s="1"/>
  <c r="I1068" i="24"/>
  <c r="J1068" i="24" s="1"/>
  <c r="B1068" i="24"/>
  <c r="C1068" i="24" s="1"/>
  <c r="I1067" i="24"/>
  <c r="J1067" i="24" s="1"/>
  <c r="B1067" i="24"/>
  <c r="C1067" i="24" s="1"/>
  <c r="I1066" i="24"/>
  <c r="J1066" i="24" s="1"/>
  <c r="B1066" i="24"/>
  <c r="C1066" i="24" s="1"/>
  <c r="I1065" i="24"/>
  <c r="J1065" i="24" s="1"/>
  <c r="B1065" i="24"/>
  <c r="C1065" i="24" s="1"/>
  <c r="I1064" i="24"/>
  <c r="J1064" i="24" s="1"/>
  <c r="B1064" i="24"/>
  <c r="C1064" i="24" s="1"/>
  <c r="I1063" i="24"/>
  <c r="J1063" i="24" s="1"/>
  <c r="B1063" i="24"/>
  <c r="C1063" i="24" s="1"/>
  <c r="I1062" i="24"/>
  <c r="J1062" i="24" s="1"/>
  <c r="B1062" i="24"/>
  <c r="C1062" i="24" s="1"/>
  <c r="I1061" i="24"/>
  <c r="J1061" i="24" s="1"/>
  <c r="B1061" i="24"/>
  <c r="C1061" i="24" s="1"/>
  <c r="I1060" i="24"/>
  <c r="J1060" i="24" s="1"/>
  <c r="B1060" i="24"/>
  <c r="C1060" i="24" s="1"/>
  <c r="I1059" i="24"/>
  <c r="J1059" i="24" s="1"/>
  <c r="B1059" i="24"/>
  <c r="C1059" i="24" s="1"/>
  <c r="I1058" i="24"/>
  <c r="J1058" i="24" s="1"/>
  <c r="B1058" i="24"/>
  <c r="C1058" i="24" s="1"/>
  <c r="I1057" i="24"/>
  <c r="J1057" i="24" s="1"/>
  <c r="B1057" i="24"/>
  <c r="C1057" i="24" s="1"/>
  <c r="I1056" i="24"/>
  <c r="J1056" i="24" s="1"/>
  <c r="B1056" i="24"/>
  <c r="C1056" i="24" s="1"/>
  <c r="I1055" i="24"/>
  <c r="J1055" i="24" s="1"/>
  <c r="B1055" i="24"/>
  <c r="C1055" i="24" s="1"/>
  <c r="I1054" i="24"/>
  <c r="J1054" i="24" s="1"/>
  <c r="B1054" i="24"/>
  <c r="C1054" i="24" s="1"/>
  <c r="I1053" i="24"/>
  <c r="J1053" i="24" s="1"/>
  <c r="B1053" i="24"/>
  <c r="C1053" i="24" s="1"/>
  <c r="I1052" i="24"/>
  <c r="J1052" i="24" s="1"/>
  <c r="B1052" i="24"/>
  <c r="C1052" i="24" s="1"/>
  <c r="I1051" i="24"/>
  <c r="J1051" i="24" s="1"/>
  <c r="B1051" i="24"/>
  <c r="C1051" i="24" s="1"/>
  <c r="I1050" i="24"/>
  <c r="J1050" i="24" s="1"/>
  <c r="B1050" i="24"/>
  <c r="C1050" i="24" s="1"/>
  <c r="I1049" i="24"/>
  <c r="J1049" i="24" s="1"/>
  <c r="B1049" i="24"/>
  <c r="C1049" i="24" s="1"/>
  <c r="I1048" i="24"/>
  <c r="J1048" i="24" s="1"/>
  <c r="B1048" i="24"/>
  <c r="C1048" i="24" s="1"/>
  <c r="I1047" i="24"/>
  <c r="J1047" i="24" s="1"/>
  <c r="B1047" i="24"/>
  <c r="C1047" i="24" s="1"/>
  <c r="I1046" i="24"/>
  <c r="J1046" i="24" s="1"/>
  <c r="B1046" i="24"/>
  <c r="C1046" i="24" s="1"/>
  <c r="I1045" i="24"/>
  <c r="J1045" i="24" s="1"/>
  <c r="B1045" i="24"/>
  <c r="C1045" i="24" s="1"/>
  <c r="I1044" i="24"/>
  <c r="J1044" i="24" s="1"/>
  <c r="B1044" i="24"/>
  <c r="C1044" i="24" s="1"/>
  <c r="I1043" i="24"/>
  <c r="J1043" i="24" s="1"/>
  <c r="B1043" i="24"/>
  <c r="C1043" i="24" s="1"/>
  <c r="I1042" i="24"/>
  <c r="J1042" i="24" s="1"/>
  <c r="B1042" i="24"/>
  <c r="C1042" i="24" s="1"/>
  <c r="I1041" i="24"/>
  <c r="J1041" i="24" s="1"/>
  <c r="B1041" i="24"/>
  <c r="C1041" i="24" s="1"/>
  <c r="I1040" i="24"/>
  <c r="J1040" i="24" s="1"/>
  <c r="B1040" i="24"/>
  <c r="C1040" i="24" s="1"/>
  <c r="I1039" i="24"/>
  <c r="J1039" i="24" s="1"/>
  <c r="B1039" i="24"/>
  <c r="C1039" i="24" s="1"/>
  <c r="I1038" i="24"/>
  <c r="J1038" i="24" s="1"/>
  <c r="B1038" i="24"/>
  <c r="C1038" i="24" s="1"/>
  <c r="I1037" i="24"/>
  <c r="J1037" i="24" s="1"/>
  <c r="B1037" i="24"/>
  <c r="C1037" i="24" s="1"/>
  <c r="I1036" i="24"/>
  <c r="J1036" i="24" s="1"/>
  <c r="B1036" i="24"/>
  <c r="C1036" i="24" s="1"/>
  <c r="I1035" i="24"/>
  <c r="J1035" i="24" s="1"/>
  <c r="B1035" i="24"/>
  <c r="C1035" i="24" s="1"/>
  <c r="I1034" i="24"/>
  <c r="J1034" i="24" s="1"/>
  <c r="B1034" i="24"/>
  <c r="C1034" i="24" s="1"/>
  <c r="I1033" i="24"/>
  <c r="J1033" i="24" s="1"/>
  <c r="B1033" i="24"/>
  <c r="C1033" i="24" s="1"/>
  <c r="I1032" i="24"/>
  <c r="J1032" i="24" s="1"/>
  <c r="B1032" i="24"/>
  <c r="C1032" i="24" s="1"/>
  <c r="I1031" i="24"/>
  <c r="J1031" i="24" s="1"/>
  <c r="B1031" i="24"/>
  <c r="C1031" i="24" s="1"/>
  <c r="I1030" i="24"/>
  <c r="J1030" i="24" s="1"/>
  <c r="B1030" i="24"/>
  <c r="C1030" i="24" s="1"/>
  <c r="I1029" i="24"/>
  <c r="J1029" i="24" s="1"/>
  <c r="B1029" i="24"/>
  <c r="C1029" i="24" s="1"/>
  <c r="I1028" i="24"/>
  <c r="J1028" i="24" s="1"/>
  <c r="B1028" i="24"/>
  <c r="C1028" i="24" s="1"/>
  <c r="I1027" i="24"/>
  <c r="J1027" i="24" s="1"/>
  <c r="B1027" i="24"/>
  <c r="C1027" i="24" s="1"/>
  <c r="I1026" i="24"/>
  <c r="J1026" i="24" s="1"/>
  <c r="B1026" i="24"/>
  <c r="C1026" i="24" s="1"/>
  <c r="I1025" i="24"/>
  <c r="J1025" i="24" s="1"/>
  <c r="B1025" i="24"/>
  <c r="C1025" i="24" s="1"/>
  <c r="I1024" i="24"/>
  <c r="J1024" i="24" s="1"/>
  <c r="B1024" i="24"/>
  <c r="C1024" i="24" s="1"/>
  <c r="I1023" i="24"/>
  <c r="J1023" i="24" s="1"/>
  <c r="B1023" i="24"/>
  <c r="C1023" i="24" s="1"/>
  <c r="I1022" i="24"/>
  <c r="J1022" i="24" s="1"/>
  <c r="B1022" i="24"/>
  <c r="C1022" i="24" s="1"/>
  <c r="I1021" i="24"/>
  <c r="J1021" i="24" s="1"/>
  <c r="B1021" i="24"/>
  <c r="C1021" i="24" s="1"/>
  <c r="I1020" i="24"/>
  <c r="J1020" i="24" s="1"/>
  <c r="B1020" i="24"/>
  <c r="C1020" i="24" s="1"/>
  <c r="I1019" i="24"/>
  <c r="J1019" i="24" s="1"/>
  <c r="B1019" i="24"/>
  <c r="C1019" i="24" s="1"/>
  <c r="I1018" i="24"/>
  <c r="J1018" i="24" s="1"/>
  <c r="B1018" i="24"/>
  <c r="C1018" i="24" s="1"/>
  <c r="I1017" i="24"/>
  <c r="J1017" i="24" s="1"/>
  <c r="B1017" i="24"/>
  <c r="C1017" i="24" s="1"/>
  <c r="I1016" i="24"/>
  <c r="J1016" i="24" s="1"/>
  <c r="B1016" i="24"/>
  <c r="C1016" i="24" s="1"/>
  <c r="I1015" i="24"/>
  <c r="J1015" i="24" s="1"/>
  <c r="B1015" i="24"/>
  <c r="C1015" i="24" s="1"/>
  <c r="I1014" i="24"/>
  <c r="J1014" i="24" s="1"/>
  <c r="B1014" i="24"/>
  <c r="C1014" i="24" s="1"/>
  <c r="I1013" i="24"/>
  <c r="J1013" i="24" s="1"/>
  <c r="B1013" i="24"/>
  <c r="C1013" i="24" s="1"/>
  <c r="I1012" i="24"/>
  <c r="J1012" i="24" s="1"/>
  <c r="B1012" i="24"/>
  <c r="C1012" i="24" s="1"/>
  <c r="I1011" i="24"/>
  <c r="J1011" i="24" s="1"/>
  <c r="B1011" i="24"/>
  <c r="C1011" i="24" s="1"/>
  <c r="I1010" i="24"/>
  <c r="J1010" i="24" s="1"/>
  <c r="B1010" i="24"/>
  <c r="C1010" i="24" s="1"/>
  <c r="I1009" i="24"/>
  <c r="J1009" i="24" s="1"/>
  <c r="B1009" i="24"/>
  <c r="C1009" i="24" s="1"/>
  <c r="I1008" i="24"/>
  <c r="J1008" i="24" s="1"/>
  <c r="B1008" i="24"/>
  <c r="C1008" i="24" s="1"/>
  <c r="I1007" i="24"/>
  <c r="J1007" i="24" s="1"/>
  <c r="B1007" i="24"/>
  <c r="C1007" i="24" s="1"/>
  <c r="I1006" i="24"/>
  <c r="J1006" i="24" s="1"/>
  <c r="B1006" i="24"/>
  <c r="C1006" i="24" s="1"/>
  <c r="I1005" i="24"/>
  <c r="J1005" i="24" s="1"/>
  <c r="B1005" i="24"/>
  <c r="C1005" i="24" s="1"/>
  <c r="I1004" i="24"/>
  <c r="J1004" i="24" s="1"/>
  <c r="B1004" i="24"/>
  <c r="C1004" i="24" s="1"/>
  <c r="I1003" i="24"/>
  <c r="J1003" i="24" s="1"/>
  <c r="B1003" i="24"/>
  <c r="C1003" i="24" s="1"/>
  <c r="I1002" i="24"/>
  <c r="J1002" i="24" s="1"/>
  <c r="B1002" i="24"/>
  <c r="C1002" i="24" s="1"/>
  <c r="I1001" i="24"/>
  <c r="J1001" i="24" s="1"/>
  <c r="B1001" i="24"/>
  <c r="C1001" i="24" s="1"/>
  <c r="I1000" i="24"/>
  <c r="J1000" i="24" s="1"/>
  <c r="B1000" i="24"/>
  <c r="C1000" i="24" s="1"/>
  <c r="I999" i="24"/>
  <c r="J999" i="24" s="1"/>
  <c r="B999" i="24"/>
  <c r="C999" i="24" s="1"/>
  <c r="I998" i="24"/>
  <c r="J998" i="24" s="1"/>
  <c r="B998" i="24"/>
  <c r="C998" i="24" s="1"/>
  <c r="I997" i="24"/>
  <c r="J997" i="24" s="1"/>
  <c r="B997" i="24"/>
  <c r="C997" i="24" s="1"/>
  <c r="I996" i="24"/>
  <c r="J996" i="24" s="1"/>
  <c r="B996" i="24"/>
  <c r="C996" i="24" s="1"/>
  <c r="I995" i="24"/>
  <c r="J995" i="24" s="1"/>
  <c r="B995" i="24"/>
  <c r="C995" i="24" s="1"/>
  <c r="I994" i="24"/>
  <c r="J994" i="24" s="1"/>
  <c r="B994" i="24"/>
  <c r="C994" i="24" s="1"/>
  <c r="I993" i="24"/>
  <c r="J993" i="24" s="1"/>
  <c r="B993" i="24"/>
  <c r="C993" i="24" s="1"/>
  <c r="I992" i="24"/>
  <c r="J992" i="24" s="1"/>
  <c r="B992" i="24"/>
  <c r="C992" i="24" s="1"/>
  <c r="I991" i="24"/>
  <c r="J991" i="24" s="1"/>
  <c r="B991" i="24"/>
  <c r="C991" i="24" s="1"/>
  <c r="I990" i="24"/>
  <c r="J990" i="24" s="1"/>
  <c r="B990" i="24"/>
  <c r="C990" i="24" s="1"/>
  <c r="I989" i="24"/>
  <c r="J989" i="24" s="1"/>
  <c r="B989" i="24"/>
  <c r="C989" i="24" s="1"/>
  <c r="I988" i="24"/>
  <c r="J988" i="24" s="1"/>
  <c r="B988" i="24"/>
  <c r="C988" i="24" s="1"/>
  <c r="I987" i="24"/>
  <c r="J987" i="24" s="1"/>
  <c r="B987" i="24"/>
  <c r="C987" i="24" s="1"/>
  <c r="I986" i="24"/>
  <c r="J986" i="24" s="1"/>
  <c r="B986" i="24"/>
  <c r="C986" i="24" s="1"/>
  <c r="I985" i="24"/>
  <c r="J985" i="24" s="1"/>
  <c r="B985" i="24"/>
  <c r="C985" i="24" s="1"/>
  <c r="I984" i="24"/>
  <c r="J984" i="24" s="1"/>
  <c r="B984" i="24"/>
  <c r="C984" i="24" s="1"/>
  <c r="I983" i="24"/>
  <c r="J983" i="24" s="1"/>
  <c r="B983" i="24"/>
  <c r="C983" i="24" s="1"/>
  <c r="I982" i="24"/>
  <c r="J982" i="24" s="1"/>
  <c r="B982" i="24"/>
  <c r="C982" i="24" s="1"/>
  <c r="I981" i="24"/>
  <c r="J981" i="24" s="1"/>
  <c r="B981" i="24"/>
  <c r="C981" i="24" s="1"/>
  <c r="I980" i="24"/>
  <c r="J980" i="24" s="1"/>
  <c r="B980" i="24"/>
  <c r="C980" i="24" s="1"/>
  <c r="I979" i="24"/>
  <c r="J979" i="24" s="1"/>
  <c r="B979" i="24"/>
  <c r="C979" i="24" s="1"/>
  <c r="I978" i="24"/>
  <c r="J978" i="24" s="1"/>
  <c r="B978" i="24"/>
  <c r="C978" i="24" s="1"/>
  <c r="I977" i="24"/>
  <c r="J977" i="24" s="1"/>
  <c r="B977" i="24"/>
  <c r="C977" i="24" s="1"/>
  <c r="I976" i="24"/>
  <c r="J976" i="24" s="1"/>
  <c r="B976" i="24"/>
  <c r="C976" i="24" s="1"/>
  <c r="I975" i="24"/>
  <c r="J975" i="24" s="1"/>
  <c r="B975" i="24"/>
  <c r="C975" i="24" s="1"/>
  <c r="I974" i="24"/>
  <c r="J974" i="24" s="1"/>
  <c r="B974" i="24"/>
  <c r="C974" i="24" s="1"/>
  <c r="I973" i="24"/>
  <c r="J973" i="24" s="1"/>
  <c r="B973" i="24"/>
  <c r="C973" i="24" s="1"/>
  <c r="I972" i="24"/>
  <c r="J972" i="24" s="1"/>
  <c r="B972" i="24"/>
  <c r="C972" i="24" s="1"/>
  <c r="I971" i="24"/>
  <c r="J971" i="24" s="1"/>
  <c r="B971" i="24"/>
  <c r="C971" i="24" s="1"/>
  <c r="I970" i="24"/>
  <c r="J970" i="24" s="1"/>
  <c r="B970" i="24"/>
  <c r="C970" i="24" s="1"/>
  <c r="I969" i="24"/>
  <c r="J969" i="24" s="1"/>
  <c r="B969" i="24"/>
  <c r="C969" i="24" s="1"/>
  <c r="I968" i="24"/>
  <c r="J968" i="24" s="1"/>
  <c r="B968" i="24"/>
  <c r="C968" i="24" s="1"/>
  <c r="I967" i="24"/>
  <c r="J967" i="24" s="1"/>
  <c r="B967" i="24"/>
  <c r="C967" i="24" s="1"/>
  <c r="I966" i="24"/>
  <c r="J966" i="24" s="1"/>
  <c r="B966" i="24"/>
  <c r="C966" i="24" s="1"/>
  <c r="I965" i="24"/>
  <c r="J965" i="24" s="1"/>
  <c r="B965" i="24"/>
  <c r="C965" i="24" s="1"/>
  <c r="I964" i="24"/>
  <c r="J964" i="24" s="1"/>
  <c r="B964" i="24"/>
  <c r="C964" i="24" s="1"/>
  <c r="I963" i="24"/>
  <c r="J963" i="24" s="1"/>
  <c r="B963" i="24"/>
  <c r="C963" i="24" s="1"/>
  <c r="I962" i="24"/>
  <c r="J962" i="24" s="1"/>
  <c r="B962" i="24"/>
  <c r="C962" i="24" s="1"/>
  <c r="I961" i="24"/>
  <c r="J961" i="24" s="1"/>
  <c r="B961" i="24"/>
  <c r="C961" i="24" s="1"/>
  <c r="I960" i="24"/>
  <c r="J960" i="24" s="1"/>
  <c r="B960" i="24"/>
  <c r="C960" i="24" s="1"/>
  <c r="I959" i="24"/>
  <c r="J959" i="24" s="1"/>
  <c r="B959" i="24"/>
  <c r="C959" i="24" s="1"/>
  <c r="I958" i="24"/>
  <c r="J958" i="24" s="1"/>
  <c r="B958" i="24"/>
  <c r="C958" i="24" s="1"/>
  <c r="I957" i="24"/>
  <c r="J957" i="24" s="1"/>
  <c r="B957" i="24"/>
  <c r="C957" i="24" s="1"/>
  <c r="I956" i="24"/>
  <c r="J956" i="24" s="1"/>
  <c r="B956" i="24"/>
  <c r="C956" i="24" s="1"/>
  <c r="I955" i="24"/>
  <c r="J955" i="24" s="1"/>
  <c r="B955" i="24"/>
  <c r="C955" i="24" s="1"/>
  <c r="I954" i="24"/>
  <c r="J954" i="24" s="1"/>
  <c r="B954" i="24"/>
  <c r="C954" i="24" s="1"/>
  <c r="I953" i="24"/>
  <c r="J953" i="24" s="1"/>
  <c r="B953" i="24"/>
  <c r="C953" i="24" s="1"/>
  <c r="I952" i="24"/>
  <c r="J952" i="24" s="1"/>
  <c r="B952" i="24"/>
  <c r="C952" i="24" s="1"/>
  <c r="I951" i="24"/>
  <c r="J951" i="24" s="1"/>
  <c r="B951" i="24"/>
  <c r="C951" i="24" s="1"/>
  <c r="I950" i="24"/>
  <c r="J950" i="24" s="1"/>
  <c r="B950" i="24"/>
  <c r="C950" i="24" s="1"/>
  <c r="I949" i="24"/>
  <c r="J949" i="24" s="1"/>
  <c r="B949" i="24"/>
  <c r="C949" i="24" s="1"/>
  <c r="I948" i="24"/>
  <c r="J948" i="24" s="1"/>
  <c r="B948" i="24"/>
  <c r="C948" i="24" s="1"/>
  <c r="I947" i="24"/>
  <c r="J947" i="24" s="1"/>
  <c r="B947" i="24"/>
  <c r="C947" i="24" s="1"/>
  <c r="I946" i="24"/>
  <c r="J946" i="24" s="1"/>
  <c r="B946" i="24"/>
  <c r="C946" i="24" s="1"/>
  <c r="I945" i="24"/>
  <c r="J945" i="24" s="1"/>
  <c r="B945" i="24"/>
  <c r="C945" i="24" s="1"/>
  <c r="I944" i="24"/>
  <c r="J944" i="24" s="1"/>
  <c r="B944" i="24"/>
  <c r="C944" i="24" s="1"/>
  <c r="I943" i="24"/>
  <c r="J943" i="24" s="1"/>
  <c r="B943" i="24"/>
  <c r="C943" i="24" s="1"/>
  <c r="I942" i="24"/>
  <c r="J942" i="24" s="1"/>
  <c r="B942" i="24"/>
  <c r="C942" i="24" s="1"/>
  <c r="I941" i="24"/>
  <c r="J941" i="24" s="1"/>
  <c r="B941" i="24"/>
  <c r="C941" i="24" s="1"/>
  <c r="I940" i="24"/>
  <c r="J940" i="24" s="1"/>
  <c r="B940" i="24"/>
  <c r="C940" i="24" s="1"/>
  <c r="I939" i="24"/>
  <c r="J939" i="24" s="1"/>
  <c r="B939" i="24"/>
  <c r="C939" i="24" s="1"/>
  <c r="I938" i="24"/>
  <c r="J938" i="24" s="1"/>
  <c r="B938" i="24"/>
  <c r="C938" i="24" s="1"/>
  <c r="I937" i="24"/>
  <c r="J937" i="24" s="1"/>
  <c r="B937" i="24"/>
  <c r="C937" i="24" s="1"/>
  <c r="I936" i="24"/>
  <c r="J936" i="24" s="1"/>
  <c r="B936" i="24"/>
  <c r="C936" i="24" s="1"/>
  <c r="I935" i="24"/>
  <c r="J935" i="24" s="1"/>
  <c r="B935" i="24"/>
  <c r="C935" i="24" s="1"/>
  <c r="I934" i="24"/>
  <c r="J934" i="24" s="1"/>
  <c r="B934" i="24"/>
  <c r="C934" i="24" s="1"/>
  <c r="I933" i="24"/>
  <c r="J933" i="24" s="1"/>
  <c r="B933" i="24"/>
  <c r="C933" i="24" s="1"/>
  <c r="I932" i="24"/>
  <c r="J932" i="24" s="1"/>
  <c r="B932" i="24"/>
  <c r="C932" i="24" s="1"/>
  <c r="I931" i="24"/>
  <c r="J931" i="24" s="1"/>
  <c r="B931" i="24"/>
  <c r="C931" i="24" s="1"/>
  <c r="I930" i="24"/>
  <c r="J930" i="24" s="1"/>
  <c r="B930" i="24"/>
  <c r="C930" i="24" s="1"/>
  <c r="I929" i="24"/>
  <c r="J929" i="24" s="1"/>
  <c r="B929" i="24"/>
  <c r="C929" i="24" s="1"/>
  <c r="I928" i="24"/>
  <c r="J928" i="24" s="1"/>
  <c r="B928" i="24"/>
  <c r="C928" i="24" s="1"/>
  <c r="I927" i="24"/>
  <c r="J927" i="24" s="1"/>
  <c r="B927" i="24"/>
  <c r="C927" i="24" s="1"/>
  <c r="I926" i="24"/>
  <c r="J926" i="24" s="1"/>
  <c r="B926" i="24"/>
  <c r="C926" i="24" s="1"/>
  <c r="I925" i="24"/>
  <c r="J925" i="24" s="1"/>
  <c r="B925" i="24"/>
  <c r="C925" i="24" s="1"/>
  <c r="I924" i="24"/>
  <c r="J924" i="24" s="1"/>
  <c r="B924" i="24"/>
  <c r="C924" i="24" s="1"/>
  <c r="I923" i="24"/>
  <c r="J923" i="24" s="1"/>
  <c r="B923" i="24"/>
  <c r="C923" i="24" s="1"/>
  <c r="I922" i="24"/>
  <c r="J922" i="24" s="1"/>
  <c r="B922" i="24"/>
  <c r="C922" i="24" s="1"/>
  <c r="I921" i="24"/>
  <c r="J921" i="24" s="1"/>
  <c r="B921" i="24"/>
  <c r="C921" i="24" s="1"/>
  <c r="I920" i="24"/>
  <c r="J920" i="24" s="1"/>
  <c r="B920" i="24"/>
  <c r="C920" i="24" s="1"/>
  <c r="I919" i="24"/>
  <c r="J919" i="24" s="1"/>
  <c r="B919" i="24"/>
  <c r="C919" i="24" s="1"/>
  <c r="I918" i="24"/>
  <c r="J918" i="24" s="1"/>
  <c r="B918" i="24"/>
  <c r="C918" i="24" s="1"/>
  <c r="I917" i="24"/>
  <c r="J917" i="24" s="1"/>
  <c r="B917" i="24"/>
  <c r="C917" i="24" s="1"/>
  <c r="I916" i="24"/>
  <c r="J916" i="24" s="1"/>
  <c r="B916" i="24"/>
  <c r="C916" i="24" s="1"/>
  <c r="I915" i="24"/>
  <c r="J915" i="24" s="1"/>
  <c r="B915" i="24"/>
  <c r="C915" i="24" s="1"/>
  <c r="I914" i="24"/>
  <c r="J914" i="24" s="1"/>
  <c r="B914" i="24"/>
  <c r="C914" i="24" s="1"/>
  <c r="I913" i="24"/>
  <c r="J913" i="24" s="1"/>
  <c r="B913" i="24"/>
  <c r="C913" i="24" s="1"/>
  <c r="I912" i="24"/>
  <c r="J912" i="24" s="1"/>
  <c r="B912" i="24"/>
  <c r="C912" i="24" s="1"/>
  <c r="I911" i="24"/>
  <c r="J911" i="24" s="1"/>
  <c r="B911" i="24"/>
  <c r="C911" i="24" s="1"/>
  <c r="I910" i="24"/>
  <c r="J910" i="24" s="1"/>
  <c r="B910" i="24"/>
  <c r="C910" i="24" s="1"/>
  <c r="I909" i="24"/>
  <c r="J909" i="24" s="1"/>
  <c r="B909" i="24"/>
  <c r="C909" i="24" s="1"/>
  <c r="I908" i="24"/>
  <c r="J908" i="24" s="1"/>
  <c r="B908" i="24"/>
  <c r="C908" i="24" s="1"/>
  <c r="I907" i="24"/>
  <c r="J907" i="24" s="1"/>
  <c r="B907" i="24"/>
  <c r="C907" i="24" s="1"/>
  <c r="I906" i="24"/>
  <c r="J906" i="24" s="1"/>
  <c r="B906" i="24"/>
  <c r="C906" i="24" s="1"/>
  <c r="I905" i="24"/>
  <c r="J905" i="24" s="1"/>
  <c r="B905" i="24"/>
  <c r="C905" i="24" s="1"/>
  <c r="I904" i="24"/>
  <c r="J904" i="24" s="1"/>
  <c r="B904" i="24"/>
  <c r="C904" i="24" s="1"/>
  <c r="I903" i="24"/>
  <c r="J903" i="24" s="1"/>
  <c r="B903" i="24"/>
  <c r="C903" i="24" s="1"/>
  <c r="I902" i="24"/>
  <c r="J902" i="24" s="1"/>
  <c r="B902" i="24"/>
  <c r="C902" i="24" s="1"/>
  <c r="I901" i="24"/>
  <c r="J901" i="24" s="1"/>
  <c r="B901" i="24"/>
  <c r="C901" i="24" s="1"/>
  <c r="I900" i="24"/>
  <c r="J900" i="24" s="1"/>
  <c r="B900" i="24"/>
  <c r="C900" i="24" s="1"/>
  <c r="I899" i="24"/>
  <c r="J899" i="24" s="1"/>
  <c r="B899" i="24"/>
  <c r="C899" i="24" s="1"/>
  <c r="I898" i="24"/>
  <c r="J898" i="24" s="1"/>
  <c r="B898" i="24"/>
  <c r="C898" i="24" s="1"/>
  <c r="I897" i="24"/>
  <c r="J897" i="24" s="1"/>
  <c r="B897" i="24"/>
  <c r="C897" i="24" s="1"/>
  <c r="I896" i="24"/>
  <c r="J896" i="24" s="1"/>
  <c r="B896" i="24"/>
  <c r="C896" i="24" s="1"/>
  <c r="I895" i="24"/>
  <c r="J895" i="24" s="1"/>
  <c r="B895" i="24"/>
  <c r="C895" i="24" s="1"/>
  <c r="I894" i="24"/>
  <c r="J894" i="24" s="1"/>
  <c r="B894" i="24"/>
  <c r="C894" i="24" s="1"/>
  <c r="I893" i="24"/>
  <c r="J893" i="24" s="1"/>
  <c r="B893" i="24"/>
  <c r="C893" i="24" s="1"/>
  <c r="I892" i="24"/>
  <c r="J892" i="24" s="1"/>
  <c r="B892" i="24"/>
  <c r="C892" i="24" s="1"/>
  <c r="I891" i="24"/>
  <c r="J891" i="24" s="1"/>
  <c r="B891" i="24"/>
  <c r="C891" i="24" s="1"/>
  <c r="I890" i="24"/>
  <c r="J890" i="24" s="1"/>
  <c r="B890" i="24"/>
  <c r="C890" i="24" s="1"/>
  <c r="I889" i="24"/>
  <c r="J889" i="24" s="1"/>
  <c r="B889" i="24"/>
  <c r="C889" i="24" s="1"/>
  <c r="I888" i="24"/>
  <c r="J888" i="24" s="1"/>
  <c r="B888" i="24"/>
  <c r="C888" i="24" s="1"/>
  <c r="I887" i="24"/>
  <c r="J887" i="24" s="1"/>
  <c r="B887" i="24"/>
  <c r="C887" i="24" s="1"/>
  <c r="I886" i="24"/>
  <c r="J886" i="24" s="1"/>
  <c r="B886" i="24"/>
  <c r="C886" i="24" s="1"/>
  <c r="I885" i="24"/>
  <c r="J885" i="24" s="1"/>
  <c r="B885" i="24"/>
  <c r="C885" i="24" s="1"/>
  <c r="I884" i="24"/>
  <c r="J884" i="24" s="1"/>
  <c r="B884" i="24"/>
  <c r="C884" i="24" s="1"/>
  <c r="I883" i="24"/>
  <c r="J883" i="24" s="1"/>
  <c r="B883" i="24"/>
  <c r="C883" i="24" s="1"/>
  <c r="I882" i="24"/>
  <c r="J882" i="24" s="1"/>
  <c r="B882" i="24"/>
  <c r="C882" i="24" s="1"/>
  <c r="I881" i="24"/>
  <c r="J881" i="24" s="1"/>
  <c r="B881" i="24"/>
  <c r="C881" i="24" s="1"/>
  <c r="I880" i="24"/>
  <c r="J880" i="24" s="1"/>
  <c r="B880" i="24"/>
  <c r="C880" i="24" s="1"/>
  <c r="I879" i="24"/>
  <c r="J879" i="24" s="1"/>
  <c r="B879" i="24"/>
  <c r="C879" i="24" s="1"/>
  <c r="I878" i="24"/>
  <c r="J878" i="24" s="1"/>
  <c r="B878" i="24"/>
  <c r="C878" i="24" s="1"/>
  <c r="I877" i="24"/>
  <c r="J877" i="24" s="1"/>
  <c r="B877" i="24"/>
  <c r="C877" i="24" s="1"/>
  <c r="I876" i="24"/>
  <c r="J876" i="24" s="1"/>
  <c r="B876" i="24"/>
  <c r="C876" i="24" s="1"/>
  <c r="I875" i="24"/>
  <c r="J875" i="24" s="1"/>
  <c r="B875" i="24"/>
  <c r="C875" i="24" s="1"/>
  <c r="I874" i="24"/>
  <c r="J874" i="24" s="1"/>
  <c r="B874" i="24"/>
  <c r="C874" i="24" s="1"/>
  <c r="I873" i="24"/>
  <c r="J873" i="24" s="1"/>
  <c r="B873" i="24"/>
  <c r="C873" i="24" s="1"/>
  <c r="I872" i="24"/>
  <c r="J872" i="24" s="1"/>
  <c r="B872" i="24"/>
  <c r="C872" i="24" s="1"/>
  <c r="I871" i="24"/>
  <c r="J871" i="24" s="1"/>
  <c r="B871" i="24"/>
  <c r="C871" i="24" s="1"/>
  <c r="I870" i="24"/>
  <c r="J870" i="24" s="1"/>
  <c r="B870" i="24"/>
  <c r="C870" i="24" s="1"/>
  <c r="I869" i="24"/>
  <c r="J869" i="24" s="1"/>
  <c r="B869" i="24"/>
  <c r="C869" i="24" s="1"/>
  <c r="I868" i="24"/>
  <c r="J868" i="24" s="1"/>
  <c r="B868" i="24"/>
  <c r="C868" i="24" s="1"/>
  <c r="I867" i="24"/>
  <c r="J867" i="24" s="1"/>
  <c r="B867" i="24"/>
  <c r="C867" i="24" s="1"/>
  <c r="I866" i="24"/>
  <c r="J866" i="24" s="1"/>
  <c r="B866" i="24"/>
  <c r="C866" i="24" s="1"/>
  <c r="I865" i="24"/>
  <c r="J865" i="24" s="1"/>
  <c r="B865" i="24"/>
  <c r="C865" i="24" s="1"/>
  <c r="I864" i="24"/>
  <c r="J864" i="24" s="1"/>
  <c r="B864" i="24"/>
  <c r="C864" i="24" s="1"/>
  <c r="I863" i="24"/>
  <c r="J863" i="24" s="1"/>
  <c r="B863" i="24"/>
  <c r="C863" i="24" s="1"/>
  <c r="I862" i="24"/>
  <c r="J862" i="24" s="1"/>
  <c r="B862" i="24"/>
  <c r="C862" i="24" s="1"/>
  <c r="I861" i="24"/>
  <c r="J861" i="24" s="1"/>
  <c r="B861" i="24"/>
  <c r="C861" i="24" s="1"/>
  <c r="I860" i="24"/>
  <c r="J860" i="24" s="1"/>
  <c r="B860" i="24"/>
  <c r="C860" i="24" s="1"/>
  <c r="I859" i="24"/>
  <c r="J859" i="24" s="1"/>
  <c r="B859" i="24"/>
  <c r="C859" i="24" s="1"/>
  <c r="I858" i="24"/>
  <c r="J858" i="24" s="1"/>
  <c r="B858" i="24"/>
  <c r="C858" i="24" s="1"/>
  <c r="I857" i="24"/>
  <c r="J857" i="24" s="1"/>
  <c r="B857" i="24"/>
  <c r="C857" i="24" s="1"/>
  <c r="I856" i="24"/>
  <c r="J856" i="24" s="1"/>
  <c r="B856" i="24"/>
  <c r="C856" i="24" s="1"/>
  <c r="I855" i="24"/>
  <c r="J855" i="24" s="1"/>
  <c r="B855" i="24"/>
  <c r="C855" i="24" s="1"/>
  <c r="I854" i="24"/>
  <c r="J854" i="24" s="1"/>
  <c r="B854" i="24"/>
  <c r="C854" i="24" s="1"/>
  <c r="I853" i="24"/>
  <c r="J853" i="24" s="1"/>
  <c r="B853" i="24"/>
  <c r="C853" i="24" s="1"/>
  <c r="I852" i="24"/>
  <c r="J852" i="24" s="1"/>
  <c r="B852" i="24"/>
  <c r="C852" i="24" s="1"/>
  <c r="I851" i="24"/>
  <c r="J851" i="24" s="1"/>
  <c r="B851" i="24"/>
  <c r="C851" i="24" s="1"/>
  <c r="I850" i="24"/>
  <c r="J850" i="24" s="1"/>
  <c r="B850" i="24"/>
  <c r="C850" i="24" s="1"/>
  <c r="I849" i="24"/>
  <c r="J849" i="24" s="1"/>
  <c r="B849" i="24"/>
  <c r="C849" i="24" s="1"/>
  <c r="I848" i="24"/>
  <c r="J848" i="24" s="1"/>
  <c r="B848" i="24"/>
  <c r="C848" i="24" s="1"/>
  <c r="I847" i="24"/>
  <c r="J847" i="24" s="1"/>
  <c r="B847" i="24"/>
  <c r="C847" i="24" s="1"/>
  <c r="I846" i="24"/>
  <c r="J846" i="24" s="1"/>
  <c r="B846" i="24"/>
  <c r="C846" i="24" s="1"/>
  <c r="I845" i="24"/>
  <c r="J845" i="24" s="1"/>
  <c r="B845" i="24"/>
  <c r="C845" i="24" s="1"/>
  <c r="I844" i="24"/>
  <c r="J844" i="24" s="1"/>
  <c r="B844" i="24"/>
  <c r="C844" i="24" s="1"/>
  <c r="I843" i="24"/>
  <c r="J843" i="24" s="1"/>
  <c r="B843" i="24"/>
  <c r="C843" i="24" s="1"/>
  <c r="I842" i="24"/>
  <c r="J842" i="24" s="1"/>
  <c r="B842" i="24"/>
  <c r="C842" i="24" s="1"/>
  <c r="I841" i="24"/>
  <c r="J841" i="24" s="1"/>
  <c r="B841" i="24"/>
  <c r="C841" i="24" s="1"/>
  <c r="I840" i="24"/>
  <c r="J840" i="24" s="1"/>
  <c r="B840" i="24"/>
  <c r="C840" i="24" s="1"/>
  <c r="I839" i="24"/>
  <c r="J839" i="24" s="1"/>
  <c r="B839" i="24"/>
  <c r="C839" i="24" s="1"/>
  <c r="I838" i="24"/>
  <c r="J838" i="24" s="1"/>
  <c r="B838" i="24"/>
  <c r="C838" i="24" s="1"/>
  <c r="I837" i="24"/>
  <c r="J837" i="24" s="1"/>
  <c r="B837" i="24"/>
  <c r="C837" i="24" s="1"/>
  <c r="I836" i="24"/>
  <c r="J836" i="24" s="1"/>
  <c r="B836" i="24"/>
  <c r="C836" i="24" s="1"/>
  <c r="I835" i="24"/>
  <c r="J835" i="24" s="1"/>
  <c r="B835" i="24"/>
  <c r="C835" i="24" s="1"/>
  <c r="I834" i="24"/>
  <c r="J834" i="24" s="1"/>
  <c r="B834" i="24"/>
  <c r="C834" i="24" s="1"/>
  <c r="I833" i="24"/>
  <c r="J833" i="24" s="1"/>
  <c r="B833" i="24"/>
  <c r="C833" i="24" s="1"/>
  <c r="I832" i="24"/>
  <c r="J832" i="24" s="1"/>
  <c r="B832" i="24"/>
  <c r="C832" i="24" s="1"/>
  <c r="I831" i="24"/>
  <c r="J831" i="24" s="1"/>
  <c r="B831" i="24"/>
  <c r="C831" i="24" s="1"/>
  <c r="I830" i="24"/>
  <c r="J830" i="24" s="1"/>
  <c r="B830" i="24"/>
  <c r="C830" i="24" s="1"/>
  <c r="I829" i="24"/>
  <c r="J829" i="24" s="1"/>
  <c r="B829" i="24"/>
  <c r="C829" i="24" s="1"/>
  <c r="I828" i="24"/>
  <c r="J828" i="24" s="1"/>
  <c r="B828" i="24"/>
  <c r="C828" i="24" s="1"/>
  <c r="I827" i="24"/>
  <c r="J827" i="24" s="1"/>
  <c r="B827" i="24"/>
  <c r="C827" i="24" s="1"/>
  <c r="I826" i="24"/>
  <c r="J826" i="24" s="1"/>
  <c r="B826" i="24"/>
  <c r="C826" i="24" s="1"/>
  <c r="I825" i="24"/>
  <c r="J825" i="24" s="1"/>
  <c r="B825" i="24"/>
  <c r="C825" i="24" s="1"/>
  <c r="I824" i="24"/>
  <c r="J824" i="24" s="1"/>
  <c r="B824" i="24"/>
  <c r="C824" i="24" s="1"/>
  <c r="I823" i="24"/>
  <c r="J823" i="24" s="1"/>
  <c r="B823" i="24"/>
  <c r="C823" i="24" s="1"/>
  <c r="I822" i="24"/>
  <c r="J822" i="24" s="1"/>
  <c r="B822" i="24"/>
  <c r="C822" i="24" s="1"/>
  <c r="I821" i="24"/>
  <c r="J821" i="24" s="1"/>
  <c r="B821" i="24"/>
  <c r="C821" i="24" s="1"/>
  <c r="I820" i="24"/>
  <c r="J820" i="24" s="1"/>
  <c r="B820" i="24"/>
  <c r="C820" i="24" s="1"/>
  <c r="I819" i="24"/>
  <c r="J819" i="24" s="1"/>
  <c r="B819" i="24"/>
  <c r="C819" i="24" s="1"/>
  <c r="I818" i="24"/>
  <c r="J818" i="24" s="1"/>
  <c r="B818" i="24"/>
  <c r="C818" i="24" s="1"/>
  <c r="I817" i="24"/>
  <c r="J817" i="24" s="1"/>
  <c r="B817" i="24"/>
  <c r="C817" i="24" s="1"/>
  <c r="I816" i="24"/>
  <c r="J816" i="24" s="1"/>
  <c r="B816" i="24"/>
  <c r="C816" i="24" s="1"/>
  <c r="I815" i="24"/>
  <c r="J815" i="24" s="1"/>
  <c r="B815" i="24"/>
  <c r="C815" i="24" s="1"/>
  <c r="I814" i="24"/>
  <c r="J814" i="24" s="1"/>
  <c r="B814" i="24"/>
  <c r="C814" i="24" s="1"/>
  <c r="I813" i="24"/>
  <c r="J813" i="24" s="1"/>
  <c r="B813" i="24"/>
  <c r="C813" i="24" s="1"/>
  <c r="I812" i="24"/>
  <c r="J812" i="24" s="1"/>
  <c r="B812" i="24"/>
  <c r="C812" i="24" s="1"/>
  <c r="I811" i="24"/>
  <c r="J811" i="24" s="1"/>
  <c r="B811" i="24"/>
  <c r="C811" i="24" s="1"/>
  <c r="I810" i="24"/>
  <c r="J810" i="24" s="1"/>
  <c r="B810" i="24"/>
  <c r="C810" i="24" s="1"/>
  <c r="I809" i="24"/>
  <c r="J809" i="24" s="1"/>
  <c r="B809" i="24"/>
  <c r="C809" i="24" s="1"/>
  <c r="I808" i="24"/>
  <c r="J808" i="24" s="1"/>
  <c r="B808" i="24"/>
  <c r="C808" i="24" s="1"/>
  <c r="I807" i="24"/>
  <c r="J807" i="24" s="1"/>
  <c r="B807" i="24"/>
  <c r="C807" i="24" s="1"/>
  <c r="I806" i="24"/>
  <c r="J806" i="24" s="1"/>
  <c r="B806" i="24"/>
  <c r="C806" i="24" s="1"/>
  <c r="I805" i="24"/>
  <c r="J805" i="24" s="1"/>
  <c r="B805" i="24"/>
  <c r="C805" i="24" s="1"/>
  <c r="I804" i="24"/>
  <c r="J804" i="24" s="1"/>
  <c r="B804" i="24"/>
  <c r="C804" i="24" s="1"/>
  <c r="I803" i="24"/>
  <c r="J803" i="24" s="1"/>
  <c r="B803" i="24"/>
  <c r="C803" i="24" s="1"/>
  <c r="I802" i="24"/>
  <c r="J802" i="24" s="1"/>
  <c r="B802" i="24"/>
  <c r="C802" i="24" s="1"/>
  <c r="I801" i="24"/>
  <c r="J801" i="24" s="1"/>
  <c r="B801" i="24"/>
  <c r="C801" i="24" s="1"/>
  <c r="I800" i="24"/>
  <c r="J800" i="24" s="1"/>
  <c r="B800" i="24"/>
  <c r="C800" i="24" s="1"/>
  <c r="I799" i="24"/>
  <c r="J799" i="24" s="1"/>
  <c r="B799" i="24"/>
  <c r="C799" i="24" s="1"/>
  <c r="I798" i="24"/>
  <c r="J798" i="24" s="1"/>
  <c r="B798" i="24"/>
  <c r="C798" i="24" s="1"/>
  <c r="I797" i="24"/>
  <c r="J797" i="24" s="1"/>
  <c r="B797" i="24"/>
  <c r="C797" i="24" s="1"/>
  <c r="I796" i="24"/>
  <c r="J796" i="24" s="1"/>
  <c r="B796" i="24"/>
  <c r="C796" i="24" s="1"/>
  <c r="I795" i="24"/>
  <c r="J795" i="24" s="1"/>
  <c r="B795" i="24"/>
  <c r="C795" i="24" s="1"/>
  <c r="I794" i="24"/>
  <c r="J794" i="24" s="1"/>
  <c r="B794" i="24"/>
  <c r="C794" i="24" s="1"/>
  <c r="I793" i="24"/>
  <c r="J793" i="24" s="1"/>
  <c r="B793" i="24"/>
  <c r="C793" i="24" s="1"/>
  <c r="I792" i="24"/>
  <c r="J792" i="24" s="1"/>
  <c r="B792" i="24"/>
  <c r="C792" i="24" s="1"/>
  <c r="I791" i="24"/>
  <c r="J791" i="24" s="1"/>
  <c r="B791" i="24"/>
  <c r="C791" i="24" s="1"/>
  <c r="I790" i="24"/>
  <c r="J790" i="24" s="1"/>
  <c r="B790" i="24"/>
  <c r="C790" i="24" s="1"/>
  <c r="I789" i="24"/>
  <c r="J789" i="24" s="1"/>
  <c r="B789" i="24"/>
  <c r="C789" i="24" s="1"/>
  <c r="I788" i="24"/>
  <c r="J788" i="24" s="1"/>
  <c r="B788" i="24"/>
  <c r="C788" i="24" s="1"/>
  <c r="I787" i="24"/>
  <c r="J787" i="24" s="1"/>
  <c r="B787" i="24"/>
  <c r="C787" i="24" s="1"/>
  <c r="I786" i="24"/>
  <c r="J786" i="24" s="1"/>
  <c r="B786" i="24"/>
  <c r="C786" i="24" s="1"/>
  <c r="I785" i="24"/>
  <c r="J785" i="24" s="1"/>
  <c r="B785" i="24"/>
  <c r="C785" i="24" s="1"/>
  <c r="I784" i="24"/>
  <c r="J784" i="24" s="1"/>
  <c r="B784" i="24"/>
  <c r="C784" i="24" s="1"/>
  <c r="I783" i="24"/>
  <c r="J783" i="24" s="1"/>
  <c r="B783" i="24"/>
  <c r="C783" i="24" s="1"/>
  <c r="I782" i="24"/>
  <c r="J782" i="24" s="1"/>
  <c r="B782" i="24"/>
  <c r="C782" i="24" s="1"/>
  <c r="I781" i="24"/>
  <c r="J781" i="24" s="1"/>
  <c r="B781" i="24"/>
  <c r="C781" i="24" s="1"/>
  <c r="I780" i="24"/>
  <c r="J780" i="24" s="1"/>
  <c r="B780" i="24"/>
  <c r="C780" i="24" s="1"/>
  <c r="I779" i="24"/>
  <c r="J779" i="24" s="1"/>
  <c r="B779" i="24"/>
  <c r="C779" i="24" s="1"/>
  <c r="I778" i="24"/>
  <c r="J778" i="24" s="1"/>
  <c r="B778" i="24"/>
  <c r="C778" i="24" s="1"/>
  <c r="I777" i="24"/>
  <c r="J777" i="24" s="1"/>
  <c r="B777" i="24"/>
  <c r="C777" i="24" s="1"/>
  <c r="I776" i="24"/>
  <c r="J776" i="24" s="1"/>
  <c r="B776" i="24"/>
  <c r="C776" i="24" s="1"/>
  <c r="I775" i="24"/>
  <c r="J775" i="24" s="1"/>
  <c r="B775" i="24"/>
  <c r="C775" i="24" s="1"/>
  <c r="I774" i="24"/>
  <c r="J774" i="24" s="1"/>
  <c r="B774" i="24"/>
  <c r="C774" i="24" s="1"/>
  <c r="I773" i="24"/>
  <c r="J773" i="24" s="1"/>
  <c r="B773" i="24"/>
  <c r="C773" i="24" s="1"/>
  <c r="I772" i="24"/>
  <c r="J772" i="24" s="1"/>
  <c r="B772" i="24"/>
  <c r="C772" i="24" s="1"/>
  <c r="I771" i="24"/>
  <c r="J771" i="24" s="1"/>
  <c r="B771" i="24"/>
  <c r="C771" i="24" s="1"/>
  <c r="I770" i="24"/>
  <c r="J770" i="24" s="1"/>
  <c r="B770" i="24"/>
  <c r="C770" i="24" s="1"/>
  <c r="I769" i="24"/>
  <c r="J769" i="24" s="1"/>
  <c r="B769" i="24"/>
  <c r="C769" i="24" s="1"/>
  <c r="I768" i="24"/>
  <c r="J768" i="24" s="1"/>
  <c r="B768" i="24"/>
  <c r="C768" i="24" s="1"/>
  <c r="I767" i="24"/>
  <c r="J767" i="24" s="1"/>
  <c r="B767" i="24"/>
  <c r="C767" i="24" s="1"/>
  <c r="I766" i="24"/>
  <c r="J766" i="24" s="1"/>
  <c r="B766" i="24"/>
  <c r="C766" i="24" s="1"/>
  <c r="I765" i="24"/>
  <c r="J765" i="24" s="1"/>
  <c r="B765" i="24"/>
  <c r="C765" i="24" s="1"/>
  <c r="I764" i="24"/>
  <c r="J764" i="24" s="1"/>
  <c r="B764" i="24"/>
  <c r="C764" i="24" s="1"/>
  <c r="I763" i="24"/>
  <c r="J763" i="24" s="1"/>
  <c r="B763" i="24"/>
  <c r="C763" i="24" s="1"/>
  <c r="I762" i="24"/>
  <c r="J762" i="24" s="1"/>
  <c r="B762" i="24"/>
  <c r="C762" i="24" s="1"/>
  <c r="I761" i="24"/>
  <c r="J761" i="24" s="1"/>
  <c r="B761" i="24"/>
  <c r="C761" i="24" s="1"/>
  <c r="I760" i="24"/>
  <c r="J760" i="24" s="1"/>
  <c r="B760" i="24"/>
  <c r="C760" i="24" s="1"/>
  <c r="I759" i="24"/>
  <c r="J759" i="24" s="1"/>
  <c r="B759" i="24"/>
  <c r="C759" i="24" s="1"/>
  <c r="I758" i="24"/>
  <c r="J758" i="24" s="1"/>
  <c r="B758" i="24"/>
  <c r="C758" i="24" s="1"/>
  <c r="I757" i="24"/>
  <c r="J757" i="24" s="1"/>
  <c r="B757" i="24"/>
  <c r="C757" i="24" s="1"/>
  <c r="I756" i="24"/>
  <c r="J756" i="24" s="1"/>
  <c r="B756" i="24"/>
  <c r="C756" i="24" s="1"/>
  <c r="I755" i="24"/>
  <c r="J755" i="24" s="1"/>
  <c r="B755" i="24"/>
  <c r="C755" i="24" s="1"/>
  <c r="I754" i="24"/>
  <c r="J754" i="24" s="1"/>
  <c r="B754" i="24"/>
  <c r="C754" i="24" s="1"/>
  <c r="I753" i="24"/>
  <c r="J753" i="24" s="1"/>
  <c r="B753" i="24"/>
  <c r="C753" i="24" s="1"/>
  <c r="I752" i="24"/>
  <c r="J752" i="24" s="1"/>
  <c r="B752" i="24"/>
  <c r="C752" i="24" s="1"/>
  <c r="J751" i="24"/>
  <c r="I751" i="24"/>
  <c r="B751" i="24"/>
  <c r="C751" i="24" s="1"/>
  <c r="I750" i="24"/>
  <c r="J750" i="24" s="1"/>
  <c r="B750" i="24"/>
  <c r="C750" i="24" s="1"/>
  <c r="J749" i="24"/>
  <c r="I749" i="24"/>
  <c r="B749" i="24"/>
  <c r="C749" i="24" s="1"/>
  <c r="I748" i="24"/>
  <c r="J748" i="24" s="1"/>
  <c r="B748" i="24"/>
  <c r="C748" i="24" s="1"/>
  <c r="I747" i="24"/>
  <c r="J747" i="24" s="1"/>
  <c r="B747" i="24"/>
  <c r="C747" i="24" s="1"/>
  <c r="I746" i="24"/>
  <c r="J746" i="24" s="1"/>
  <c r="B746" i="24"/>
  <c r="C746" i="24" s="1"/>
  <c r="I745" i="24"/>
  <c r="J745" i="24" s="1"/>
  <c r="B745" i="24"/>
  <c r="C745" i="24" s="1"/>
  <c r="I744" i="24"/>
  <c r="J744" i="24" s="1"/>
  <c r="B744" i="24"/>
  <c r="C744" i="24" s="1"/>
  <c r="I743" i="24"/>
  <c r="J743" i="24" s="1"/>
  <c r="B743" i="24"/>
  <c r="C743" i="24" s="1"/>
  <c r="I742" i="24"/>
  <c r="J742" i="24" s="1"/>
  <c r="B742" i="24"/>
  <c r="C742" i="24" s="1"/>
  <c r="J741" i="24"/>
  <c r="I741" i="24"/>
  <c r="B741" i="24"/>
  <c r="C741" i="24" s="1"/>
  <c r="I740" i="24"/>
  <c r="J740" i="24" s="1"/>
  <c r="B740" i="24"/>
  <c r="C740" i="24" s="1"/>
  <c r="J739" i="24"/>
  <c r="I739" i="24"/>
  <c r="B739" i="24"/>
  <c r="C739" i="24" s="1"/>
  <c r="I738" i="24"/>
  <c r="J738" i="24" s="1"/>
  <c r="B738" i="24"/>
  <c r="C738" i="24" s="1"/>
  <c r="I737" i="24"/>
  <c r="J737" i="24" s="1"/>
  <c r="B737" i="24"/>
  <c r="C737" i="24" s="1"/>
  <c r="I736" i="24"/>
  <c r="J736" i="24" s="1"/>
  <c r="B736" i="24"/>
  <c r="C736" i="24" s="1"/>
  <c r="J735" i="24"/>
  <c r="I735" i="24"/>
  <c r="B735" i="24"/>
  <c r="C735" i="24" s="1"/>
  <c r="I734" i="24"/>
  <c r="J734" i="24" s="1"/>
  <c r="B734" i="24"/>
  <c r="C734" i="24" s="1"/>
  <c r="J733" i="24"/>
  <c r="I733" i="24"/>
  <c r="B733" i="24"/>
  <c r="C733" i="24" s="1"/>
  <c r="I732" i="24"/>
  <c r="J732" i="24" s="1"/>
  <c r="B732" i="24"/>
  <c r="C732" i="24" s="1"/>
  <c r="I731" i="24"/>
  <c r="J731" i="24" s="1"/>
  <c r="B731" i="24"/>
  <c r="C731" i="24" s="1"/>
  <c r="I730" i="24"/>
  <c r="J730" i="24" s="1"/>
  <c r="B730" i="24"/>
  <c r="C730" i="24" s="1"/>
  <c r="I729" i="24"/>
  <c r="J729" i="24" s="1"/>
  <c r="B729" i="24"/>
  <c r="C729" i="24" s="1"/>
  <c r="I728" i="24"/>
  <c r="J728" i="24" s="1"/>
  <c r="B728" i="24"/>
  <c r="C728" i="24" s="1"/>
  <c r="I727" i="24"/>
  <c r="J727" i="24" s="1"/>
  <c r="B727" i="24"/>
  <c r="C727" i="24" s="1"/>
  <c r="I726" i="24"/>
  <c r="J726" i="24" s="1"/>
  <c r="B726" i="24"/>
  <c r="C726" i="24" s="1"/>
  <c r="J725" i="24"/>
  <c r="I725" i="24"/>
  <c r="B725" i="24"/>
  <c r="C725" i="24" s="1"/>
  <c r="I724" i="24"/>
  <c r="J724" i="24" s="1"/>
  <c r="B724" i="24"/>
  <c r="C724" i="24" s="1"/>
  <c r="J723" i="24"/>
  <c r="I723" i="24"/>
  <c r="B723" i="24"/>
  <c r="C723" i="24" s="1"/>
  <c r="I722" i="24"/>
  <c r="J722" i="24" s="1"/>
  <c r="B722" i="24"/>
  <c r="C722" i="24" s="1"/>
  <c r="J721" i="24"/>
  <c r="I721" i="24"/>
  <c r="B721" i="24"/>
  <c r="C721" i="24" s="1"/>
  <c r="I720" i="24"/>
  <c r="J720" i="24" s="1"/>
  <c r="B720" i="24"/>
  <c r="C720" i="24" s="1"/>
  <c r="J719" i="24"/>
  <c r="I719" i="24"/>
  <c r="B719" i="24"/>
  <c r="C719" i="24" s="1"/>
  <c r="I718" i="24"/>
  <c r="J718" i="24" s="1"/>
  <c r="B718" i="24"/>
  <c r="C718" i="24" s="1"/>
  <c r="J717" i="24"/>
  <c r="I717" i="24"/>
  <c r="B717" i="24"/>
  <c r="C717" i="24" s="1"/>
  <c r="I716" i="24"/>
  <c r="J716" i="24" s="1"/>
  <c r="B716" i="24"/>
  <c r="C716" i="24" s="1"/>
  <c r="I715" i="24"/>
  <c r="J715" i="24" s="1"/>
  <c r="B715" i="24"/>
  <c r="C715" i="24" s="1"/>
  <c r="I714" i="24"/>
  <c r="J714" i="24" s="1"/>
  <c r="B714" i="24"/>
  <c r="C714" i="24" s="1"/>
  <c r="I713" i="24"/>
  <c r="J713" i="24" s="1"/>
  <c r="B713" i="24"/>
  <c r="C713" i="24" s="1"/>
  <c r="I712" i="24"/>
  <c r="J712" i="24" s="1"/>
  <c r="B712" i="24"/>
  <c r="C712" i="24" s="1"/>
  <c r="I711" i="24"/>
  <c r="J711" i="24" s="1"/>
  <c r="B711" i="24"/>
  <c r="C711" i="24" s="1"/>
  <c r="I710" i="24"/>
  <c r="J710" i="24" s="1"/>
  <c r="B710" i="24"/>
  <c r="C710" i="24" s="1"/>
  <c r="J709" i="24"/>
  <c r="I709" i="24"/>
  <c r="B709" i="24"/>
  <c r="C709" i="24" s="1"/>
  <c r="I708" i="24"/>
  <c r="J708" i="24" s="1"/>
  <c r="B708" i="24"/>
  <c r="C708" i="24" s="1"/>
  <c r="J707" i="24"/>
  <c r="I707" i="24"/>
  <c r="B707" i="24"/>
  <c r="C707" i="24" s="1"/>
  <c r="I706" i="24"/>
  <c r="J706" i="24" s="1"/>
  <c r="B706" i="24"/>
  <c r="C706" i="24" s="1"/>
  <c r="I705" i="24"/>
  <c r="J705" i="24" s="1"/>
  <c r="B705" i="24"/>
  <c r="C705" i="24" s="1"/>
  <c r="I704" i="24"/>
  <c r="J704" i="24" s="1"/>
  <c r="B704" i="24"/>
  <c r="C704" i="24" s="1"/>
  <c r="J703" i="24"/>
  <c r="I703" i="24"/>
  <c r="B703" i="24"/>
  <c r="C703" i="24" s="1"/>
  <c r="I702" i="24"/>
  <c r="J702" i="24" s="1"/>
  <c r="B702" i="24"/>
  <c r="C702" i="24" s="1"/>
  <c r="J701" i="24"/>
  <c r="I701" i="24"/>
  <c r="B701" i="24"/>
  <c r="C701" i="24" s="1"/>
  <c r="I700" i="24"/>
  <c r="J700" i="24" s="1"/>
  <c r="B700" i="24"/>
  <c r="C700" i="24" s="1"/>
  <c r="I699" i="24"/>
  <c r="J699" i="24" s="1"/>
  <c r="B699" i="24"/>
  <c r="C699" i="24" s="1"/>
  <c r="I698" i="24"/>
  <c r="J698" i="24" s="1"/>
  <c r="B698" i="24"/>
  <c r="C698" i="24" s="1"/>
  <c r="I697" i="24"/>
  <c r="J697" i="24" s="1"/>
  <c r="B697" i="24"/>
  <c r="C697" i="24" s="1"/>
  <c r="I696" i="24"/>
  <c r="J696" i="24" s="1"/>
  <c r="B696" i="24"/>
  <c r="C696" i="24" s="1"/>
  <c r="I695" i="24"/>
  <c r="J695" i="24" s="1"/>
  <c r="B695" i="24"/>
  <c r="C695" i="24" s="1"/>
  <c r="I694" i="24"/>
  <c r="J694" i="24" s="1"/>
  <c r="B694" i="24"/>
  <c r="C694" i="24" s="1"/>
  <c r="J693" i="24"/>
  <c r="I693" i="24"/>
  <c r="B693" i="24"/>
  <c r="C693" i="24" s="1"/>
  <c r="I692" i="24"/>
  <c r="J692" i="24" s="1"/>
  <c r="B692" i="24"/>
  <c r="C692" i="24" s="1"/>
  <c r="J691" i="24"/>
  <c r="I691" i="24"/>
  <c r="B691" i="24"/>
  <c r="C691" i="24" s="1"/>
  <c r="I690" i="24"/>
  <c r="J690" i="24" s="1"/>
  <c r="B690" i="24"/>
  <c r="C690" i="24" s="1"/>
  <c r="J689" i="24"/>
  <c r="I689" i="24"/>
  <c r="B689" i="24"/>
  <c r="C689" i="24" s="1"/>
  <c r="I688" i="24"/>
  <c r="J688" i="24" s="1"/>
  <c r="B688" i="24"/>
  <c r="C688" i="24" s="1"/>
  <c r="J687" i="24"/>
  <c r="I687" i="24"/>
  <c r="B687" i="24"/>
  <c r="C687" i="24" s="1"/>
  <c r="I686" i="24"/>
  <c r="J686" i="24" s="1"/>
  <c r="B686" i="24"/>
  <c r="C686" i="24" s="1"/>
  <c r="J685" i="24"/>
  <c r="I685" i="24"/>
  <c r="B685" i="24"/>
  <c r="C685" i="24" s="1"/>
  <c r="I684" i="24"/>
  <c r="J684" i="24" s="1"/>
  <c r="B684" i="24"/>
  <c r="C684" i="24" s="1"/>
  <c r="I683" i="24"/>
  <c r="J683" i="24" s="1"/>
  <c r="B683" i="24"/>
  <c r="C683" i="24" s="1"/>
  <c r="I682" i="24"/>
  <c r="J682" i="24" s="1"/>
  <c r="B682" i="24"/>
  <c r="C682" i="24" s="1"/>
  <c r="I681" i="24"/>
  <c r="J681" i="24" s="1"/>
  <c r="B681" i="24"/>
  <c r="C681" i="24" s="1"/>
  <c r="I680" i="24"/>
  <c r="J680" i="24" s="1"/>
  <c r="B680" i="24"/>
  <c r="C680" i="24" s="1"/>
  <c r="I679" i="24"/>
  <c r="J679" i="24" s="1"/>
  <c r="B679" i="24"/>
  <c r="C679" i="24" s="1"/>
  <c r="I678" i="24"/>
  <c r="J678" i="24" s="1"/>
  <c r="B678" i="24"/>
  <c r="C678" i="24" s="1"/>
  <c r="J677" i="24"/>
  <c r="I677" i="24"/>
  <c r="B677" i="24"/>
  <c r="C677" i="24" s="1"/>
  <c r="I676" i="24"/>
  <c r="J676" i="24" s="1"/>
  <c r="B676" i="24"/>
  <c r="C676" i="24" s="1"/>
  <c r="I675" i="24"/>
  <c r="J675" i="24" s="1"/>
  <c r="B675" i="24"/>
  <c r="C675" i="24" s="1"/>
  <c r="I674" i="24"/>
  <c r="J674" i="24" s="1"/>
  <c r="B674" i="24"/>
  <c r="C674" i="24" s="1"/>
  <c r="I673" i="24"/>
  <c r="J673" i="24" s="1"/>
  <c r="B673" i="24"/>
  <c r="C673" i="24" s="1"/>
  <c r="J672" i="24"/>
  <c r="I672" i="24"/>
  <c r="B672" i="24"/>
  <c r="C672" i="24" s="1"/>
  <c r="J671" i="24"/>
  <c r="I671" i="24"/>
  <c r="B671" i="24"/>
  <c r="C671" i="24" s="1"/>
  <c r="J670" i="24"/>
  <c r="I670" i="24"/>
  <c r="B670" i="24"/>
  <c r="C670" i="24" s="1"/>
  <c r="J669" i="24"/>
  <c r="I669" i="24"/>
  <c r="B669" i="24"/>
  <c r="C669" i="24" s="1"/>
  <c r="I668" i="24"/>
  <c r="J668" i="24" s="1"/>
  <c r="B668" i="24"/>
  <c r="C668" i="24" s="1"/>
  <c r="I667" i="24"/>
  <c r="J667" i="24" s="1"/>
  <c r="B667" i="24"/>
  <c r="C667" i="24" s="1"/>
  <c r="I666" i="24"/>
  <c r="J666" i="24" s="1"/>
  <c r="B666" i="24"/>
  <c r="C666" i="24" s="1"/>
  <c r="I665" i="24"/>
  <c r="J665" i="24" s="1"/>
  <c r="B665" i="24"/>
  <c r="C665" i="24" s="1"/>
  <c r="J664" i="24"/>
  <c r="I664" i="24"/>
  <c r="B664" i="24"/>
  <c r="C664" i="24" s="1"/>
  <c r="I663" i="24"/>
  <c r="J663" i="24" s="1"/>
  <c r="B663" i="24"/>
  <c r="C663" i="24" s="1"/>
  <c r="I662" i="24"/>
  <c r="J662" i="24" s="1"/>
  <c r="C662" i="24"/>
  <c r="B662" i="24"/>
  <c r="J661" i="24"/>
  <c r="I661" i="24"/>
  <c r="B661" i="24"/>
  <c r="C661" i="24" s="1"/>
  <c r="J660" i="24"/>
  <c r="I660" i="24"/>
  <c r="C660" i="24"/>
  <c r="B660" i="24"/>
  <c r="I659" i="24"/>
  <c r="J659" i="24" s="1"/>
  <c r="B659" i="24"/>
  <c r="C659" i="24" s="1"/>
  <c r="I658" i="24"/>
  <c r="J658" i="24" s="1"/>
  <c r="B658" i="24"/>
  <c r="C658" i="24" s="1"/>
  <c r="J657" i="24"/>
  <c r="I657" i="24"/>
  <c r="B657" i="24"/>
  <c r="C657" i="24" s="1"/>
  <c r="I656" i="24"/>
  <c r="J656" i="24" s="1"/>
  <c r="C656" i="24"/>
  <c r="B656" i="24"/>
  <c r="J655" i="24"/>
  <c r="I655" i="24"/>
  <c r="B655" i="24"/>
  <c r="C655" i="24" s="1"/>
  <c r="J654" i="24"/>
  <c r="I654" i="24"/>
  <c r="B654" i="24"/>
  <c r="C654" i="24" s="1"/>
  <c r="I653" i="24"/>
  <c r="J653" i="24" s="1"/>
  <c r="B653" i="24"/>
  <c r="C653" i="24" s="1"/>
  <c r="I652" i="24"/>
  <c r="J652" i="24" s="1"/>
  <c r="B652" i="24"/>
  <c r="C652" i="24" s="1"/>
  <c r="J651" i="24"/>
  <c r="I651" i="24"/>
  <c r="B651" i="24"/>
  <c r="C651" i="24" s="1"/>
  <c r="J650" i="24"/>
  <c r="I650" i="24"/>
  <c r="C650" i="24"/>
  <c r="B650" i="24"/>
  <c r="I649" i="24"/>
  <c r="J649" i="24" s="1"/>
  <c r="B649" i="24"/>
  <c r="C649" i="24" s="1"/>
  <c r="J648" i="24"/>
  <c r="I648" i="24"/>
  <c r="B648" i="24"/>
  <c r="C648" i="24" s="1"/>
  <c r="I647" i="24"/>
  <c r="J647" i="24" s="1"/>
  <c r="B647" i="24"/>
  <c r="C647" i="24" s="1"/>
  <c r="I646" i="24"/>
  <c r="J646" i="24" s="1"/>
  <c r="C646" i="24"/>
  <c r="B646" i="24"/>
  <c r="J645" i="24"/>
  <c r="I645" i="24"/>
  <c r="B645" i="24"/>
  <c r="C645" i="24" s="1"/>
  <c r="J644" i="24"/>
  <c r="I644" i="24"/>
  <c r="C644" i="24"/>
  <c r="B644" i="24"/>
  <c r="I643" i="24"/>
  <c r="J643" i="24" s="1"/>
  <c r="B643" i="24"/>
  <c r="C643" i="24" s="1"/>
  <c r="I642" i="24"/>
  <c r="J642" i="24" s="1"/>
  <c r="B642" i="24"/>
  <c r="C642" i="24" s="1"/>
  <c r="J641" i="24"/>
  <c r="I641" i="24"/>
  <c r="B641" i="24"/>
  <c r="C641" i="24" s="1"/>
  <c r="I640" i="24"/>
  <c r="J640" i="24" s="1"/>
  <c r="C640" i="24"/>
  <c r="B640" i="24"/>
  <c r="J639" i="24"/>
  <c r="I639" i="24"/>
  <c r="B639" i="24"/>
  <c r="C639" i="24" s="1"/>
  <c r="J638" i="24"/>
  <c r="I638" i="24"/>
  <c r="B638" i="24"/>
  <c r="C638" i="24" s="1"/>
  <c r="I637" i="24"/>
  <c r="J637" i="24" s="1"/>
  <c r="B637" i="24"/>
  <c r="C637" i="24" s="1"/>
  <c r="I636" i="24"/>
  <c r="J636" i="24" s="1"/>
  <c r="B636" i="24"/>
  <c r="C636" i="24" s="1"/>
  <c r="J635" i="24"/>
  <c r="I635" i="24"/>
  <c r="B635" i="24"/>
  <c r="C635" i="24" s="1"/>
  <c r="J634" i="24"/>
  <c r="I634" i="24"/>
  <c r="C634" i="24"/>
  <c r="B634" i="24"/>
  <c r="I633" i="24"/>
  <c r="J633" i="24" s="1"/>
  <c r="B633" i="24"/>
  <c r="C633" i="24" s="1"/>
  <c r="J632" i="24"/>
  <c r="I632" i="24"/>
  <c r="B632" i="24"/>
  <c r="C632" i="24" s="1"/>
  <c r="I631" i="24"/>
  <c r="J631" i="24" s="1"/>
  <c r="B631" i="24"/>
  <c r="C631" i="24" s="1"/>
  <c r="I630" i="24"/>
  <c r="J630" i="24" s="1"/>
  <c r="C630" i="24"/>
  <c r="B630" i="24"/>
  <c r="J629" i="24"/>
  <c r="I629" i="24"/>
  <c r="B629" i="24"/>
  <c r="C629" i="24" s="1"/>
  <c r="J628" i="24"/>
  <c r="I628" i="24"/>
  <c r="C628" i="24"/>
  <c r="B628" i="24"/>
  <c r="I627" i="24"/>
  <c r="J627" i="24" s="1"/>
  <c r="B627" i="24"/>
  <c r="C627" i="24" s="1"/>
  <c r="I626" i="24"/>
  <c r="J626" i="24" s="1"/>
  <c r="B626" i="24"/>
  <c r="C626" i="24" s="1"/>
  <c r="J625" i="24"/>
  <c r="I625" i="24"/>
  <c r="B625" i="24"/>
  <c r="C625" i="24" s="1"/>
  <c r="I624" i="24"/>
  <c r="J624" i="24" s="1"/>
  <c r="C624" i="24"/>
  <c r="B624" i="24"/>
  <c r="J623" i="24"/>
  <c r="I623" i="24"/>
  <c r="B623" i="24"/>
  <c r="C623" i="24" s="1"/>
  <c r="I622" i="24"/>
  <c r="J622" i="24" s="1"/>
  <c r="C622" i="24"/>
  <c r="B622" i="24"/>
  <c r="J621" i="24"/>
  <c r="I621" i="24"/>
  <c r="B621" i="24"/>
  <c r="C621" i="24" s="1"/>
  <c r="I620" i="24"/>
  <c r="J620" i="24" s="1"/>
  <c r="C620" i="24"/>
  <c r="B620" i="24"/>
  <c r="J619" i="24"/>
  <c r="I619" i="24"/>
  <c r="B619" i="24"/>
  <c r="C619" i="24" s="1"/>
  <c r="I618" i="24"/>
  <c r="J618" i="24" s="1"/>
  <c r="C618" i="24"/>
  <c r="B618" i="24"/>
  <c r="J617" i="24"/>
  <c r="I617" i="24"/>
  <c r="B617" i="24"/>
  <c r="C617" i="24" s="1"/>
  <c r="I616" i="24"/>
  <c r="J616" i="24" s="1"/>
  <c r="C616" i="24"/>
  <c r="B616" i="24"/>
  <c r="J615" i="24"/>
  <c r="I615" i="24"/>
  <c r="B615" i="24"/>
  <c r="C615" i="24" s="1"/>
  <c r="I614" i="24"/>
  <c r="J614" i="24" s="1"/>
  <c r="C614" i="24"/>
  <c r="B614" i="24"/>
  <c r="J613" i="24"/>
  <c r="I613" i="24"/>
  <c r="B613" i="24"/>
  <c r="C613" i="24" s="1"/>
  <c r="I612" i="24"/>
  <c r="J612" i="24" s="1"/>
  <c r="C612" i="24"/>
  <c r="B612" i="24"/>
  <c r="J611" i="24"/>
  <c r="I611" i="24"/>
  <c r="B611" i="24"/>
  <c r="C611" i="24" s="1"/>
  <c r="I610" i="24"/>
  <c r="J610" i="24" s="1"/>
  <c r="C610" i="24"/>
  <c r="B610" i="24"/>
  <c r="J609" i="24"/>
  <c r="I609" i="24"/>
  <c r="B609" i="24"/>
  <c r="C609" i="24" s="1"/>
  <c r="I608" i="24"/>
  <c r="J608" i="24" s="1"/>
  <c r="C608" i="24"/>
  <c r="B608" i="24"/>
  <c r="J607" i="24"/>
  <c r="I607" i="24"/>
  <c r="B607" i="24"/>
  <c r="C607" i="24" s="1"/>
  <c r="I606" i="24"/>
  <c r="J606" i="24" s="1"/>
  <c r="C606" i="24"/>
  <c r="B606" i="24"/>
  <c r="J605" i="24"/>
  <c r="I605" i="24"/>
  <c r="B605" i="24"/>
  <c r="C605" i="24" s="1"/>
  <c r="I604" i="24"/>
  <c r="J604" i="24" s="1"/>
  <c r="C604" i="24"/>
  <c r="B604" i="24"/>
  <c r="J603" i="24"/>
  <c r="I603" i="24"/>
  <c r="B603" i="24"/>
  <c r="C603" i="24" s="1"/>
  <c r="I602" i="24"/>
  <c r="J602" i="24" s="1"/>
  <c r="C602" i="24"/>
  <c r="B602" i="24"/>
  <c r="J601" i="24"/>
  <c r="I601" i="24"/>
  <c r="B601" i="24"/>
  <c r="C601" i="24" s="1"/>
  <c r="I600" i="24"/>
  <c r="J600" i="24" s="1"/>
  <c r="C600" i="24"/>
  <c r="B600" i="24"/>
  <c r="J599" i="24"/>
  <c r="I599" i="24"/>
  <c r="B599" i="24"/>
  <c r="C599" i="24" s="1"/>
  <c r="I598" i="24"/>
  <c r="J598" i="24" s="1"/>
  <c r="C598" i="24"/>
  <c r="B598" i="24"/>
  <c r="J597" i="24"/>
  <c r="I597" i="24"/>
  <c r="B597" i="24"/>
  <c r="C597" i="24" s="1"/>
  <c r="I596" i="24"/>
  <c r="J596" i="24" s="1"/>
  <c r="C596" i="24"/>
  <c r="B596" i="24"/>
  <c r="I595" i="24"/>
  <c r="J595" i="24" s="1"/>
  <c r="B595" i="24"/>
  <c r="C595" i="24" s="1"/>
  <c r="I594" i="24"/>
  <c r="J594" i="24" s="1"/>
  <c r="C594" i="24"/>
  <c r="B594" i="24"/>
  <c r="J593" i="24"/>
  <c r="I593" i="24"/>
  <c r="B593" i="24"/>
  <c r="C593" i="24" s="1"/>
  <c r="I592" i="24"/>
  <c r="J592" i="24" s="1"/>
  <c r="C592" i="24"/>
  <c r="B592" i="24"/>
  <c r="J591" i="24"/>
  <c r="I591" i="24"/>
  <c r="B591" i="24"/>
  <c r="C591" i="24" s="1"/>
  <c r="I590" i="24"/>
  <c r="J590" i="24" s="1"/>
  <c r="C590" i="24"/>
  <c r="B590" i="24"/>
  <c r="I589" i="24"/>
  <c r="J589" i="24" s="1"/>
  <c r="B589" i="24"/>
  <c r="C589" i="24" s="1"/>
  <c r="I588" i="24"/>
  <c r="J588" i="24" s="1"/>
  <c r="C588" i="24"/>
  <c r="B588" i="24"/>
  <c r="I587" i="24"/>
  <c r="J587" i="24" s="1"/>
  <c r="B587" i="24"/>
  <c r="C587" i="24" s="1"/>
  <c r="I586" i="24"/>
  <c r="J586" i="24" s="1"/>
  <c r="C586" i="24"/>
  <c r="B586" i="24"/>
  <c r="J585" i="24"/>
  <c r="I585" i="24"/>
  <c r="B585" i="24"/>
  <c r="C585" i="24" s="1"/>
  <c r="I584" i="24"/>
  <c r="J584" i="24" s="1"/>
  <c r="C584" i="24"/>
  <c r="B584" i="24"/>
  <c r="J583" i="24"/>
  <c r="I583" i="24"/>
  <c r="B583" i="24"/>
  <c r="C583" i="24" s="1"/>
  <c r="I582" i="24"/>
  <c r="J582" i="24" s="1"/>
  <c r="C582" i="24"/>
  <c r="B582" i="24"/>
  <c r="I581" i="24"/>
  <c r="J581" i="24" s="1"/>
  <c r="B581" i="24"/>
  <c r="C581" i="24" s="1"/>
  <c r="I580" i="24"/>
  <c r="J580" i="24" s="1"/>
  <c r="C580" i="24"/>
  <c r="B580" i="24"/>
  <c r="I579" i="24"/>
  <c r="J579" i="24" s="1"/>
  <c r="B579" i="24"/>
  <c r="C579" i="24" s="1"/>
  <c r="I578" i="24"/>
  <c r="J578" i="24" s="1"/>
  <c r="C578" i="24"/>
  <c r="B578" i="24"/>
  <c r="I577" i="24"/>
  <c r="J577" i="24" s="1"/>
  <c r="B577" i="24"/>
  <c r="C577" i="24" s="1"/>
  <c r="I576" i="24"/>
  <c r="J576" i="24" s="1"/>
  <c r="C576" i="24"/>
  <c r="B576" i="24"/>
  <c r="J575" i="24"/>
  <c r="I575" i="24"/>
  <c r="B575" i="24"/>
  <c r="C575" i="24" s="1"/>
  <c r="I574" i="24"/>
  <c r="J574" i="24" s="1"/>
  <c r="C574" i="24"/>
  <c r="B574" i="24"/>
  <c r="I573" i="24"/>
  <c r="J573" i="24" s="1"/>
  <c r="B573" i="24"/>
  <c r="C573" i="24" s="1"/>
  <c r="I572" i="24"/>
  <c r="J572" i="24" s="1"/>
  <c r="C572" i="24"/>
  <c r="B572" i="24"/>
  <c r="I571" i="24"/>
  <c r="J571" i="24" s="1"/>
  <c r="B571" i="24"/>
  <c r="C571" i="24" s="1"/>
  <c r="I570" i="24"/>
  <c r="J570" i="24" s="1"/>
  <c r="C570" i="24"/>
  <c r="B570" i="24"/>
  <c r="I569" i="24"/>
  <c r="J569" i="24" s="1"/>
  <c r="B569" i="24"/>
  <c r="C569" i="24" s="1"/>
  <c r="I568" i="24"/>
  <c r="J568" i="24" s="1"/>
  <c r="C568" i="24"/>
  <c r="B568" i="24"/>
  <c r="J567" i="24"/>
  <c r="I567" i="24"/>
  <c r="B567" i="24"/>
  <c r="C567" i="24" s="1"/>
  <c r="I566" i="24"/>
  <c r="J566" i="24" s="1"/>
  <c r="C566" i="24"/>
  <c r="B566" i="24"/>
  <c r="I565" i="24"/>
  <c r="J565" i="24" s="1"/>
  <c r="B565" i="24"/>
  <c r="C565" i="24" s="1"/>
  <c r="I564" i="24"/>
  <c r="J564" i="24" s="1"/>
  <c r="C564" i="24"/>
  <c r="B564" i="24"/>
  <c r="I563" i="24"/>
  <c r="J563" i="24" s="1"/>
  <c r="B563" i="24"/>
  <c r="C563" i="24" s="1"/>
  <c r="I562" i="24"/>
  <c r="J562" i="24" s="1"/>
  <c r="C562" i="24"/>
  <c r="B562" i="24"/>
  <c r="I561" i="24"/>
  <c r="J561" i="24" s="1"/>
  <c r="B561" i="24"/>
  <c r="C561" i="24" s="1"/>
  <c r="I560" i="24"/>
  <c r="J560" i="24" s="1"/>
  <c r="C560" i="24"/>
  <c r="B560" i="24"/>
  <c r="J559" i="24"/>
  <c r="I559" i="24"/>
  <c r="B559" i="24"/>
  <c r="C559" i="24" s="1"/>
  <c r="I558" i="24"/>
  <c r="J558" i="24" s="1"/>
  <c r="C558" i="24"/>
  <c r="B558" i="24"/>
  <c r="I557" i="24"/>
  <c r="J557" i="24" s="1"/>
  <c r="B557" i="24"/>
  <c r="C557" i="24" s="1"/>
  <c r="I556" i="24"/>
  <c r="J556" i="24" s="1"/>
  <c r="C556" i="24"/>
  <c r="B556" i="24"/>
  <c r="I555" i="24"/>
  <c r="J555" i="24" s="1"/>
  <c r="B555" i="24"/>
  <c r="C555" i="24" s="1"/>
  <c r="I554" i="24"/>
  <c r="J554" i="24" s="1"/>
  <c r="C554" i="24"/>
  <c r="B554" i="24"/>
  <c r="I553" i="24"/>
  <c r="J553" i="24" s="1"/>
  <c r="B553" i="24"/>
  <c r="C553" i="24" s="1"/>
  <c r="I552" i="24"/>
  <c r="J552" i="24" s="1"/>
  <c r="C552" i="24"/>
  <c r="B552" i="24"/>
  <c r="J551" i="24"/>
  <c r="I551" i="24"/>
  <c r="B551" i="24"/>
  <c r="C551" i="24" s="1"/>
  <c r="I550" i="24"/>
  <c r="J550" i="24" s="1"/>
  <c r="C550" i="24"/>
  <c r="B550" i="24"/>
  <c r="I549" i="24"/>
  <c r="J549" i="24" s="1"/>
  <c r="B549" i="24"/>
  <c r="C549" i="24" s="1"/>
  <c r="I548" i="24"/>
  <c r="J548" i="24" s="1"/>
  <c r="C548" i="24"/>
  <c r="B548" i="24"/>
  <c r="I547" i="24"/>
  <c r="J547" i="24" s="1"/>
  <c r="B547" i="24"/>
  <c r="C547" i="24" s="1"/>
  <c r="I546" i="24"/>
  <c r="J546" i="24" s="1"/>
  <c r="C546" i="24"/>
  <c r="B546" i="24"/>
  <c r="I545" i="24"/>
  <c r="J545" i="24" s="1"/>
  <c r="B545" i="24"/>
  <c r="C545" i="24" s="1"/>
  <c r="I544" i="24"/>
  <c r="J544" i="24" s="1"/>
  <c r="C544" i="24"/>
  <c r="B544" i="24"/>
  <c r="J543" i="24"/>
  <c r="I543" i="24"/>
  <c r="B543" i="24"/>
  <c r="C543" i="24" s="1"/>
  <c r="I542" i="24"/>
  <c r="J542" i="24" s="1"/>
  <c r="C542" i="24"/>
  <c r="B542" i="24"/>
  <c r="I541" i="24"/>
  <c r="J541" i="24" s="1"/>
  <c r="B541" i="24"/>
  <c r="C541" i="24" s="1"/>
  <c r="I540" i="24"/>
  <c r="J540" i="24" s="1"/>
  <c r="C540" i="24"/>
  <c r="B540" i="24"/>
  <c r="I539" i="24"/>
  <c r="J539" i="24" s="1"/>
  <c r="B539" i="24"/>
  <c r="C539" i="24" s="1"/>
  <c r="I538" i="24"/>
  <c r="J538" i="24" s="1"/>
  <c r="C538" i="24"/>
  <c r="B538" i="24"/>
  <c r="I537" i="24"/>
  <c r="J537" i="24" s="1"/>
  <c r="B537" i="24"/>
  <c r="C537" i="24" s="1"/>
  <c r="I536" i="24"/>
  <c r="J536" i="24" s="1"/>
  <c r="C536" i="24"/>
  <c r="B536" i="24"/>
  <c r="J535" i="24"/>
  <c r="I535" i="24"/>
  <c r="B535" i="24"/>
  <c r="C535" i="24" s="1"/>
  <c r="I534" i="24"/>
  <c r="J534" i="24" s="1"/>
  <c r="C534" i="24"/>
  <c r="B534" i="24"/>
  <c r="I533" i="24"/>
  <c r="J533" i="24" s="1"/>
  <c r="B533" i="24"/>
  <c r="C533" i="24" s="1"/>
  <c r="I532" i="24"/>
  <c r="J532" i="24" s="1"/>
  <c r="C532" i="24"/>
  <c r="B532" i="24"/>
  <c r="I531" i="24"/>
  <c r="J531" i="24" s="1"/>
  <c r="B531" i="24"/>
  <c r="C531" i="24" s="1"/>
  <c r="I530" i="24"/>
  <c r="J530" i="24" s="1"/>
  <c r="C530" i="24"/>
  <c r="B530" i="24"/>
  <c r="I529" i="24"/>
  <c r="J529" i="24" s="1"/>
  <c r="B529" i="24"/>
  <c r="C529" i="24" s="1"/>
  <c r="I528" i="24"/>
  <c r="J528" i="24" s="1"/>
  <c r="C528" i="24"/>
  <c r="B528" i="24"/>
  <c r="J527" i="24"/>
  <c r="I527" i="24"/>
  <c r="B527" i="24"/>
  <c r="C527" i="24" s="1"/>
  <c r="I526" i="24"/>
  <c r="J526" i="24" s="1"/>
  <c r="C526" i="24"/>
  <c r="B526" i="24"/>
  <c r="I525" i="24"/>
  <c r="J525" i="24" s="1"/>
  <c r="B525" i="24"/>
  <c r="C525" i="24" s="1"/>
  <c r="I524" i="24"/>
  <c r="J524" i="24" s="1"/>
  <c r="C524" i="24"/>
  <c r="B524" i="24"/>
  <c r="I523" i="24"/>
  <c r="J523" i="24" s="1"/>
  <c r="B523" i="24"/>
  <c r="C523" i="24" s="1"/>
  <c r="I522" i="24"/>
  <c r="J522" i="24" s="1"/>
  <c r="C522" i="24"/>
  <c r="B522" i="24"/>
  <c r="I521" i="24"/>
  <c r="J521" i="24" s="1"/>
  <c r="B521" i="24"/>
  <c r="C521" i="24" s="1"/>
  <c r="I520" i="24"/>
  <c r="J520" i="24" s="1"/>
  <c r="C520" i="24"/>
  <c r="B520" i="24"/>
  <c r="J519" i="24"/>
  <c r="I519" i="24"/>
  <c r="B519" i="24"/>
  <c r="C519" i="24" s="1"/>
  <c r="I518" i="24"/>
  <c r="J518" i="24" s="1"/>
  <c r="C518" i="24"/>
  <c r="B518" i="24"/>
  <c r="I517" i="24"/>
  <c r="J517" i="24" s="1"/>
  <c r="B517" i="24"/>
  <c r="C517" i="24" s="1"/>
  <c r="I516" i="24"/>
  <c r="J516" i="24" s="1"/>
  <c r="C516" i="24"/>
  <c r="B516" i="24"/>
  <c r="I515" i="24"/>
  <c r="J515" i="24" s="1"/>
  <c r="B515" i="24"/>
  <c r="C515" i="24" s="1"/>
  <c r="I514" i="24"/>
  <c r="J514" i="24" s="1"/>
  <c r="C514" i="24"/>
  <c r="B514" i="24"/>
  <c r="I513" i="24"/>
  <c r="J513" i="24" s="1"/>
  <c r="B513" i="24"/>
  <c r="C513" i="24" s="1"/>
  <c r="I512" i="24"/>
  <c r="J512" i="24" s="1"/>
  <c r="C512" i="24"/>
  <c r="B512" i="24"/>
  <c r="J511" i="24"/>
  <c r="I511" i="24"/>
  <c r="B511" i="24"/>
  <c r="C511" i="24" s="1"/>
  <c r="I510" i="24"/>
  <c r="J510" i="24" s="1"/>
  <c r="C510" i="24"/>
  <c r="B510" i="24"/>
  <c r="I509" i="24"/>
  <c r="J509" i="24" s="1"/>
  <c r="B509" i="24"/>
  <c r="C509" i="24" s="1"/>
  <c r="I508" i="24"/>
  <c r="J508" i="24" s="1"/>
  <c r="C508" i="24"/>
  <c r="B508" i="24"/>
  <c r="I507" i="24"/>
  <c r="J507" i="24" s="1"/>
  <c r="B507" i="24"/>
  <c r="C507" i="24" s="1"/>
  <c r="I506" i="24"/>
  <c r="J506" i="24" s="1"/>
  <c r="C506" i="24"/>
  <c r="B506" i="24"/>
  <c r="I505" i="24"/>
  <c r="J505" i="24" s="1"/>
  <c r="B505" i="24"/>
  <c r="C505" i="24" s="1"/>
  <c r="I504" i="24"/>
  <c r="J504" i="24" s="1"/>
  <c r="C504" i="24"/>
  <c r="B504" i="24"/>
  <c r="J503" i="24"/>
  <c r="I503" i="24"/>
  <c r="B503" i="24"/>
  <c r="C503" i="24" s="1"/>
  <c r="I502" i="24"/>
  <c r="J502" i="24" s="1"/>
  <c r="C502" i="24"/>
  <c r="B502" i="24"/>
  <c r="I501" i="24"/>
  <c r="J501" i="24" s="1"/>
  <c r="B501" i="24"/>
  <c r="C501" i="24" s="1"/>
  <c r="I500" i="24"/>
  <c r="J500" i="24" s="1"/>
  <c r="C500" i="24"/>
  <c r="B500" i="24"/>
  <c r="I499" i="24"/>
  <c r="J499" i="24" s="1"/>
  <c r="B499" i="24"/>
  <c r="C499" i="24" s="1"/>
  <c r="I498" i="24"/>
  <c r="J498" i="24" s="1"/>
  <c r="C498" i="24"/>
  <c r="B498" i="24"/>
  <c r="I497" i="24"/>
  <c r="J497" i="24" s="1"/>
  <c r="B497" i="24"/>
  <c r="C497" i="24" s="1"/>
  <c r="I496" i="24"/>
  <c r="J496" i="24" s="1"/>
  <c r="C496" i="24"/>
  <c r="B496" i="24"/>
  <c r="J495" i="24"/>
  <c r="I495" i="24"/>
  <c r="B495" i="24"/>
  <c r="C495" i="24" s="1"/>
  <c r="I494" i="24"/>
  <c r="J494" i="24" s="1"/>
  <c r="C494" i="24"/>
  <c r="B494" i="24"/>
  <c r="I493" i="24"/>
  <c r="J493" i="24" s="1"/>
  <c r="B493" i="24"/>
  <c r="C493" i="24" s="1"/>
  <c r="I492" i="24"/>
  <c r="J492" i="24" s="1"/>
  <c r="C492" i="24"/>
  <c r="B492" i="24"/>
  <c r="I491" i="24"/>
  <c r="J491" i="24" s="1"/>
  <c r="B491" i="24"/>
  <c r="C491" i="24" s="1"/>
  <c r="I490" i="24"/>
  <c r="J490" i="24" s="1"/>
  <c r="C490" i="24"/>
  <c r="B490" i="24"/>
  <c r="I489" i="24"/>
  <c r="J489" i="24" s="1"/>
  <c r="B489" i="24"/>
  <c r="C489" i="24" s="1"/>
  <c r="I488" i="24"/>
  <c r="J488" i="24" s="1"/>
  <c r="C488" i="24"/>
  <c r="B488" i="24"/>
  <c r="J487" i="24"/>
  <c r="I487" i="24"/>
  <c r="B487" i="24"/>
  <c r="C487" i="24" s="1"/>
  <c r="I486" i="24"/>
  <c r="J486" i="24" s="1"/>
  <c r="C486" i="24"/>
  <c r="B486" i="24"/>
  <c r="I485" i="24"/>
  <c r="J485" i="24" s="1"/>
  <c r="B485" i="24"/>
  <c r="C485" i="24" s="1"/>
  <c r="I484" i="24"/>
  <c r="J484" i="24" s="1"/>
  <c r="C484" i="24"/>
  <c r="B484" i="24"/>
  <c r="I483" i="24"/>
  <c r="J483" i="24" s="1"/>
  <c r="B483" i="24"/>
  <c r="C483" i="24" s="1"/>
  <c r="I482" i="24"/>
  <c r="J482" i="24" s="1"/>
  <c r="C482" i="24"/>
  <c r="B482" i="24"/>
  <c r="I481" i="24"/>
  <c r="J481" i="24" s="1"/>
  <c r="B481" i="24"/>
  <c r="C481" i="24" s="1"/>
  <c r="I480" i="24"/>
  <c r="J480" i="24" s="1"/>
  <c r="C480" i="24"/>
  <c r="B480" i="24"/>
  <c r="J479" i="24"/>
  <c r="I479" i="24"/>
  <c r="B479" i="24"/>
  <c r="C479" i="24" s="1"/>
  <c r="I478" i="24"/>
  <c r="J478" i="24" s="1"/>
  <c r="C478" i="24"/>
  <c r="B478" i="24"/>
  <c r="I477" i="24"/>
  <c r="J477" i="24" s="1"/>
  <c r="B477" i="24"/>
  <c r="C477" i="24" s="1"/>
  <c r="I476" i="24"/>
  <c r="J476" i="24" s="1"/>
  <c r="C476" i="24"/>
  <c r="B476" i="24"/>
  <c r="I475" i="24"/>
  <c r="J475" i="24" s="1"/>
  <c r="B475" i="24"/>
  <c r="C475" i="24" s="1"/>
  <c r="I474" i="24"/>
  <c r="J474" i="24" s="1"/>
  <c r="C474" i="24"/>
  <c r="B474" i="24"/>
  <c r="I473" i="24"/>
  <c r="J473" i="24" s="1"/>
  <c r="B473" i="24"/>
  <c r="C473" i="24" s="1"/>
  <c r="I472" i="24"/>
  <c r="J472" i="24" s="1"/>
  <c r="C472" i="24"/>
  <c r="B472" i="24"/>
  <c r="J471" i="24"/>
  <c r="I471" i="24"/>
  <c r="B471" i="24"/>
  <c r="C471" i="24" s="1"/>
  <c r="I470" i="24"/>
  <c r="J470" i="24" s="1"/>
  <c r="C470" i="24"/>
  <c r="B470" i="24"/>
  <c r="I469" i="24"/>
  <c r="J469" i="24" s="1"/>
  <c r="B469" i="24"/>
  <c r="C469" i="24" s="1"/>
  <c r="I468" i="24"/>
  <c r="J468" i="24" s="1"/>
  <c r="C468" i="24"/>
  <c r="B468" i="24"/>
  <c r="I467" i="24"/>
  <c r="J467" i="24" s="1"/>
  <c r="B467" i="24"/>
  <c r="C467" i="24" s="1"/>
  <c r="I466" i="24"/>
  <c r="J466" i="24" s="1"/>
  <c r="C466" i="24"/>
  <c r="B466" i="24"/>
  <c r="I465" i="24"/>
  <c r="J465" i="24" s="1"/>
  <c r="B465" i="24"/>
  <c r="C465" i="24" s="1"/>
  <c r="I464" i="24"/>
  <c r="J464" i="24" s="1"/>
  <c r="C464" i="24"/>
  <c r="B464" i="24"/>
  <c r="J463" i="24"/>
  <c r="I463" i="24"/>
  <c r="B463" i="24"/>
  <c r="C463" i="24" s="1"/>
  <c r="I462" i="24"/>
  <c r="J462" i="24" s="1"/>
  <c r="C462" i="24"/>
  <c r="B462" i="24"/>
  <c r="I461" i="24"/>
  <c r="J461" i="24" s="1"/>
  <c r="B461" i="24"/>
  <c r="C461" i="24" s="1"/>
  <c r="I460" i="24"/>
  <c r="J460" i="24" s="1"/>
  <c r="C460" i="24"/>
  <c r="B460" i="24"/>
  <c r="I459" i="24"/>
  <c r="J459" i="24" s="1"/>
  <c r="B459" i="24"/>
  <c r="C459" i="24" s="1"/>
  <c r="I458" i="24"/>
  <c r="J458" i="24" s="1"/>
  <c r="C458" i="24"/>
  <c r="B458" i="24"/>
  <c r="I457" i="24"/>
  <c r="J457" i="24" s="1"/>
  <c r="B457" i="24"/>
  <c r="C457" i="24" s="1"/>
  <c r="I456" i="24"/>
  <c r="J456" i="24" s="1"/>
  <c r="C456" i="24"/>
  <c r="B456" i="24"/>
  <c r="J455" i="24"/>
  <c r="I455" i="24"/>
  <c r="B455" i="24"/>
  <c r="C455" i="24" s="1"/>
  <c r="I454" i="24"/>
  <c r="J454" i="24" s="1"/>
  <c r="C454" i="24"/>
  <c r="B454" i="24"/>
  <c r="I453" i="24"/>
  <c r="J453" i="24" s="1"/>
  <c r="B453" i="24"/>
  <c r="C453" i="24" s="1"/>
  <c r="I452" i="24"/>
  <c r="J452" i="24" s="1"/>
  <c r="C452" i="24"/>
  <c r="B452" i="24"/>
  <c r="I451" i="24"/>
  <c r="J451" i="24" s="1"/>
  <c r="B451" i="24"/>
  <c r="C451" i="24" s="1"/>
  <c r="I450" i="24"/>
  <c r="J450" i="24" s="1"/>
  <c r="C450" i="24"/>
  <c r="B450" i="24"/>
  <c r="I449" i="24"/>
  <c r="J449" i="24" s="1"/>
  <c r="B449" i="24"/>
  <c r="C449" i="24" s="1"/>
  <c r="I448" i="24"/>
  <c r="J448" i="24" s="1"/>
  <c r="C448" i="24"/>
  <c r="B448" i="24"/>
  <c r="J447" i="24"/>
  <c r="I447" i="24"/>
  <c r="B447" i="24"/>
  <c r="C447" i="24" s="1"/>
  <c r="I446" i="24"/>
  <c r="J446" i="24" s="1"/>
  <c r="C446" i="24"/>
  <c r="B446" i="24"/>
  <c r="I445" i="24"/>
  <c r="J445" i="24" s="1"/>
  <c r="B445" i="24"/>
  <c r="C445" i="24" s="1"/>
  <c r="I444" i="24"/>
  <c r="J444" i="24" s="1"/>
  <c r="C444" i="24"/>
  <c r="B444" i="24"/>
  <c r="I443" i="24"/>
  <c r="J443" i="24" s="1"/>
  <c r="B443" i="24"/>
  <c r="C443" i="24" s="1"/>
  <c r="I442" i="24"/>
  <c r="J442" i="24" s="1"/>
  <c r="C442" i="24"/>
  <c r="B442" i="24"/>
  <c r="I441" i="24"/>
  <c r="J441" i="24" s="1"/>
  <c r="B441" i="24"/>
  <c r="C441" i="24" s="1"/>
  <c r="I440" i="24"/>
  <c r="J440" i="24" s="1"/>
  <c r="C440" i="24"/>
  <c r="B440" i="24"/>
  <c r="J439" i="24"/>
  <c r="I439" i="24"/>
  <c r="B439" i="24"/>
  <c r="C439" i="24" s="1"/>
  <c r="I438" i="24"/>
  <c r="J438" i="24" s="1"/>
  <c r="C438" i="24"/>
  <c r="B438" i="24"/>
  <c r="I437" i="24"/>
  <c r="J437" i="24" s="1"/>
  <c r="B437" i="24"/>
  <c r="C437" i="24" s="1"/>
  <c r="I436" i="24"/>
  <c r="J436" i="24" s="1"/>
  <c r="C436" i="24"/>
  <c r="B436" i="24"/>
  <c r="I435" i="24"/>
  <c r="J435" i="24" s="1"/>
  <c r="B435" i="24"/>
  <c r="C435" i="24" s="1"/>
  <c r="I434" i="24"/>
  <c r="J434" i="24" s="1"/>
  <c r="C434" i="24"/>
  <c r="B434" i="24"/>
  <c r="I433" i="24"/>
  <c r="J433" i="24" s="1"/>
  <c r="B433" i="24"/>
  <c r="C433" i="24" s="1"/>
  <c r="I432" i="24"/>
  <c r="J432" i="24" s="1"/>
  <c r="C432" i="24"/>
  <c r="B432" i="24"/>
  <c r="J431" i="24"/>
  <c r="I431" i="24"/>
  <c r="B431" i="24"/>
  <c r="C431" i="24" s="1"/>
  <c r="I430" i="24"/>
  <c r="J430" i="24" s="1"/>
  <c r="C430" i="24"/>
  <c r="B430" i="24"/>
  <c r="I429" i="24"/>
  <c r="J429" i="24" s="1"/>
  <c r="B429" i="24"/>
  <c r="C429" i="24" s="1"/>
  <c r="I428" i="24"/>
  <c r="J428" i="24" s="1"/>
  <c r="C428" i="24"/>
  <c r="B428" i="24"/>
  <c r="I427" i="24"/>
  <c r="J427" i="24" s="1"/>
  <c r="B427" i="24"/>
  <c r="C427" i="24" s="1"/>
  <c r="I426" i="24"/>
  <c r="J426" i="24" s="1"/>
  <c r="C426" i="24"/>
  <c r="B426" i="24"/>
  <c r="I425" i="24"/>
  <c r="J425" i="24" s="1"/>
  <c r="B425" i="24"/>
  <c r="C425" i="24" s="1"/>
  <c r="I424" i="24"/>
  <c r="J424" i="24" s="1"/>
  <c r="C424" i="24"/>
  <c r="B424" i="24"/>
  <c r="J423" i="24"/>
  <c r="I423" i="24"/>
  <c r="B423" i="24"/>
  <c r="C423" i="24" s="1"/>
  <c r="I422" i="24"/>
  <c r="J422" i="24" s="1"/>
  <c r="C422" i="24"/>
  <c r="B422" i="24"/>
  <c r="I421" i="24"/>
  <c r="J421" i="24" s="1"/>
  <c r="B421" i="24"/>
  <c r="C421" i="24" s="1"/>
  <c r="I420" i="24"/>
  <c r="J420" i="24" s="1"/>
  <c r="C420" i="24"/>
  <c r="B420" i="24"/>
  <c r="I419" i="24"/>
  <c r="J419" i="24" s="1"/>
  <c r="B419" i="24"/>
  <c r="C419" i="24" s="1"/>
  <c r="I418" i="24"/>
  <c r="J418" i="24" s="1"/>
  <c r="C418" i="24"/>
  <c r="B418" i="24"/>
  <c r="I417" i="24"/>
  <c r="J417" i="24" s="1"/>
  <c r="B417" i="24"/>
  <c r="C417" i="24" s="1"/>
  <c r="I416" i="24"/>
  <c r="J416" i="24" s="1"/>
  <c r="C416" i="24"/>
  <c r="B416" i="24"/>
  <c r="J415" i="24"/>
  <c r="I415" i="24"/>
  <c r="B415" i="24"/>
  <c r="C415" i="24" s="1"/>
  <c r="I414" i="24"/>
  <c r="J414" i="24" s="1"/>
  <c r="C414" i="24"/>
  <c r="B414" i="24"/>
  <c r="I413" i="24"/>
  <c r="J413" i="24" s="1"/>
  <c r="B413" i="24"/>
  <c r="C413" i="24" s="1"/>
  <c r="I412" i="24"/>
  <c r="J412" i="24" s="1"/>
  <c r="C412" i="24"/>
  <c r="B412" i="24"/>
  <c r="I411" i="24"/>
  <c r="J411" i="24" s="1"/>
  <c r="B411" i="24"/>
  <c r="C411" i="24" s="1"/>
  <c r="I410" i="24"/>
  <c r="J410" i="24" s="1"/>
  <c r="C410" i="24"/>
  <c r="B410" i="24"/>
  <c r="I409" i="24"/>
  <c r="J409" i="24" s="1"/>
  <c r="B409" i="24"/>
  <c r="C409" i="24" s="1"/>
  <c r="I408" i="24"/>
  <c r="J408" i="24" s="1"/>
  <c r="C408" i="24"/>
  <c r="B408" i="24"/>
  <c r="J407" i="24"/>
  <c r="I407" i="24"/>
  <c r="B407" i="24"/>
  <c r="C407" i="24" s="1"/>
  <c r="I406" i="24"/>
  <c r="J406" i="24" s="1"/>
  <c r="C406" i="24"/>
  <c r="B406" i="24"/>
  <c r="I405" i="24"/>
  <c r="J405" i="24" s="1"/>
  <c r="B405" i="24"/>
  <c r="C405" i="24" s="1"/>
  <c r="I404" i="24"/>
  <c r="J404" i="24" s="1"/>
  <c r="C404" i="24"/>
  <c r="B404" i="24"/>
  <c r="I403" i="24"/>
  <c r="J403" i="24" s="1"/>
  <c r="B403" i="24"/>
  <c r="C403" i="24" s="1"/>
  <c r="I402" i="24"/>
  <c r="J402" i="24" s="1"/>
  <c r="C402" i="24"/>
  <c r="B402" i="24"/>
  <c r="I401" i="24"/>
  <c r="J401" i="24" s="1"/>
  <c r="B401" i="24"/>
  <c r="C401" i="24" s="1"/>
  <c r="I400" i="24"/>
  <c r="J400" i="24" s="1"/>
  <c r="C400" i="24"/>
  <c r="B400" i="24"/>
  <c r="J399" i="24"/>
  <c r="I399" i="24"/>
  <c r="B399" i="24"/>
  <c r="C399" i="24" s="1"/>
  <c r="I398" i="24"/>
  <c r="J398" i="24" s="1"/>
  <c r="C398" i="24"/>
  <c r="B398" i="24"/>
  <c r="I397" i="24"/>
  <c r="J397" i="24" s="1"/>
  <c r="B397" i="24"/>
  <c r="C397" i="24" s="1"/>
  <c r="J396" i="24"/>
  <c r="I396" i="24"/>
  <c r="C396" i="24"/>
  <c r="B396" i="24"/>
  <c r="J395" i="24"/>
  <c r="I395" i="24"/>
  <c r="B395" i="24"/>
  <c r="C395" i="24" s="1"/>
  <c r="J394" i="24"/>
  <c r="I394" i="24"/>
  <c r="B394" i="24"/>
  <c r="C394" i="24" s="1"/>
  <c r="I393" i="24"/>
  <c r="J393" i="24" s="1"/>
  <c r="B393" i="24"/>
  <c r="C393" i="24" s="1"/>
  <c r="I392" i="24"/>
  <c r="J392" i="24" s="1"/>
  <c r="C392" i="24"/>
  <c r="B392" i="24"/>
  <c r="J391" i="24"/>
  <c r="I391" i="24"/>
  <c r="B391" i="24"/>
  <c r="C391" i="24" s="1"/>
  <c r="I390" i="24"/>
  <c r="J390" i="24" s="1"/>
  <c r="C390" i="24"/>
  <c r="B390" i="24"/>
  <c r="I389" i="24"/>
  <c r="J389" i="24" s="1"/>
  <c r="B389" i="24"/>
  <c r="C389" i="24" s="1"/>
  <c r="J388" i="24"/>
  <c r="I388" i="24"/>
  <c r="B388" i="24"/>
  <c r="C388" i="24" s="1"/>
  <c r="J387" i="24"/>
  <c r="I387" i="24"/>
  <c r="B387" i="24"/>
  <c r="C387" i="24" s="1"/>
  <c r="I386" i="24"/>
  <c r="J386" i="24" s="1"/>
  <c r="B386" i="24"/>
  <c r="C386" i="24" s="1"/>
  <c r="J385" i="24"/>
  <c r="I385" i="24"/>
  <c r="B385" i="24"/>
  <c r="C385" i="24" s="1"/>
  <c r="J384" i="24"/>
  <c r="I384" i="24"/>
  <c r="C384" i="24"/>
  <c r="B384" i="24"/>
  <c r="I383" i="24"/>
  <c r="J383" i="24" s="1"/>
  <c r="B383" i="24"/>
  <c r="C383" i="24" s="1"/>
  <c r="I382" i="24"/>
  <c r="J382" i="24" s="1"/>
  <c r="B382" i="24"/>
  <c r="C382" i="24" s="1"/>
  <c r="I381" i="24"/>
  <c r="J381" i="24" s="1"/>
  <c r="B381" i="24"/>
  <c r="C381" i="24" s="1"/>
  <c r="J380" i="24"/>
  <c r="I380" i="24"/>
  <c r="C380" i="24"/>
  <c r="B380" i="24"/>
  <c r="J379" i="24"/>
  <c r="I379" i="24"/>
  <c r="B379" i="24"/>
  <c r="C379" i="24" s="1"/>
  <c r="J378" i="24"/>
  <c r="I378" i="24"/>
  <c r="B378" i="24"/>
  <c r="C378" i="24" s="1"/>
  <c r="I377" i="24"/>
  <c r="J377" i="24" s="1"/>
  <c r="B377" i="24"/>
  <c r="C377" i="24" s="1"/>
  <c r="I376" i="24"/>
  <c r="J376" i="24" s="1"/>
  <c r="C376" i="24"/>
  <c r="B376" i="24"/>
  <c r="J375" i="24"/>
  <c r="I375" i="24"/>
  <c r="B375" i="24"/>
  <c r="C375" i="24" s="1"/>
  <c r="I374" i="24"/>
  <c r="J374" i="24" s="1"/>
  <c r="C374" i="24"/>
  <c r="B374" i="24"/>
  <c r="I373" i="24"/>
  <c r="J373" i="24" s="1"/>
  <c r="B373" i="24"/>
  <c r="C373" i="24" s="1"/>
  <c r="J372" i="24"/>
  <c r="I372" i="24"/>
  <c r="B372" i="24"/>
  <c r="C372" i="24" s="1"/>
  <c r="J371" i="24"/>
  <c r="I371" i="24"/>
  <c r="B371" i="24"/>
  <c r="C371" i="24" s="1"/>
  <c r="I370" i="24"/>
  <c r="J370" i="24" s="1"/>
  <c r="B370" i="24"/>
  <c r="C370" i="24" s="1"/>
  <c r="J369" i="24"/>
  <c r="I369" i="24"/>
  <c r="B369" i="24"/>
  <c r="C369" i="24" s="1"/>
  <c r="J368" i="24"/>
  <c r="I368" i="24"/>
  <c r="C368" i="24"/>
  <c r="B368" i="24"/>
  <c r="I367" i="24"/>
  <c r="J367" i="24" s="1"/>
  <c r="B367" i="24"/>
  <c r="C367" i="24" s="1"/>
  <c r="I366" i="24"/>
  <c r="J366" i="24" s="1"/>
  <c r="B366" i="24"/>
  <c r="C366" i="24" s="1"/>
  <c r="I365" i="24"/>
  <c r="J365" i="24" s="1"/>
  <c r="B365" i="24"/>
  <c r="C365" i="24" s="1"/>
  <c r="J364" i="24"/>
  <c r="I364" i="24"/>
  <c r="C364" i="24"/>
  <c r="B364" i="24"/>
  <c r="J363" i="24"/>
  <c r="I363" i="24"/>
  <c r="B363" i="24"/>
  <c r="C363" i="24" s="1"/>
  <c r="J362" i="24"/>
  <c r="I362" i="24"/>
  <c r="B362" i="24"/>
  <c r="C362" i="24" s="1"/>
  <c r="I361" i="24"/>
  <c r="J361" i="24" s="1"/>
  <c r="B361" i="24"/>
  <c r="C361" i="24" s="1"/>
  <c r="I360" i="24"/>
  <c r="J360" i="24" s="1"/>
  <c r="C360" i="24"/>
  <c r="B360" i="24"/>
  <c r="J359" i="24"/>
  <c r="I359" i="24"/>
  <c r="B359" i="24"/>
  <c r="C359" i="24" s="1"/>
  <c r="I358" i="24"/>
  <c r="J358" i="24" s="1"/>
  <c r="C358" i="24"/>
  <c r="B358" i="24"/>
  <c r="I357" i="24"/>
  <c r="J357" i="24" s="1"/>
  <c r="B357" i="24"/>
  <c r="C357" i="24" s="1"/>
  <c r="J356" i="24"/>
  <c r="I356" i="24"/>
  <c r="B356" i="24"/>
  <c r="C356" i="24" s="1"/>
  <c r="J355" i="24"/>
  <c r="I355" i="24"/>
  <c r="B355" i="24"/>
  <c r="C355" i="24" s="1"/>
  <c r="I354" i="24"/>
  <c r="J354" i="24" s="1"/>
  <c r="B354" i="24"/>
  <c r="C354" i="24" s="1"/>
  <c r="J353" i="24"/>
  <c r="I353" i="24"/>
  <c r="B353" i="24"/>
  <c r="C353" i="24" s="1"/>
  <c r="J352" i="24"/>
  <c r="I352" i="24"/>
  <c r="C352" i="24"/>
  <c r="B352" i="24"/>
  <c r="I351" i="24"/>
  <c r="J351" i="24" s="1"/>
  <c r="B351" i="24"/>
  <c r="C351" i="24" s="1"/>
  <c r="I350" i="24"/>
  <c r="J350" i="24" s="1"/>
  <c r="B350" i="24"/>
  <c r="C350" i="24" s="1"/>
  <c r="I349" i="24"/>
  <c r="J349" i="24" s="1"/>
  <c r="B349" i="24"/>
  <c r="C349" i="24" s="1"/>
  <c r="J348" i="24"/>
  <c r="I348" i="24"/>
  <c r="C348" i="24"/>
  <c r="B348" i="24"/>
  <c r="J347" i="24"/>
  <c r="I347" i="24"/>
  <c r="B347" i="24"/>
  <c r="C347" i="24" s="1"/>
  <c r="J346" i="24"/>
  <c r="I346" i="24"/>
  <c r="B346" i="24"/>
  <c r="C346" i="24" s="1"/>
  <c r="I345" i="24"/>
  <c r="J345" i="24" s="1"/>
  <c r="B345" i="24"/>
  <c r="C345" i="24" s="1"/>
  <c r="J344" i="24"/>
  <c r="I344" i="24"/>
  <c r="C344" i="24"/>
  <c r="B344" i="24"/>
  <c r="J343" i="24"/>
  <c r="I343" i="24"/>
  <c r="B343" i="24"/>
  <c r="C343" i="24" s="1"/>
  <c r="I342" i="24"/>
  <c r="J342" i="24" s="1"/>
  <c r="C342" i="24"/>
  <c r="B342" i="24"/>
  <c r="I341" i="24"/>
  <c r="J341" i="24" s="1"/>
  <c r="B341" i="24"/>
  <c r="C341" i="24" s="1"/>
  <c r="J340" i="24"/>
  <c r="I340" i="24"/>
  <c r="C340" i="24"/>
  <c r="B340" i="24"/>
  <c r="J339" i="24"/>
  <c r="I339" i="24"/>
  <c r="B339" i="24"/>
  <c r="C339" i="24" s="1"/>
  <c r="I338" i="24"/>
  <c r="J338" i="24" s="1"/>
  <c r="B338" i="24"/>
  <c r="C338" i="24" s="1"/>
  <c r="I337" i="24"/>
  <c r="J337" i="24" s="1"/>
  <c r="B337" i="24"/>
  <c r="C337" i="24" s="1"/>
  <c r="J336" i="24"/>
  <c r="I336" i="24"/>
  <c r="C336" i="24"/>
  <c r="B336" i="24"/>
  <c r="J335" i="24"/>
  <c r="I335" i="24"/>
  <c r="B335" i="24"/>
  <c r="C335" i="24" s="1"/>
  <c r="I334" i="24"/>
  <c r="J334" i="24" s="1"/>
  <c r="B334" i="24"/>
  <c r="C334" i="24" s="1"/>
  <c r="I333" i="24"/>
  <c r="J333" i="24" s="1"/>
  <c r="B333" i="24"/>
  <c r="C333" i="24" s="1"/>
  <c r="J332" i="24"/>
  <c r="I332" i="24"/>
  <c r="C332" i="24"/>
  <c r="B332" i="24"/>
  <c r="J331" i="24"/>
  <c r="I331" i="24"/>
  <c r="B331" i="24"/>
  <c r="C331" i="24" s="1"/>
  <c r="J330" i="24"/>
  <c r="I330" i="24"/>
  <c r="B330" i="24"/>
  <c r="C330" i="24" s="1"/>
  <c r="I329" i="24"/>
  <c r="J329" i="24" s="1"/>
  <c r="B329" i="24"/>
  <c r="C329" i="24" s="1"/>
  <c r="I328" i="24"/>
  <c r="J328" i="24" s="1"/>
  <c r="C328" i="24"/>
  <c r="B328" i="24"/>
  <c r="J327" i="24"/>
  <c r="I327" i="24"/>
  <c r="B327" i="24"/>
  <c r="C327" i="24" s="1"/>
  <c r="I326" i="24"/>
  <c r="J326" i="24" s="1"/>
  <c r="B326" i="24"/>
  <c r="C326" i="24" s="1"/>
  <c r="I325" i="24"/>
  <c r="J325" i="24" s="1"/>
  <c r="B325" i="24"/>
  <c r="C325" i="24" s="1"/>
  <c r="J324" i="24"/>
  <c r="I324" i="24"/>
  <c r="B324" i="24"/>
  <c r="C324" i="24" s="1"/>
  <c r="J323" i="24"/>
  <c r="I323" i="24"/>
  <c r="B323" i="24"/>
  <c r="C323" i="24" s="1"/>
  <c r="I322" i="24"/>
  <c r="J322" i="24" s="1"/>
  <c r="B322" i="24"/>
  <c r="C322" i="24" s="1"/>
  <c r="I321" i="24"/>
  <c r="J321" i="24" s="1"/>
  <c r="B321" i="24"/>
  <c r="C321" i="24" s="1"/>
  <c r="J320" i="24"/>
  <c r="I320" i="24"/>
  <c r="C320" i="24"/>
  <c r="B320" i="24"/>
  <c r="I319" i="24"/>
  <c r="J319" i="24" s="1"/>
  <c r="B319" i="24"/>
  <c r="C319" i="24" s="1"/>
  <c r="I318" i="24"/>
  <c r="J318" i="24" s="1"/>
  <c r="B318" i="24"/>
  <c r="C318" i="24" s="1"/>
  <c r="I317" i="24"/>
  <c r="J317" i="24" s="1"/>
  <c r="B317" i="24"/>
  <c r="C317" i="24" s="1"/>
  <c r="J316" i="24"/>
  <c r="I316" i="24"/>
  <c r="C316" i="24"/>
  <c r="B316" i="24"/>
  <c r="J315" i="24"/>
  <c r="I315" i="24"/>
  <c r="B315" i="24"/>
  <c r="C315" i="24" s="1"/>
  <c r="I314" i="24"/>
  <c r="J314" i="24" s="1"/>
  <c r="B314" i="24"/>
  <c r="C314" i="24" s="1"/>
  <c r="I313" i="24"/>
  <c r="J313" i="24" s="1"/>
  <c r="B313" i="24"/>
  <c r="C313" i="24" s="1"/>
  <c r="J312" i="24"/>
  <c r="I312" i="24"/>
  <c r="B312" i="24"/>
  <c r="C312" i="24" s="1"/>
  <c r="I311" i="24"/>
  <c r="J311" i="24" s="1"/>
  <c r="B311" i="24"/>
  <c r="C311" i="24" s="1"/>
  <c r="I310" i="24"/>
  <c r="J310" i="24" s="1"/>
  <c r="B310" i="24"/>
  <c r="C310" i="24" s="1"/>
  <c r="I309" i="24"/>
  <c r="J309" i="24" s="1"/>
  <c r="B309" i="24"/>
  <c r="C309" i="24" s="1"/>
  <c r="J308" i="24"/>
  <c r="I308" i="24"/>
  <c r="B308" i="24"/>
  <c r="C308" i="24" s="1"/>
  <c r="I307" i="24"/>
  <c r="J307" i="24" s="1"/>
  <c r="B307" i="24"/>
  <c r="C307" i="24" s="1"/>
  <c r="I306" i="24"/>
  <c r="J306" i="24" s="1"/>
  <c r="B306" i="24"/>
  <c r="C306" i="24" s="1"/>
  <c r="I305" i="24"/>
  <c r="J305" i="24" s="1"/>
  <c r="B305" i="24"/>
  <c r="C305" i="24" s="1"/>
  <c r="J304" i="24"/>
  <c r="I304" i="24"/>
  <c r="B304" i="24"/>
  <c r="C304" i="24" s="1"/>
  <c r="I303" i="24"/>
  <c r="J303" i="24" s="1"/>
  <c r="B303" i="24"/>
  <c r="C303" i="24" s="1"/>
  <c r="I302" i="24"/>
  <c r="J302" i="24" s="1"/>
  <c r="B302" i="24"/>
  <c r="C302" i="24" s="1"/>
  <c r="I301" i="24"/>
  <c r="J301" i="24" s="1"/>
  <c r="B301" i="24"/>
  <c r="C301" i="24" s="1"/>
  <c r="I300" i="24"/>
  <c r="J300" i="24" s="1"/>
  <c r="B300" i="24"/>
  <c r="C300" i="24" s="1"/>
  <c r="I299" i="24"/>
  <c r="J299" i="24" s="1"/>
  <c r="B299" i="24"/>
  <c r="C299" i="24" s="1"/>
  <c r="I298" i="24"/>
  <c r="J298" i="24" s="1"/>
  <c r="B298" i="24"/>
  <c r="C298" i="24" s="1"/>
  <c r="I297" i="24"/>
  <c r="J297" i="24" s="1"/>
  <c r="B297" i="24"/>
  <c r="C297" i="24" s="1"/>
  <c r="J296" i="24"/>
  <c r="I296" i="24"/>
  <c r="B296" i="24"/>
  <c r="C296" i="24" s="1"/>
  <c r="I295" i="24"/>
  <c r="J295" i="24" s="1"/>
  <c r="B295" i="24"/>
  <c r="C295" i="24" s="1"/>
  <c r="I294" i="24"/>
  <c r="J294" i="24" s="1"/>
  <c r="B294" i="24"/>
  <c r="C294" i="24" s="1"/>
  <c r="I293" i="24"/>
  <c r="J293" i="24" s="1"/>
  <c r="B293" i="24"/>
  <c r="C293" i="24" s="1"/>
  <c r="J292" i="24"/>
  <c r="I292" i="24"/>
  <c r="B292" i="24"/>
  <c r="C292" i="24" s="1"/>
  <c r="I291" i="24"/>
  <c r="J291" i="24" s="1"/>
  <c r="B291" i="24"/>
  <c r="C291" i="24" s="1"/>
  <c r="I290" i="24"/>
  <c r="J290" i="24" s="1"/>
  <c r="B290" i="24"/>
  <c r="C290" i="24" s="1"/>
  <c r="I289" i="24"/>
  <c r="J289" i="24" s="1"/>
  <c r="B289" i="24"/>
  <c r="C289" i="24" s="1"/>
  <c r="J288" i="24"/>
  <c r="I288" i="24"/>
  <c r="B288" i="24"/>
  <c r="C288" i="24" s="1"/>
  <c r="I287" i="24"/>
  <c r="J287" i="24" s="1"/>
  <c r="B287" i="24"/>
  <c r="C287" i="24" s="1"/>
  <c r="I286" i="24"/>
  <c r="J286" i="24" s="1"/>
  <c r="B286" i="24"/>
  <c r="C286" i="24" s="1"/>
  <c r="I285" i="24"/>
  <c r="J285" i="24" s="1"/>
  <c r="B285" i="24"/>
  <c r="C285" i="24" s="1"/>
  <c r="I284" i="24"/>
  <c r="J284" i="24" s="1"/>
  <c r="B284" i="24"/>
  <c r="C284" i="24" s="1"/>
  <c r="I283" i="24"/>
  <c r="J283" i="24" s="1"/>
  <c r="B283" i="24"/>
  <c r="C283" i="24" s="1"/>
  <c r="I282" i="24"/>
  <c r="J282" i="24" s="1"/>
  <c r="B282" i="24"/>
  <c r="C282" i="24" s="1"/>
  <c r="I281" i="24"/>
  <c r="J281" i="24" s="1"/>
  <c r="B281" i="24"/>
  <c r="C281" i="24" s="1"/>
  <c r="J280" i="24"/>
  <c r="I280" i="24"/>
  <c r="B280" i="24"/>
  <c r="C280" i="24" s="1"/>
  <c r="I279" i="24"/>
  <c r="J279" i="24" s="1"/>
  <c r="B279" i="24"/>
  <c r="C279" i="24" s="1"/>
  <c r="I278" i="24"/>
  <c r="J278" i="24" s="1"/>
  <c r="B278" i="24"/>
  <c r="C278" i="24" s="1"/>
  <c r="I277" i="24"/>
  <c r="J277" i="24" s="1"/>
  <c r="B277" i="24"/>
  <c r="C277" i="24" s="1"/>
  <c r="J276" i="24"/>
  <c r="I276" i="24"/>
  <c r="B276" i="24"/>
  <c r="C276" i="24" s="1"/>
  <c r="I275" i="24"/>
  <c r="J275" i="24" s="1"/>
  <c r="B275" i="24"/>
  <c r="C275" i="24" s="1"/>
  <c r="I274" i="24"/>
  <c r="J274" i="24" s="1"/>
  <c r="B274" i="24"/>
  <c r="C274" i="24" s="1"/>
  <c r="I273" i="24"/>
  <c r="J273" i="24" s="1"/>
  <c r="B273" i="24"/>
  <c r="C273" i="24" s="1"/>
  <c r="J272" i="24"/>
  <c r="I272" i="24"/>
  <c r="B272" i="24"/>
  <c r="C272" i="24" s="1"/>
  <c r="I271" i="24"/>
  <c r="J271" i="24" s="1"/>
  <c r="B271" i="24"/>
  <c r="C271" i="24" s="1"/>
  <c r="I270" i="24"/>
  <c r="J270" i="24" s="1"/>
  <c r="B270" i="24"/>
  <c r="C270" i="24" s="1"/>
  <c r="I269" i="24"/>
  <c r="J269" i="24" s="1"/>
  <c r="B269" i="24"/>
  <c r="C269" i="24" s="1"/>
  <c r="I268" i="24"/>
  <c r="J268" i="24" s="1"/>
  <c r="B268" i="24"/>
  <c r="C268" i="24" s="1"/>
  <c r="I267" i="24"/>
  <c r="J267" i="24" s="1"/>
  <c r="B267" i="24"/>
  <c r="C267" i="24" s="1"/>
  <c r="I266" i="24"/>
  <c r="J266" i="24" s="1"/>
  <c r="B266" i="24"/>
  <c r="C266" i="24" s="1"/>
  <c r="I265" i="24"/>
  <c r="J265" i="24" s="1"/>
  <c r="B265" i="24"/>
  <c r="C265" i="24" s="1"/>
  <c r="J264" i="24"/>
  <c r="I264" i="24"/>
  <c r="B264" i="24"/>
  <c r="C264" i="24" s="1"/>
  <c r="I263" i="24"/>
  <c r="J263" i="24" s="1"/>
  <c r="B263" i="24"/>
  <c r="C263" i="24" s="1"/>
  <c r="I262" i="24"/>
  <c r="J262" i="24" s="1"/>
  <c r="B262" i="24"/>
  <c r="C262" i="24" s="1"/>
  <c r="I261" i="24"/>
  <c r="J261" i="24" s="1"/>
  <c r="B261" i="24"/>
  <c r="C261" i="24" s="1"/>
  <c r="J260" i="24"/>
  <c r="I260" i="24"/>
  <c r="B260" i="24"/>
  <c r="C260" i="24" s="1"/>
  <c r="I259" i="24"/>
  <c r="J259" i="24" s="1"/>
  <c r="B259" i="24"/>
  <c r="C259" i="24" s="1"/>
  <c r="I258" i="24"/>
  <c r="J258" i="24" s="1"/>
  <c r="B258" i="24"/>
  <c r="C258" i="24" s="1"/>
  <c r="I257" i="24"/>
  <c r="J257" i="24" s="1"/>
  <c r="B257" i="24"/>
  <c r="C257" i="24" s="1"/>
  <c r="J256" i="24"/>
  <c r="I256" i="24"/>
  <c r="B256" i="24"/>
  <c r="C256" i="24" s="1"/>
  <c r="I255" i="24"/>
  <c r="J255" i="24" s="1"/>
  <c r="B255" i="24"/>
  <c r="C255" i="24" s="1"/>
  <c r="I254" i="24"/>
  <c r="J254" i="24" s="1"/>
  <c r="B254" i="24"/>
  <c r="C254" i="24" s="1"/>
  <c r="I253" i="24"/>
  <c r="J253" i="24" s="1"/>
  <c r="B253" i="24"/>
  <c r="C253" i="24" s="1"/>
  <c r="I252" i="24"/>
  <c r="J252" i="24" s="1"/>
  <c r="B252" i="24"/>
  <c r="C252" i="24" s="1"/>
  <c r="I251" i="24"/>
  <c r="J251" i="24" s="1"/>
  <c r="B251" i="24"/>
  <c r="C251" i="24" s="1"/>
  <c r="I250" i="24"/>
  <c r="J250" i="24" s="1"/>
  <c r="B250" i="24"/>
  <c r="C250" i="24" s="1"/>
  <c r="I249" i="24"/>
  <c r="J249" i="24" s="1"/>
  <c r="B249" i="24"/>
  <c r="C249" i="24" s="1"/>
  <c r="J248" i="24"/>
  <c r="I248" i="24"/>
  <c r="B248" i="24"/>
  <c r="C248" i="24" s="1"/>
  <c r="I247" i="24"/>
  <c r="J247" i="24" s="1"/>
  <c r="B247" i="24"/>
  <c r="C247" i="24" s="1"/>
  <c r="I246" i="24"/>
  <c r="J246" i="24" s="1"/>
  <c r="B246" i="24"/>
  <c r="C246" i="24" s="1"/>
  <c r="I245" i="24"/>
  <c r="J245" i="24" s="1"/>
  <c r="B245" i="24"/>
  <c r="C245" i="24" s="1"/>
  <c r="J244" i="24"/>
  <c r="I244" i="24"/>
  <c r="B244" i="24"/>
  <c r="C244" i="24" s="1"/>
  <c r="I243" i="24"/>
  <c r="J243" i="24" s="1"/>
  <c r="B243" i="24"/>
  <c r="C243" i="24" s="1"/>
  <c r="I242" i="24"/>
  <c r="J242" i="24" s="1"/>
  <c r="B242" i="24"/>
  <c r="C242" i="24" s="1"/>
  <c r="I241" i="24"/>
  <c r="J241" i="24" s="1"/>
  <c r="B241" i="24"/>
  <c r="C241" i="24" s="1"/>
  <c r="J240" i="24"/>
  <c r="I240" i="24"/>
  <c r="B240" i="24"/>
  <c r="C240" i="24" s="1"/>
  <c r="I239" i="24"/>
  <c r="J239" i="24" s="1"/>
  <c r="B239" i="24"/>
  <c r="C239" i="24" s="1"/>
  <c r="I238" i="24"/>
  <c r="J238" i="24" s="1"/>
  <c r="B238" i="24"/>
  <c r="C238" i="24" s="1"/>
  <c r="I237" i="24"/>
  <c r="J237" i="24" s="1"/>
  <c r="B237" i="24"/>
  <c r="C237" i="24" s="1"/>
  <c r="I236" i="24"/>
  <c r="J236" i="24" s="1"/>
  <c r="B236" i="24"/>
  <c r="C236" i="24" s="1"/>
  <c r="I235" i="24"/>
  <c r="J235" i="24" s="1"/>
  <c r="B235" i="24"/>
  <c r="C235" i="24" s="1"/>
  <c r="I234" i="24"/>
  <c r="J234" i="24" s="1"/>
  <c r="B234" i="24"/>
  <c r="C234" i="24" s="1"/>
  <c r="I233" i="24"/>
  <c r="J233" i="24" s="1"/>
  <c r="B233" i="24"/>
  <c r="C233" i="24" s="1"/>
  <c r="J232" i="24"/>
  <c r="I232" i="24"/>
  <c r="B232" i="24"/>
  <c r="C232" i="24" s="1"/>
  <c r="I231" i="24"/>
  <c r="J231" i="24" s="1"/>
  <c r="B231" i="24"/>
  <c r="C231" i="24" s="1"/>
  <c r="I230" i="24"/>
  <c r="J230" i="24" s="1"/>
  <c r="B230" i="24"/>
  <c r="C230" i="24" s="1"/>
  <c r="I229" i="24"/>
  <c r="J229" i="24" s="1"/>
  <c r="B229" i="24"/>
  <c r="C229" i="24" s="1"/>
  <c r="J228" i="24"/>
  <c r="I228" i="24"/>
  <c r="B228" i="24"/>
  <c r="C228" i="24" s="1"/>
  <c r="I227" i="24"/>
  <c r="J227" i="24" s="1"/>
  <c r="B227" i="24"/>
  <c r="C227" i="24" s="1"/>
  <c r="I226" i="24"/>
  <c r="J226" i="24" s="1"/>
  <c r="B226" i="24"/>
  <c r="C226" i="24" s="1"/>
  <c r="I225" i="24"/>
  <c r="J225" i="24" s="1"/>
  <c r="B225" i="24"/>
  <c r="C225" i="24" s="1"/>
  <c r="J224" i="24"/>
  <c r="I224" i="24"/>
  <c r="B224" i="24"/>
  <c r="C224" i="24" s="1"/>
  <c r="I223" i="24"/>
  <c r="J223" i="24" s="1"/>
  <c r="B223" i="24"/>
  <c r="C223" i="24" s="1"/>
  <c r="I222" i="24"/>
  <c r="J222" i="24" s="1"/>
  <c r="B222" i="24"/>
  <c r="C222" i="24" s="1"/>
  <c r="I221" i="24"/>
  <c r="J221" i="24" s="1"/>
  <c r="B221" i="24"/>
  <c r="C221" i="24" s="1"/>
  <c r="I220" i="24"/>
  <c r="J220" i="24" s="1"/>
  <c r="B220" i="24"/>
  <c r="C220" i="24" s="1"/>
  <c r="I219" i="24"/>
  <c r="J219" i="24" s="1"/>
  <c r="B219" i="24"/>
  <c r="C219" i="24" s="1"/>
  <c r="I218" i="24"/>
  <c r="J218" i="24" s="1"/>
  <c r="B218" i="24"/>
  <c r="C218" i="24" s="1"/>
  <c r="I217" i="24"/>
  <c r="J217" i="24" s="1"/>
  <c r="B217" i="24"/>
  <c r="C217" i="24" s="1"/>
  <c r="J216" i="24"/>
  <c r="I216" i="24"/>
  <c r="B216" i="24"/>
  <c r="C216" i="24" s="1"/>
  <c r="I215" i="24"/>
  <c r="J215" i="24" s="1"/>
  <c r="B215" i="24"/>
  <c r="C215" i="24" s="1"/>
  <c r="I214" i="24"/>
  <c r="J214" i="24" s="1"/>
  <c r="B214" i="24"/>
  <c r="C214" i="24" s="1"/>
  <c r="I213" i="24"/>
  <c r="J213" i="24" s="1"/>
  <c r="B213" i="24"/>
  <c r="C213" i="24" s="1"/>
  <c r="J212" i="24"/>
  <c r="I212" i="24"/>
  <c r="B212" i="24"/>
  <c r="C212" i="24" s="1"/>
  <c r="I211" i="24"/>
  <c r="J211" i="24" s="1"/>
  <c r="B211" i="24"/>
  <c r="C211" i="24" s="1"/>
  <c r="I210" i="24"/>
  <c r="J210" i="24" s="1"/>
  <c r="B210" i="24"/>
  <c r="C210" i="24" s="1"/>
  <c r="I209" i="24"/>
  <c r="J209" i="24" s="1"/>
  <c r="B209" i="24"/>
  <c r="C209" i="24" s="1"/>
  <c r="J208" i="24"/>
  <c r="I208" i="24"/>
  <c r="B208" i="24"/>
  <c r="C208" i="24" s="1"/>
  <c r="I207" i="24"/>
  <c r="J207" i="24" s="1"/>
  <c r="B207" i="24"/>
  <c r="C207" i="24" s="1"/>
  <c r="I206" i="24"/>
  <c r="J206" i="24" s="1"/>
  <c r="B206" i="24"/>
  <c r="C206" i="24" s="1"/>
  <c r="I205" i="24"/>
  <c r="J205" i="24" s="1"/>
  <c r="B205" i="24"/>
  <c r="C205" i="24" s="1"/>
  <c r="I204" i="24"/>
  <c r="J204" i="24" s="1"/>
  <c r="B204" i="24"/>
  <c r="C204" i="24" s="1"/>
  <c r="I203" i="24"/>
  <c r="J203" i="24" s="1"/>
  <c r="B203" i="24"/>
  <c r="C203" i="24" s="1"/>
  <c r="I202" i="24"/>
  <c r="J202" i="24" s="1"/>
  <c r="B202" i="24"/>
  <c r="C202" i="24" s="1"/>
  <c r="I201" i="24"/>
  <c r="J201" i="24" s="1"/>
  <c r="B201" i="24"/>
  <c r="C201" i="24" s="1"/>
  <c r="J200" i="24"/>
  <c r="I200" i="24"/>
  <c r="B200" i="24"/>
  <c r="C200" i="24" s="1"/>
  <c r="I199" i="24"/>
  <c r="J199" i="24" s="1"/>
  <c r="B199" i="24"/>
  <c r="C199" i="24" s="1"/>
  <c r="I198" i="24"/>
  <c r="J198" i="24" s="1"/>
  <c r="B198" i="24"/>
  <c r="C198" i="24" s="1"/>
  <c r="I197" i="24"/>
  <c r="J197" i="24" s="1"/>
  <c r="B197" i="24"/>
  <c r="C197" i="24" s="1"/>
  <c r="J196" i="24"/>
  <c r="I196" i="24"/>
  <c r="B196" i="24"/>
  <c r="C196" i="24" s="1"/>
  <c r="I195" i="24"/>
  <c r="J195" i="24" s="1"/>
  <c r="B195" i="24"/>
  <c r="C195" i="24" s="1"/>
  <c r="I194" i="24"/>
  <c r="J194" i="24" s="1"/>
  <c r="B194" i="24"/>
  <c r="C194" i="24" s="1"/>
  <c r="I193" i="24"/>
  <c r="J193" i="24" s="1"/>
  <c r="B193" i="24"/>
  <c r="C193" i="24" s="1"/>
  <c r="J192" i="24"/>
  <c r="I192" i="24"/>
  <c r="B192" i="24"/>
  <c r="C192" i="24" s="1"/>
  <c r="I191" i="24"/>
  <c r="J191" i="24" s="1"/>
  <c r="B191" i="24"/>
  <c r="C191" i="24" s="1"/>
  <c r="I190" i="24"/>
  <c r="J190" i="24" s="1"/>
  <c r="B190" i="24"/>
  <c r="C190" i="24" s="1"/>
  <c r="I189" i="24"/>
  <c r="J189" i="24" s="1"/>
  <c r="B189" i="24"/>
  <c r="C189" i="24" s="1"/>
  <c r="I188" i="24"/>
  <c r="J188" i="24" s="1"/>
  <c r="B188" i="24"/>
  <c r="C188" i="24" s="1"/>
  <c r="I187" i="24"/>
  <c r="J187" i="24" s="1"/>
  <c r="B187" i="24"/>
  <c r="C187" i="24" s="1"/>
  <c r="I186" i="24"/>
  <c r="J186" i="24" s="1"/>
  <c r="B186" i="24"/>
  <c r="C186" i="24" s="1"/>
  <c r="I185" i="24"/>
  <c r="J185" i="24" s="1"/>
  <c r="B185" i="24"/>
  <c r="C185" i="24" s="1"/>
  <c r="J184" i="24"/>
  <c r="I184" i="24"/>
  <c r="B184" i="24"/>
  <c r="C184" i="24" s="1"/>
  <c r="I183" i="24"/>
  <c r="J183" i="24" s="1"/>
  <c r="B183" i="24"/>
  <c r="C183" i="24" s="1"/>
  <c r="I182" i="24"/>
  <c r="J182" i="24" s="1"/>
  <c r="B182" i="24"/>
  <c r="C182" i="24" s="1"/>
  <c r="I181" i="24"/>
  <c r="J181" i="24" s="1"/>
  <c r="B181" i="24"/>
  <c r="C181" i="24" s="1"/>
  <c r="J180" i="24"/>
  <c r="I180" i="24"/>
  <c r="B180" i="24"/>
  <c r="C180" i="24" s="1"/>
  <c r="I179" i="24"/>
  <c r="J179" i="24" s="1"/>
  <c r="B179" i="24"/>
  <c r="C179" i="24" s="1"/>
  <c r="I178" i="24"/>
  <c r="J178" i="24" s="1"/>
  <c r="B178" i="24"/>
  <c r="C178" i="24" s="1"/>
  <c r="I177" i="24"/>
  <c r="J177" i="24" s="1"/>
  <c r="B177" i="24"/>
  <c r="C177" i="24" s="1"/>
  <c r="J176" i="24"/>
  <c r="I176" i="24"/>
  <c r="B176" i="24"/>
  <c r="C176" i="24" s="1"/>
  <c r="I175" i="24"/>
  <c r="J175" i="24" s="1"/>
  <c r="B175" i="24"/>
  <c r="C175" i="24" s="1"/>
  <c r="I174" i="24"/>
  <c r="J174" i="24" s="1"/>
  <c r="B174" i="24"/>
  <c r="C174" i="24" s="1"/>
  <c r="I173" i="24"/>
  <c r="J173" i="24" s="1"/>
  <c r="B173" i="24"/>
  <c r="C173" i="24" s="1"/>
  <c r="I172" i="24"/>
  <c r="J172" i="24" s="1"/>
  <c r="B172" i="24"/>
  <c r="C172" i="24" s="1"/>
  <c r="I171" i="24"/>
  <c r="J171" i="24" s="1"/>
  <c r="B171" i="24"/>
  <c r="C171" i="24" s="1"/>
  <c r="I170" i="24"/>
  <c r="J170" i="24" s="1"/>
  <c r="B170" i="24"/>
  <c r="C170" i="24" s="1"/>
  <c r="I169" i="24"/>
  <c r="J169" i="24" s="1"/>
  <c r="B169" i="24"/>
  <c r="C169" i="24" s="1"/>
  <c r="J168" i="24"/>
  <c r="I168" i="24"/>
  <c r="B168" i="24"/>
  <c r="C168" i="24" s="1"/>
  <c r="I167" i="24"/>
  <c r="J167" i="24" s="1"/>
  <c r="B167" i="24"/>
  <c r="C167" i="24" s="1"/>
  <c r="I166" i="24"/>
  <c r="J166" i="24" s="1"/>
  <c r="B166" i="24"/>
  <c r="C166" i="24" s="1"/>
  <c r="I165" i="24"/>
  <c r="J165" i="24" s="1"/>
  <c r="B165" i="24"/>
  <c r="C165" i="24" s="1"/>
  <c r="J164" i="24"/>
  <c r="I164" i="24"/>
  <c r="B164" i="24"/>
  <c r="C164" i="24" s="1"/>
  <c r="I163" i="24"/>
  <c r="J163" i="24" s="1"/>
  <c r="B163" i="24"/>
  <c r="C163" i="24" s="1"/>
  <c r="I162" i="24"/>
  <c r="J162" i="24" s="1"/>
  <c r="B162" i="24"/>
  <c r="C162" i="24" s="1"/>
  <c r="I161" i="24"/>
  <c r="J161" i="24" s="1"/>
  <c r="B161" i="24"/>
  <c r="C161" i="24" s="1"/>
  <c r="J160" i="24"/>
  <c r="I160" i="24"/>
  <c r="B160" i="24"/>
  <c r="C160" i="24" s="1"/>
  <c r="I159" i="24"/>
  <c r="J159" i="24" s="1"/>
  <c r="B159" i="24"/>
  <c r="C159" i="24" s="1"/>
  <c r="I158" i="24"/>
  <c r="J158" i="24" s="1"/>
  <c r="B158" i="24"/>
  <c r="C158" i="24" s="1"/>
  <c r="I157" i="24"/>
  <c r="J157" i="24" s="1"/>
  <c r="B157" i="24"/>
  <c r="C157" i="24" s="1"/>
  <c r="I156" i="24"/>
  <c r="J156" i="24" s="1"/>
  <c r="B156" i="24"/>
  <c r="C156" i="24" s="1"/>
  <c r="I155" i="24"/>
  <c r="J155" i="24" s="1"/>
  <c r="B155" i="24"/>
  <c r="C155" i="24" s="1"/>
  <c r="I154" i="24"/>
  <c r="J154" i="24" s="1"/>
  <c r="B154" i="24"/>
  <c r="C154" i="24" s="1"/>
  <c r="I153" i="24"/>
  <c r="J153" i="24" s="1"/>
  <c r="B153" i="24"/>
  <c r="C153" i="24" s="1"/>
  <c r="J152" i="24"/>
  <c r="I152" i="24"/>
  <c r="B152" i="24"/>
  <c r="C152" i="24" s="1"/>
  <c r="I151" i="24"/>
  <c r="J151" i="24" s="1"/>
  <c r="B151" i="24"/>
  <c r="C151" i="24" s="1"/>
  <c r="I150" i="24"/>
  <c r="J150" i="24" s="1"/>
  <c r="B150" i="24"/>
  <c r="C150" i="24" s="1"/>
  <c r="I149" i="24"/>
  <c r="J149" i="24" s="1"/>
  <c r="B149" i="24"/>
  <c r="C149" i="24" s="1"/>
  <c r="J148" i="24"/>
  <c r="I148" i="24"/>
  <c r="B148" i="24"/>
  <c r="C148" i="24" s="1"/>
  <c r="I147" i="24"/>
  <c r="J147" i="24" s="1"/>
  <c r="B147" i="24"/>
  <c r="C147" i="24" s="1"/>
  <c r="I146" i="24"/>
  <c r="J146" i="24" s="1"/>
  <c r="B146" i="24"/>
  <c r="C146" i="24" s="1"/>
  <c r="I145" i="24"/>
  <c r="J145" i="24" s="1"/>
  <c r="B145" i="24"/>
  <c r="C145" i="24" s="1"/>
  <c r="J144" i="24"/>
  <c r="I144" i="24"/>
  <c r="B144" i="24"/>
  <c r="C144" i="24" s="1"/>
  <c r="I143" i="24"/>
  <c r="J143" i="24" s="1"/>
  <c r="C143" i="24"/>
  <c r="B143" i="24"/>
  <c r="J142" i="24"/>
  <c r="I142" i="24"/>
  <c r="B142" i="24"/>
  <c r="C142" i="24" s="1"/>
  <c r="I141" i="24"/>
  <c r="J141" i="24" s="1"/>
  <c r="B141" i="24"/>
  <c r="C141" i="24" s="1"/>
  <c r="J140" i="24"/>
  <c r="I140" i="24"/>
  <c r="B140" i="24"/>
  <c r="C140" i="24" s="1"/>
  <c r="I139" i="24"/>
  <c r="J139" i="24" s="1"/>
  <c r="C139" i="24"/>
  <c r="B139" i="24"/>
  <c r="I138" i="24"/>
  <c r="J138" i="24" s="1"/>
  <c r="B138" i="24"/>
  <c r="C138" i="24" s="1"/>
  <c r="I137" i="24"/>
  <c r="J137" i="24" s="1"/>
  <c r="C137" i="24"/>
  <c r="B137" i="24"/>
  <c r="J136" i="24"/>
  <c r="I136" i="24"/>
  <c r="B136" i="24"/>
  <c r="C136" i="24" s="1"/>
  <c r="I135" i="24"/>
  <c r="J135" i="24" s="1"/>
  <c r="C135" i="24"/>
  <c r="B135" i="24"/>
  <c r="I134" i="24"/>
  <c r="J134" i="24" s="1"/>
  <c r="B134" i="24"/>
  <c r="C134" i="24" s="1"/>
  <c r="I133" i="24"/>
  <c r="J133" i="24" s="1"/>
  <c r="B133" i="24"/>
  <c r="C133" i="24" s="1"/>
  <c r="J132" i="24"/>
  <c r="I132" i="24"/>
  <c r="B132" i="24"/>
  <c r="C132" i="24" s="1"/>
  <c r="I131" i="24"/>
  <c r="J131" i="24" s="1"/>
  <c r="C131" i="24"/>
  <c r="B131" i="24"/>
  <c r="I130" i="24"/>
  <c r="J130" i="24" s="1"/>
  <c r="B130" i="24"/>
  <c r="C130" i="24" s="1"/>
  <c r="I129" i="24"/>
  <c r="J129" i="24" s="1"/>
  <c r="B129" i="24"/>
  <c r="C129" i="24" s="1"/>
  <c r="J128" i="24"/>
  <c r="I128" i="24"/>
  <c r="B128" i="24"/>
  <c r="C128" i="24" s="1"/>
  <c r="I127" i="24"/>
  <c r="J127" i="24" s="1"/>
  <c r="C127" i="24"/>
  <c r="B127" i="24"/>
  <c r="I126" i="24"/>
  <c r="J126" i="24" s="1"/>
  <c r="B126" i="24"/>
  <c r="C126" i="24" s="1"/>
  <c r="I125" i="24"/>
  <c r="J125" i="24" s="1"/>
  <c r="B125" i="24"/>
  <c r="C125" i="24" s="1"/>
  <c r="J124" i="24"/>
  <c r="I124" i="24"/>
  <c r="B124" i="24"/>
  <c r="C124" i="24" s="1"/>
  <c r="I123" i="24"/>
  <c r="J123" i="24" s="1"/>
  <c r="C123" i="24"/>
  <c r="B123" i="24"/>
  <c r="I122" i="24"/>
  <c r="J122" i="24" s="1"/>
  <c r="B122" i="24"/>
  <c r="C122" i="24" s="1"/>
  <c r="I121" i="24"/>
  <c r="J121" i="24" s="1"/>
  <c r="B121" i="24"/>
  <c r="C121" i="24" s="1"/>
  <c r="J120" i="24"/>
  <c r="I120" i="24"/>
  <c r="B120" i="24"/>
  <c r="C120" i="24" s="1"/>
  <c r="I119" i="24"/>
  <c r="J119" i="24" s="1"/>
  <c r="C119" i="24"/>
  <c r="B119" i="24"/>
  <c r="I118" i="24"/>
  <c r="J118" i="24" s="1"/>
  <c r="B118" i="24"/>
  <c r="C118" i="24" s="1"/>
  <c r="I117" i="24"/>
  <c r="J117" i="24" s="1"/>
  <c r="B117" i="24"/>
  <c r="C117" i="24" s="1"/>
  <c r="J116" i="24"/>
  <c r="I116" i="24"/>
  <c r="B116" i="24"/>
  <c r="C116" i="24" s="1"/>
  <c r="I115" i="24"/>
  <c r="J115" i="24" s="1"/>
  <c r="C115" i="24"/>
  <c r="B115" i="24"/>
  <c r="I114" i="24"/>
  <c r="J114" i="24" s="1"/>
  <c r="B114" i="24"/>
  <c r="C114" i="24" s="1"/>
  <c r="I113" i="24"/>
  <c r="J113" i="24" s="1"/>
  <c r="B113" i="24"/>
  <c r="C113" i="24" s="1"/>
  <c r="J112" i="24"/>
  <c r="I112" i="24"/>
  <c r="B112" i="24"/>
  <c r="C112" i="24" s="1"/>
  <c r="I111" i="24"/>
  <c r="J111" i="24" s="1"/>
  <c r="C111" i="24"/>
  <c r="B111" i="24"/>
  <c r="I110" i="24"/>
  <c r="J110" i="24" s="1"/>
  <c r="B110" i="24"/>
  <c r="C110" i="24" s="1"/>
  <c r="I109" i="24"/>
  <c r="J109" i="24" s="1"/>
  <c r="B109" i="24"/>
  <c r="C109" i="24" s="1"/>
  <c r="J108" i="24"/>
  <c r="I108" i="24"/>
  <c r="B108" i="24"/>
  <c r="C108" i="24" s="1"/>
  <c r="I107" i="24"/>
  <c r="J107" i="24" s="1"/>
  <c r="C107" i="24"/>
  <c r="B107" i="24"/>
  <c r="I106" i="24"/>
  <c r="J106" i="24" s="1"/>
  <c r="B106" i="24"/>
  <c r="C106" i="24" s="1"/>
  <c r="I105" i="24"/>
  <c r="J105" i="24" s="1"/>
  <c r="B105" i="24"/>
  <c r="C105" i="24" s="1"/>
  <c r="J104" i="24"/>
  <c r="I104" i="24"/>
  <c r="B104" i="24"/>
  <c r="C104" i="24" s="1"/>
  <c r="I103" i="24"/>
  <c r="J103" i="24" s="1"/>
  <c r="C103" i="24"/>
  <c r="B103" i="24"/>
  <c r="I102" i="24"/>
  <c r="J102" i="24" s="1"/>
  <c r="B102" i="24"/>
  <c r="C102" i="24" s="1"/>
  <c r="I101" i="24"/>
  <c r="J101" i="24" s="1"/>
  <c r="B101" i="24"/>
  <c r="C101" i="24" s="1"/>
  <c r="J100" i="24"/>
  <c r="I100" i="24"/>
  <c r="B100" i="24"/>
  <c r="C100" i="24" s="1"/>
  <c r="I99" i="24"/>
  <c r="J99" i="24" s="1"/>
  <c r="C99" i="24"/>
  <c r="B99" i="24"/>
  <c r="I98" i="24"/>
  <c r="J98" i="24" s="1"/>
  <c r="B98" i="24"/>
  <c r="C98" i="24" s="1"/>
  <c r="I97" i="24"/>
  <c r="J97" i="24" s="1"/>
  <c r="B97" i="24"/>
  <c r="C97" i="24" s="1"/>
  <c r="J96" i="24"/>
  <c r="I96" i="24"/>
  <c r="B96" i="24"/>
  <c r="C96" i="24" s="1"/>
  <c r="I95" i="24"/>
  <c r="J95" i="24" s="1"/>
  <c r="C95" i="24"/>
  <c r="B95" i="24"/>
  <c r="I94" i="24"/>
  <c r="J94" i="24" s="1"/>
  <c r="B94" i="24"/>
  <c r="C94" i="24" s="1"/>
  <c r="I93" i="24"/>
  <c r="J93" i="24" s="1"/>
  <c r="B93" i="24"/>
  <c r="C93" i="24" s="1"/>
  <c r="J92" i="24"/>
  <c r="I92" i="24"/>
  <c r="B92" i="24"/>
  <c r="C92" i="24" s="1"/>
  <c r="I91" i="24"/>
  <c r="J91" i="24" s="1"/>
  <c r="C91" i="24"/>
  <c r="B91" i="24"/>
  <c r="I90" i="24"/>
  <c r="J90" i="24" s="1"/>
  <c r="B90" i="24"/>
  <c r="C90" i="24" s="1"/>
  <c r="I89" i="24"/>
  <c r="J89" i="24" s="1"/>
  <c r="B89" i="24"/>
  <c r="C89" i="24" s="1"/>
  <c r="J88" i="24"/>
  <c r="I88" i="24"/>
  <c r="B88" i="24"/>
  <c r="C88" i="24" s="1"/>
  <c r="I87" i="24"/>
  <c r="J87" i="24" s="1"/>
  <c r="C87" i="24"/>
  <c r="B87" i="24"/>
  <c r="I86" i="24"/>
  <c r="J86" i="24" s="1"/>
  <c r="B86" i="24"/>
  <c r="C86" i="24" s="1"/>
  <c r="I85" i="24"/>
  <c r="J85" i="24" s="1"/>
  <c r="B85" i="24"/>
  <c r="C85" i="24" s="1"/>
  <c r="J84" i="24"/>
  <c r="I84" i="24"/>
  <c r="B84" i="24"/>
  <c r="C84" i="24" s="1"/>
  <c r="I83" i="24"/>
  <c r="J83" i="24" s="1"/>
  <c r="C83" i="24"/>
  <c r="B83" i="24"/>
  <c r="I82" i="24"/>
  <c r="J82" i="24" s="1"/>
  <c r="B82" i="24"/>
  <c r="C82" i="24" s="1"/>
  <c r="I81" i="24"/>
  <c r="J81" i="24" s="1"/>
  <c r="B81" i="24"/>
  <c r="C81" i="24" s="1"/>
  <c r="J80" i="24"/>
  <c r="I80" i="24"/>
  <c r="B80" i="24"/>
  <c r="C80" i="24" s="1"/>
  <c r="I79" i="24"/>
  <c r="J79" i="24" s="1"/>
  <c r="C79" i="24"/>
  <c r="B79" i="24"/>
  <c r="I78" i="24"/>
  <c r="J78" i="24" s="1"/>
  <c r="B78" i="24"/>
  <c r="C78" i="24" s="1"/>
  <c r="I77" i="24"/>
  <c r="J77" i="24" s="1"/>
  <c r="B77" i="24"/>
  <c r="C77" i="24" s="1"/>
  <c r="J76" i="24"/>
  <c r="I76" i="24"/>
  <c r="B76" i="24"/>
  <c r="C76" i="24" s="1"/>
  <c r="I75" i="24"/>
  <c r="J75" i="24" s="1"/>
  <c r="C75" i="24"/>
  <c r="B75" i="24"/>
  <c r="I74" i="24"/>
  <c r="J74" i="24" s="1"/>
  <c r="B74" i="24"/>
  <c r="C74" i="24" s="1"/>
  <c r="I73" i="24"/>
  <c r="J73" i="24" s="1"/>
  <c r="B73" i="24"/>
  <c r="C73" i="24" s="1"/>
  <c r="J72" i="24"/>
  <c r="I72" i="24"/>
  <c r="B72" i="24"/>
  <c r="C72" i="24" s="1"/>
  <c r="I71" i="24"/>
  <c r="J71" i="24" s="1"/>
  <c r="C71" i="24"/>
  <c r="B71" i="24"/>
  <c r="I70" i="24"/>
  <c r="J70" i="24" s="1"/>
  <c r="B70" i="24"/>
  <c r="C70" i="24" s="1"/>
  <c r="I69" i="24"/>
  <c r="J69" i="24" s="1"/>
  <c r="B69" i="24"/>
  <c r="C69" i="24" s="1"/>
  <c r="J68" i="24"/>
  <c r="I68" i="24"/>
  <c r="B68" i="24"/>
  <c r="C68" i="24" s="1"/>
  <c r="I67" i="24"/>
  <c r="J67" i="24" s="1"/>
  <c r="B67" i="24"/>
  <c r="C67" i="24" s="1"/>
  <c r="I66" i="24"/>
  <c r="J66" i="24" s="1"/>
  <c r="B66" i="24"/>
  <c r="C66" i="24" s="1"/>
  <c r="I65" i="24"/>
  <c r="J65" i="24" s="1"/>
  <c r="B65" i="24"/>
  <c r="C65" i="24" s="1"/>
  <c r="I64" i="24"/>
  <c r="J64" i="24" s="1"/>
  <c r="B64" i="24"/>
  <c r="C64" i="24" s="1"/>
  <c r="I63" i="24"/>
  <c r="J63" i="24" s="1"/>
  <c r="C63" i="24"/>
  <c r="B63" i="24"/>
  <c r="I62" i="24"/>
  <c r="J62" i="24" s="1"/>
  <c r="B62" i="24"/>
  <c r="C62" i="24" s="1"/>
  <c r="I61" i="24"/>
  <c r="J61" i="24" s="1"/>
  <c r="B61" i="24"/>
  <c r="C61" i="24" s="1"/>
  <c r="J60" i="24"/>
  <c r="I60" i="24"/>
  <c r="B60" i="24"/>
  <c r="C60" i="24" s="1"/>
  <c r="I59" i="24"/>
  <c r="J59" i="24" s="1"/>
  <c r="B59" i="24"/>
  <c r="C59" i="24" s="1"/>
  <c r="I58" i="24"/>
  <c r="J58" i="24" s="1"/>
  <c r="B58" i="24"/>
  <c r="C58" i="24" s="1"/>
  <c r="I57" i="24"/>
  <c r="J57" i="24" s="1"/>
  <c r="B57" i="24"/>
  <c r="C57" i="24" s="1"/>
  <c r="I56" i="24"/>
  <c r="J56" i="24" s="1"/>
  <c r="B56" i="24"/>
  <c r="C56" i="24" s="1"/>
  <c r="I55" i="24"/>
  <c r="J55" i="24" s="1"/>
  <c r="C55" i="24"/>
  <c r="B55" i="24"/>
  <c r="I54" i="24"/>
  <c r="J54" i="24" s="1"/>
  <c r="B54" i="24"/>
  <c r="C54" i="24" s="1"/>
  <c r="J53" i="24"/>
  <c r="I53" i="24"/>
  <c r="B53" i="24"/>
  <c r="C53" i="24" s="1"/>
  <c r="J52" i="24"/>
  <c r="I52" i="24"/>
  <c r="C52" i="24"/>
  <c r="B52" i="24"/>
  <c r="J51" i="24"/>
  <c r="I51" i="24"/>
  <c r="B51" i="24"/>
  <c r="C51" i="24" s="1"/>
  <c r="J50" i="24"/>
  <c r="I50" i="24"/>
  <c r="C50" i="24"/>
  <c r="B50" i="24"/>
  <c r="J49" i="24"/>
  <c r="I49" i="24"/>
  <c r="B49" i="24"/>
  <c r="C49" i="24" s="1"/>
  <c r="J48" i="24"/>
  <c r="I48" i="24"/>
  <c r="C48" i="24"/>
  <c r="B48" i="24"/>
  <c r="J47" i="24"/>
  <c r="I47" i="24"/>
  <c r="B47" i="24"/>
  <c r="C47" i="24" s="1"/>
  <c r="J46" i="24"/>
  <c r="I46" i="24"/>
  <c r="C46" i="24"/>
  <c r="B46" i="24"/>
  <c r="J45" i="24"/>
  <c r="I45" i="24"/>
  <c r="B45" i="24"/>
  <c r="C45" i="24" s="1"/>
  <c r="J44" i="24"/>
  <c r="I44" i="24"/>
  <c r="C44" i="24"/>
  <c r="B44" i="24"/>
  <c r="J43" i="24"/>
  <c r="I43" i="24"/>
  <c r="B43" i="24"/>
  <c r="C43" i="24" s="1"/>
  <c r="J42" i="24"/>
  <c r="I42" i="24"/>
  <c r="B42" i="24"/>
  <c r="C42" i="24" s="1"/>
  <c r="J41" i="24"/>
  <c r="I41" i="24"/>
  <c r="B41" i="24"/>
  <c r="C41" i="24" s="1"/>
  <c r="J40" i="24"/>
  <c r="I40" i="24"/>
  <c r="B40" i="24"/>
  <c r="C40" i="24" s="1"/>
  <c r="J39" i="24"/>
  <c r="I39" i="24"/>
  <c r="B39" i="24"/>
  <c r="C39" i="24" s="1"/>
  <c r="J38" i="24"/>
  <c r="I38" i="24"/>
  <c r="B38" i="24"/>
  <c r="C38" i="24" s="1"/>
  <c r="J37" i="24"/>
  <c r="I37" i="24"/>
  <c r="B37" i="24"/>
  <c r="C37" i="24" s="1"/>
  <c r="J36" i="24"/>
  <c r="I36" i="24"/>
  <c r="B36" i="24"/>
  <c r="C36" i="24" s="1"/>
  <c r="J35" i="24"/>
  <c r="I35" i="24"/>
  <c r="B35" i="24"/>
  <c r="C35" i="24" s="1"/>
  <c r="J34" i="24"/>
  <c r="I34" i="24"/>
  <c r="B34" i="24"/>
  <c r="C34" i="24" s="1"/>
  <c r="J33" i="24"/>
  <c r="I33" i="24"/>
  <c r="B33" i="24"/>
  <c r="C33" i="24" s="1"/>
  <c r="J32" i="24"/>
  <c r="I32" i="24"/>
  <c r="B32" i="24"/>
  <c r="C32" i="24" s="1"/>
  <c r="I31" i="24"/>
  <c r="J31" i="24" s="1"/>
  <c r="B31" i="24"/>
  <c r="C31" i="24" s="1"/>
  <c r="C15" i="23"/>
  <c r="G9" i="23"/>
  <c r="C17" i="26" s="1"/>
  <c r="G8" i="23"/>
  <c r="C16" i="26" s="1"/>
  <c r="G7" i="23"/>
  <c r="C15" i="26" s="1"/>
  <c r="A75" i="21"/>
  <c r="J74" i="21"/>
  <c r="J71" i="21"/>
  <c r="A71" i="21"/>
  <c r="J68" i="21"/>
  <c r="A67" i="21"/>
  <c r="F6" i="26" s="1"/>
  <c r="J49" i="21"/>
  <c r="A48" i="21"/>
  <c r="J46" i="21"/>
  <c r="A45" i="21"/>
  <c r="J43" i="21"/>
  <c r="F5" i="26" s="1"/>
  <c r="A42" i="21"/>
  <c r="C17" i="24" l="1"/>
  <c r="C9" i="24"/>
  <c r="C16" i="24"/>
  <c r="C8" i="24"/>
  <c r="C15" i="24"/>
  <c r="C7" i="24"/>
  <c r="C14" i="24"/>
  <c r="D26" i="26" s="1"/>
  <c r="C6" i="24"/>
  <c r="C13" i="24"/>
  <c r="C12" i="24"/>
  <c r="C11" i="24"/>
  <c r="C18" i="24"/>
  <c r="C10" i="24"/>
  <c r="G11" i="23"/>
  <c r="C19" i="26"/>
  <c r="F7" i="26"/>
  <c r="I7" i="26" s="1"/>
  <c r="H8" i="23"/>
  <c r="D16" i="26" s="1"/>
  <c r="F4" i="26"/>
  <c r="I4" i="26" s="1"/>
  <c r="J1916" i="24"/>
  <c r="I1917" i="24"/>
  <c r="J1915" i="24"/>
  <c r="I5" i="26"/>
  <c r="D28" i="26"/>
  <c r="D24" i="26"/>
  <c r="I6" i="26"/>
  <c r="D25" i="26"/>
  <c r="C35" i="25" a="1"/>
  <c r="C35" i="25" s="1"/>
  <c r="C34" i="25" a="1"/>
  <c r="C34" i="25" s="1"/>
  <c r="D27" i="26"/>
  <c r="D23" i="26"/>
  <c r="I9" i="26" l="1"/>
  <c r="H7" i="23"/>
  <c r="D15" i="26" s="1"/>
  <c r="H10" i="23"/>
  <c r="D18" i="26" s="1"/>
  <c r="H9" i="23"/>
  <c r="D17" i="26" s="1"/>
  <c r="I1918" i="24"/>
  <c r="J1917" i="24"/>
  <c r="F9" i="26"/>
  <c r="J1918" i="24" l="1"/>
  <c r="I1919" i="24"/>
  <c r="L9" i="26"/>
  <c r="I1920" i="24" l="1"/>
  <c r="J1919" i="24"/>
  <c r="J1920" i="24" l="1"/>
  <c r="I1921" i="24"/>
  <c r="I1922" i="24" l="1"/>
  <c r="J1921" i="24"/>
  <c r="J1922" i="24" l="1"/>
  <c r="I1923" i="24"/>
  <c r="I1924" i="24" l="1"/>
  <c r="J1923" i="24"/>
  <c r="J1924" i="24" l="1"/>
  <c r="I1925" i="24"/>
  <c r="I1926" i="24" l="1"/>
  <c r="J1925" i="24"/>
  <c r="J1926" i="24" l="1"/>
  <c r="I1927" i="24"/>
  <c r="I1928" i="24" l="1"/>
  <c r="J1927" i="24"/>
  <c r="J1928" i="24" l="1"/>
  <c r="I1929" i="24"/>
  <c r="I1930" i="24" l="1"/>
  <c r="J1929" i="24"/>
  <c r="J1930" i="24" l="1"/>
  <c r="I1931" i="24"/>
  <c r="I1932" i="24" l="1"/>
  <c r="J1931" i="24"/>
  <c r="J1932" i="24" l="1"/>
  <c r="I1933" i="24"/>
  <c r="I1934" i="24" l="1"/>
  <c r="J1933" i="24"/>
  <c r="J1934" i="24" l="1"/>
  <c r="I1935" i="24"/>
  <c r="I1936" i="24" l="1"/>
  <c r="J1935" i="24"/>
  <c r="J1936" i="24" l="1"/>
  <c r="I1937" i="24"/>
  <c r="I1938" i="24" l="1"/>
  <c r="J1937" i="24"/>
  <c r="J1938" i="24" l="1"/>
  <c r="I1939" i="24"/>
  <c r="I1940" i="24" l="1"/>
  <c r="J1939" i="24"/>
  <c r="J1940" i="24" l="1"/>
  <c r="I1941" i="24"/>
  <c r="I1942" i="24" l="1"/>
  <c r="J1941" i="24"/>
  <c r="J1942" i="24" l="1"/>
  <c r="I1943" i="24"/>
  <c r="I1944" i="24" l="1"/>
  <c r="J1943" i="24"/>
  <c r="J1944" i="24" l="1"/>
  <c r="I1945" i="24"/>
  <c r="I1946" i="24" l="1"/>
  <c r="J1945" i="24"/>
  <c r="J1946" i="24" l="1"/>
  <c r="I1947" i="24"/>
  <c r="I1948" i="24" l="1"/>
  <c r="J1947" i="24"/>
  <c r="J1948" i="24" l="1"/>
  <c r="I1949" i="24"/>
  <c r="I1950" i="24" l="1"/>
  <c r="J1949" i="24"/>
  <c r="J1950" i="24" l="1"/>
  <c r="I1951" i="24"/>
  <c r="I1952" i="24" l="1"/>
  <c r="J1951" i="24"/>
  <c r="J1952" i="24" l="1"/>
  <c r="I1953" i="24"/>
  <c r="I1954" i="24" l="1"/>
  <c r="J1953" i="24"/>
  <c r="J1954" i="24" l="1"/>
  <c r="I1955" i="24"/>
  <c r="I1956" i="24" l="1"/>
  <c r="J1955" i="24"/>
  <c r="J1956" i="24" l="1"/>
  <c r="I1957" i="24"/>
  <c r="I1958" i="24" l="1"/>
  <c r="J1957" i="24"/>
  <c r="J1958" i="24" l="1"/>
  <c r="I1959" i="24"/>
  <c r="I1960" i="24" l="1"/>
  <c r="J1959" i="24"/>
  <c r="J1960" i="24" l="1"/>
  <c r="I1961" i="24"/>
  <c r="I1962" i="24" l="1"/>
  <c r="J1961" i="24"/>
  <c r="J1962" i="24" l="1"/>
  <c r="I1963" i="24"/>
  <c r="I1964" i="24" l="1"/>
  <c r="J1963" i="24"/>
  <c r="J1964" i="24" l="1"/>
  <c r="I1965" i="24"/>
  <c r="I1966" i="24" l="1"/>
  <c r="J1965" i="24"/>
  <c r="J1966" i="24" l="1"/>
  <c r="I1967" i="24"/>
  <c r="I1968" i="24" l="1"/>
  <c r="J1967" i="24"/>
  <c r="J1968" i="24" l="1"/>
  <c r="I1969" i="24"/>
  <c r="I1970" i="24" l="1"/>
  <c r="J1969" i="24"/>
  <c r="J1970" i="24" l="1"/>
  <c r="I1971" i="24"/>
  <c r="I1972" i="24" l="1"/>
  <c r="J1971" i="24"/>
  <c r="J1972" i="24" l="1"/>
  <c r="I1973" i="24"/>
  <c r="I1974" i="24" l="1"/>
  <c r="J1973" i="24"/>
  <c r="J1974" i="24" l="1"/>
  <c r="I1975" i="24"/>
  <c r="I1976" i="24" l="1"/>
  <c r="J1975" i="24"/>
  <c r="J1976" i="24" l="1"/>
  <c r="I1977" i="24"/>
  <c r="I1978" i="24" l="1"/>
  <c r="J1977" i="24"/>
  <c r="J1978" i="24" l="1"/>
  <c r="I1979" i="24"/>
  <c r="I1980" i="24" l="1"/>
  <c r="J1979" i="24"/>
  <c r="J1980" i="24" l="1"/>
  <c r="I1981" i="24"/>
  <c r="I1982" i="24" l="1"/>
  <c r="J1981" i="24"/>
  <c r="J1982" i="24" l="1"/>
  <c r="I1983" i="24"/>
  <c r="I1984" i="24" l="1"/>
  <c r="J1983" i="24"/>
  <c r="J1984" i="24" l="1"/>
  <c r="I1985" i="24"/>
  <c r="I1986" i="24" l="1"/>
  <c r="J1985" i="24"/>
  <c r="J1986" i="24" l="1"/>
  <c r="I1987" i="24"/>
  <c r="I1988" i="24" l="1"/>
  <c r="J1987" i="24"/>
  <c r="J1988" i="24" l="1"/>
  <c r="I1989" i="24"/>
  <c r="I1990" i="24" l="1"/>
  <c r="J1989" i="24"/>
  <c r="J1990" i="24" l="1"/>
  <c r="I1991" i="24"/>
  <c r="I1992" i="24" l="1"/>
  <c r="J1991" i="24"/>
  <c r="J1992" i="24" l="1"/>
  <c r="I1993" i="24"/>
  <c r="I1994" i="24" l="1"/>
  <c r="J1993" i="24"/>
  <c r="J1994" i="24" l="1"/>
  <c r="I1995" i="24"/>
  <c r="I1996" i="24" l="1"/>
  <c r="J1995" i="24"/>
  <c r="J1996" i="24" l="1"/>
  <c r="I1997" i="24"/>
  <c r="I1998" i="24" l="1"/>
  <c r="J1997" i="24"/>
  <c r="J1998" i="24" l="1"/>
  <c r="I1999" i="24"/>
  <c r="I2000" i="24" l="1"/>
  <c r="J1999" i="24"/>
  <c r="J2000" i="24" l="1"/>
  <c r="I2001" i="24"/>
  <c r="I2002" i="24" l="1"/>
  <c r="J2001" i="24"/>
  <c r="J2002" i="24" l="1"/>
  <c r="I2003" i="24"/>
  <c r="I2004" i="24" l="1"/>
  <c r="J2003" i="24"/>
  <c r="J2004" i="24" l="1"/>
  <c r="I2005" i="24"/>
  <c r="I2006" i="24" l="1"/>
  <c r="J2005" i="24"/>
  <c r="J2006" i="24" l="1"/>
  <c r="I2007" i="24"/>
  <c r="I2008" i="24" l="1"/>
  <c r="J2007" i="24"/>
  <c r="J2008" i="24" l="1"/>
  <c r="I2009" i="24"/>
  <c r="I2010" i="24" l="1"/>
  <c r="J2009" i="24"/>
  <c r="J2010" i="24" l="1"/>
  <c r="I2011" i="24"/>
  <c r="I2012" i="24" l="1"/>
  <c r="J2011" i="24"/>
  <c r="J2012" i="24" l="1"/>
  <c r="I2013" i="24"/>
  <c r="I2014" i="24" l="1"/>
  <c r="J2013" i="24"/>
  <c r="J2014" i="24" l="1"/>
  <c r="I2015" i="24"/>
  <c r="I2016" i="24" l="1"/>
  <c r="J2015" i="24"/>
  <c r="J2016" i="24" l="1"/>
  <c r="I2017" i="24"/>
  <c r="I2018" i="24" l="1"/>
  <c r="J2017" i="24"/>
  <c r="J2018" i="24" l="1"/>
  <c r="I2019" i="24"/>
  <c r="I2020" i="24" l="1"/>
  <c r="J2019" i="24"/>
  <c r="J2020" i="24" l="1"/>
  <c r="I2021" i="24"/>
  <c r="I2022" i="24" l="1"/>
  <c r="J2021" i="24"/>
  <c r="J2022" i="24" l="1"/>
  <c r="I2023" i="24"/>
  <c r="I2024" i="24" l="1"/>
  <c r="J2023" i="24"/>
  <c r="J2024" i="24" l="1"/>
  <c r="I2025" i="24"/>
  <c r="I2026" i="24" l="1"/>
  <c r="J2025" i="24"/>
  <c r="J2026" i="24" l="1"/>
  <c r="I2027" i="24"/>
  <c r="I2028" i="24" l="1"/>
  <c r="J2027" i="24"/>
  <c r="J2028" i="24" l="1"/>
  <c r="I2029" i="24"/>
  <c r="I2030" i="24" l="1"/>
  <c r="J2029" i="24"/>
  <c r="J2030" i="24" l="1"/>
  <c r="I2031" i="24"/>
  <c r="I2032" i="24" l="1"/>
  <c r="J2031" i="24"/>
  <c r="J2032" i="24" l="1"/>
  <c r="I2033" i="24"/>
  <c r="I2034" i="24" l="1"/>
  <c r="J2033" i="24"/>
  <c r="J2034" i="24" l="1"/>
  <c r="I2035" i="24"/>
  <c r="I2036" i="24" l="1"/>
  <c r="J2035" i="24"/>
  <c r="J2036" i="24" l="1"/>
  <c r="I2037" i="24"/>
  <c r="I2038" i="24" l="1"/>
  <c r="J2037" i="24"/>
  <c r="J2038" i="24" l="1"/>
  <c r="I2039" i="24"/>
  <c r="I2040" i="24" l="1"/>
  <c r="J2039" i="24"/>
  <c r="J2040" i="24" l="1"/>
  <c r="I2041" i="24"/>
  <c r="I2042" i="24" l="1"/>
  <c r="J2041" i="24"/>
  <c r="J2042" i="24" l="1"/>
  <c r="I2043" i="24"/>
  <c r="I2044" i="24" l="1"/>
  <c r="J2043" i="24"/>
  <c r="J2044" i="24" l="1"/>
  <c r="I2045" i="24"/>
  <c r="I2046" i="24" l="1"/>
  <c r="J2045" i="24"/>
  <c r="J2046" i="24" l="1"/>
  <c r="I2047" i="24"/>
  <c r="I2048" i="24" l="1"/>
  <c r="J2047" i="24"/>
  <c r="I2049" i="24" l="1"/>
  <c r="J2048" i="24"/>
  <c r="I2050" i="24" l="1"/>
  <c r="J2049" i="24"/>
  <c r="I2051" i="24" l="1"/>
  <c r="J2050" i="24"/>
  <c r="J2051" i="24" l="1"/>
  <c r="I2052" i="24"/>
  <c r="I2053" i="24" l="1"/>
  <c r="J2052" i="24"/>
  <c r="J2053" i="24" l="1"/>
  <c r="I2054" i="24"/>
  <c r="I2055" i="24" l="1"/>
  <c r="J2054" i="24"/>
  <c r="J2055" i="24" l="1"/>
  <c r="I2056" i="24"/>
  <c r="I2057" i="24" l="1"/>
  <c r="J2056" i="24"/>
  <c r="I2058" i="24" l="1"/>
  <c r="J2057" i="24"/>
  <c r="I2059" i="24" l="1"/>
  <c r="J2058" i="24"/>
  <c r="I2060" i="24" l="1"/>
  <c r="J2059" i="24"/>
  <c r="J2060" i="24" l="1"/>
  <c r="I2061" i="24"/>
  <c r="I2062" i="24" l="1"/>
  <c r="J2061" i="24"/>
  <c r="J2062" i="24" l="1"/>
  <c r="I2063" i="24"/>
  <c r="I2064" i="24" l="1"/>
  <c r="J2063" i="24"/>
  <c r="I2065" i="24" l="1"/>
  <c r="J2064" i="24"/>
  <c r="I2066" i="24" l="1"/>
  <c r="J2065" i="24"/>
  <c r="I2067" i="24" l="1"/>
  <c r="J2066" i="24"/>
  <c r="J2067" i="24" l="1"/>
  <c r="I2068" i="24"/>
  <c r="I2069" i="24" l="1"/>
  <c r="J2068" i="24"/>
  <c r="J2069" i="24" l="1"/>
  <c r="I2070" i="24"/>
  <c r="J2070" i="24" l="1"/>
  <c r="I2071" i="24"/>
  <c r="I2072" i="24" l="1"/>
  <c r="J2071" i="24"/>
  <c r="J2072" i="24" l="1"/>
  <c r="I2073" i="24"/>
  <c r="I2074" i="24" l="1"/>
  <c r="J2073" i="24"/>
  <c r="J2074" i="24" l="1"/>
  <c r="I2075" i="24"/>
  <c r="I2076" i="24" l="1"/>
  <c r="J2075" i="24"/>
  <c r="J2076" i="24" l="1"/>
  <c r="I2077" i="24"/>
  <c r="J2077" i="24" l="1"/>
  <c r="I2078" i="24"/>
  <c r="J2078" i="24" l="1"/>
  <c r="I2079" i="24"/>
  <c r="I2080" i="24" l="1"/>
  <c r="J2079" i="24"/>
  <c r="J2080" i="24" l="1"/>
  <c r="I2081" i="24"/>
  <c r="I2082" i="24" l="1"/>
  <c r="J2081" i="24"/>
  <c r="J2082" i="24" l="1"/>
  <c r="I2083" i="24"/>
  <c r="I2084" i="24" l="1"/>
  <c r="J2083" i="24"/>
  <c r="J2084" i="24" l="1"/>
  <c r="I2085" i="24"/>
  <c r="J2085" i="24" l="1"/>
  <c r="I2086" i="24"/>
  <c r="J2086" i="24" l="1"/>
  <c r="I2087" i="24"/>
  <c r="I2088" i="24" l="1"/>
  <c r="J2087" i="24"/>
  <c r="J2088" i="24" l="1"/>
  <c r="I2089" i="24"/>
  <c r="I2090" i="24" l="1"/>
  <c r="J2089" i="24"/>
  <c r="J2090" i="24" l="1"/>
  <c r="I2091" i="24"/>
  <c r="I2092" i="24" l="1"/>
  <c r="J2091" i="24"/>
  <c r="J2092" i="24" l="1"/>
  <c r="I2093" i="24"/>
  <c r="J2093" i="24" l="1"/>
  <c r="I2094" i="24"/>
  <c r="J2094" i="24" l="1"/>
  <c r="I2095" i="24"/>
  <c r="I2096" i="24" l="1"/>
  <c r="J2095" i="24"/>
  <c r="J2096" i="24" l="1"/>
  <c r="I2097" i="24"/>
  <c r="I2098" i="24" l="1"/>
  <c r="J2097" i="24"/>
  <c r="J2098" i="24" l="1"/>
  <c r="I2099" i="24"/>
  <c r="I2100" i="24" l="1"/>
  <c r="J2099" i="24"/>
  <c r="J2100" i="24" l="1"/>
  <c r="I2101" i="24"/>
  <c r="J2101" i="24" l="1"/>
  <c r="I2102" i="24"/>
  <c r="J2102" i="24" l="1"/>
  <c r="I2103" i="24"/>
  <c r="I2104" i="24" l="1"/>
  <c r="J2103" i="24"/>
  <c r="J2104" i="24" l="1"/>
  <c r="I2105" i="24"/>
  <c r="I2106" i="24" l="1"/>
  <c r="J2105" i="24"/>
  <c r="J2106" i="24" l="1"/>
  <c r="I2107" i="24"/>
  <c r="I2108" i="24" l="1"/>
  <c r="J2107" i="24"/>
  <c r="J2108" i="24" l="1"/>
  <c r="I2109" i="24"/>
  <c r="J2109" i="24" l="1"/>
  <c r="I2110" i="24"/>
  <c r="J2110" i="24" l="1"/>
  <c r="I2111" i="24"/>
  <c r="I2112" i="24" l="1"/>
  <c r="J2111" i="24"/>
  <c r="J2112" i="24" l="1"/>
  <c r="I2113" i="24"/>
  <c r="I2114" i="24" l="1"/>
  <c r="J2113" i="24"/>
  <c r="J2114" i="24" l="1"/>
  <c r="I2115" i="24"/>
  <c r="I2116" i="24" l="1"/>
  <c r="J2115" i="24"/>
  <c r="J2116" i="24" l="1"/>
  <c r="I2117" i="24"/>
  <c r="J2117" i="24" l="1"/>
  <c r="I2118" i="24"/>
  <c r="J2118" i="24" l="1"/>
  <c r="I2119" i="24"/>
  <c r="I2120" i="24" l="1"/>
  <c r="J2119" i="24"/>
  <c r="J2120" i="24" l="1"/>
  <c r="I2121" i="24"/>
  <c r="I2122" i="24" l="1"/>
  <c r="J2121" i="24"/>
  <c r="J2122" i="24" l="1"/>
  <c r="I2123" i="24"/>
  <c r="I2124" i="24" l="1"/>
  <c r="J2123" i="24"/>
  <c r="J2124" i="24" l="1"/>
  <c r="I2125" i="24"/>
  <c r="J2125" i="24" l="1"/>
  <c r="I2126" i="24"/>
  <c r="J2126" i="24" l="1"/>
  <c r="I2127" i="24"/>
  <c r="I2128" i="24" l="1"/>
  <c r="J2127" i="24"/>
  <c r="J2128" i="24" l="1"/>
  <c r="I2129" i="24"/>
  <c r="I2130" i="24" l="1"/>
  <c r="J2129" i="24"/>
  <c r="J2130" i="24" l="1"/>
  <c r="I2131" i="24"/>
  <c r="I2132" i="24" l="1"/>
  <c r="J2131" i="24"/>
  <c r="J2132" i="24" l="1"/>
  <c r="I2133" i="24"/>
  <c r="J2133" i="24" l="1"/>
  <c r="I2134" i="24"/>
  <c r="J2134" i="24" l="1"/>
  <c r="I2135" i="24"/>
  <c r="I2136" i="24" l="1"/>
  <c r="J2135" i="24"/>
  <c r="J2136" i="24" l="1"/>
  <c r="I2137" i="24"/>
  <c r="I2138" i="24" l="1"/>
  <c r="J2137" i="24"/>
  <c r="J2138" i="24" l="1"/>
  <c r="I2139" i="24"/>
  <c r="I2140" i="24" l="1"/>
  <c r="J2139" i="24"/>
  <c r="J2140" i="24" l="1"/>
  <c r="I2141" i="24"/>
  <c r="J2141" i="24" l="1"/>
  <c r="I2142" i="24"/>
  <c r="J2142" i="24" l="1"/>
  <c r="I2143" i="24"/>
  <c r="I2144" i="24" l="1"/>
  <c r="J2143" i="24"/>
  <c r="J2144" i="24" l="1"/>
  <c r="I2145" i="24"/>
  <c r="I2146" i="24" l="1"/>
  <c r="J2145" i="24"/>
  <c r="J2146" i="24" l="1"/>
  <c r="I2147" i="24"/>
  <c r="I2148" i="24" l="1"/>
  <c r="J2147" i="24"/>
  <c r="J2148" i="24" l="1"/>
  <c r="I2149" i="24"/>
  <c r="J2149" i="24" l="1"/>
  <c r="I2150" i="24"/>
  <c r="J2150" i="24" l="1"/>
  <c r="I2151" i="24"/>
  <c r="I2152" i="24" l="1"/>
  <c r="J2151" i="24"/>
  <c r="J2152" i="24" l="1"/>
  <c r="I2153" i="24"/>
  <c r="I2154" i="24" l="1"/>
  <c r="J2153" i="24"/>
  <c r="J2154" i="24" l="1"/>
  <c r="I2155" i="24"/>
  <c r="J2155" i="24" l="1"/>
  <c r="I2156" i="24"/>
  <c r="J2156" i="24" l="1"/>
  <c r="I2157" i="24"/>
  <c r="J2157" i="24" l="1"/>
  <c r="I2158" i="24"/>
  <c r="J2158" i="24" l="1"/>
  <c r="I2159" i="24"/>
  <c r="I2160" i="24" l="1"/>
  <c r="J2159" i="24"/>
  <c r="J2160" i="24" l="1"/>
  <c r="I2161" i="24"/>
  <c r="I2162" i="24" l="1"/>
  <c r="J2161" i="24"/>
  <c r="J2162" i="24" l="1"/>
  <c r="I2163" i="24"/>
  <c r="I2164" i="24" l="1"/>
  <c r="J2163" i="24"/>
  <c r="J2164" i="24" l="1"/>
  <c r="I2165" i="24"/>
  <c r="J2165" i="24" l="1"/>
  <c r="I2166" i="24"/>
  <c r="J2166" i="24" l="1"/>
  <c r="I2167" i="24"/>
  <c r="I2168" i="24" l="1"/>
  <c r="J2167" i="24"/>
  <c r="J2168" i="24" l="1"/>
  <c r="I2169" i="24"/>
  <c r="I2170" i="24" l="1"/>
  <c r="J2169" i="24"/>
  <c r="J2170" i="24" l="1"/>
  <c r="I2171" i="24"/>
  <c r="J2171" i="24" l="1"/>
  <c r="I2172" i="24"/>
  <c r="J2172" i="24" l="1"/>
  <c r="I2173" i="24"/>
  <c r="J2173" i="24" l="1"/>
  <c r="I2174" i="24"/>
  <c r="J2174" i="24" l="1"/>
  <c r="I2175" i="24"/>
  <c r="I2176" i="24" l="1"/>
  <c r="J2175" i="24"/>
  <c r="J2176" i="24" l="1"/>
  <c r="I2177" i="24"/>
  <c r="I2178" i="24" l="1"/>
  <c r="J2177" i="24"/>
  <c r="J2178" i="24" l="1"/>
  <c r="I2179" i="24"/>
  <c r="I2180" i="24" l="1"/>
  <c r="J2179" i="24"/>
  <c r="J2180" i="24" l="1"/>
  <c r="I2181" i="24"/>
  <c r="J2181" i="24" l="1"/>
  <c r="I2182" i="24"/>
  <c r="J2182" i="24" l="1"/>
  <c r="I2183" i="24"/>
  <c r="I2184" i="24" l="1"/>
  <c r="J2183" i="24"/>
  <c r="J2184" i="24" l="1"/>
  <c r="I2185" i="24"/>
  <c r="I2186" i="24" l="1"/>
  <c r="J2185" i="24"/>
  <c r="J2186" i="24" l="1"/>
  <c r="I2187" i="24"/>
  <c r="I2188" i="24" l="1"/>
  <c r="J2187" i="24"/>
  <c r="J2188" i="24" l="1"/>
  <c r="I2189" i="24"/>
  <c r="J2189" i="24" l="1"/>
  <c r="I2190" i="24"/>
  <c r="J2190" i="24" l="1"/>
  <c r="I2191" i="24"/>
  <c r="I2192" i="24" l="1"/>
  <c r="J2191" i="24"/>
  <c r="J2192" i="24" l="1"/>
  <c r="I2193" i="24"/>
  <c r="I2194" i="24" l="1"/>
  <c r="J2193" i="24"/>
  <c r="J2194" i="24" l="1"/>
  <c r="I2195" i="24"/>
  <c r="I2196" i="24" l="1"/>
  <c r="J2195" i="24"/>
  <c r="J2196" i="24" l="1"/>
  <c r="I2197" i="24"/>
  <c r="J2197" i="24" l="1"/>
  <c r="I2198" i="24"/>
  <c r="J2198" i="24" l="1"/>
  <c r="I2199" i="24"/>
  <c r="I2200" i="24" l="1"/>
  <c r="J2199" i="24"/>
  <c r="J2200" i="24" l="1"/>
  <c r="I2201" i="24"/>
  <c r="I2202" i="24" l="1"/>
  <c r="J2201" i="24"/>
  <c r="J2202" i="24" l="1"/>
  <c r="I2203" i="24"/>
  <c r="J2203" i="24" l="1"/>
  <c r="I2204" i="24"/>
  <c r="J2204" i="24" l="1"/>
  <c r="I2205" i="24"/>
  <c r="J2205" i="24" l="1"/>
  <c r="I2206" i="24"/>
  <c r="J2206" i="24" l="1"/>
  <c r="I2207" i="24"/>
  <c r="I2208" i="24" l="1"/>
  <c r="J2207" i="24"/>
  <c r="J2208" i="24" l="1"/>
  <c r="I2209" i="24"/>
  <c r="I2210" i="24" l="1"/>
  <c r="J2209" i="24"/>
  <c r="J2210" i="24" l="1"/>
  <c r="I2211" i="24"/>
  <c r="I2212" i="24" l="1"/>
  <c r="J2211" i="24"/>
  <c r="J2212" i="24" l="1"/>
  <c r="I2213" i="24"/>
  <c r="J2213" i="24" l="1"/>
  <c r="I2214" i="24"/>
  <c r="J2214" i="24" l="1"/>
  <c r="I2215" i="24"/>
  <c r="I2216" i="24" l="1"/>
  <c r="J2215" i="24"/>
  <c r="J2216" i="24" l="1"/>
  <c r="I2217" i="24"/>
  <c r="I2218" i="24" l="1"/>
  <c r="J2217" i="24"/>
  <c r="J2218" i="24" l="1"/>
  <c r="I2219" i="24"/>
  <c r="I2220" i="24" l="1"/>
  <c r="J2219" i="24"/>
  <c r="J2220" i="24" l="1"/>
  <c r="I2221" i="24"/>
  <c r="J2221" i="24" l="1"/>
  <c r="I2222" i="24"/>
  <c r="J2222" i="24" l="1"/>
  <c r="I2223" i="24"/>
  <c r="I2224" i="24" l="1"/>
  <c r="J2223" i="24"/>
  <c r="J2224" i="24" l="1"/>
  <c r="I2225" i="24"/>
  <c r="I2226" i="24" l="1"/>
  <c r="J2225" i="24"/>
  <c r="J2226" i="24" l="1"/>
  <c r="I2227" i="24"/>
  <c r="I2228" i="24" l="1"/>
  <c r="J2227" i="24"/>
  <c r="J2228" i="24" l="1"/>
  <c r="I2229" i="24"/>
  <c r="J2229" i="24" l="1"/>
  <c r="I2230" i="24"/>
  <c r="J2230" i="24" l="1"/>
  <c r="I2231" i="24"/>
  <c r="I2232" i="24" l="1"/>
  <c r="J2231" i="24"/>
  <c r="J2232" i="24" l="1"/>
  <c r="I2233" i="24"/>
  <c r="I2234" i="24" l="1"/>
  <c r="J2233" i="24"/>
  <c r="J2234" i="24" l="1"/>
  <c r="I2235" i="24"/>
  <c r="I2236" i="24" l="1"/>
  <c r="J2235" i="24"/>
  <c r="J2236" i="24" l="1"/>
  <c r="I2237" i="24"/>
  <c r="J2237" i="24" l="1"/>
  <c r="I2238" i="24"/>
  <c r="J2238" i="24" l="1"/>
  <c r="I2239" i="24"/>
  <c r="I2240" i="24" l="1"/>
  <c r="J2239" i="24"/>
  <c r="J2240" i="24" l="1"/>
  <c r="I2241" i="24"/>
  <c r="I2242" i="24" l="1"/>
  <c r="J2241" i="24"/>
  <c r="J2242" i="24" l="1"/>
  <c r="I2243" i="24"/>
  <c r="I2244" i="24" l="1"/>
  <c r="J2243" i="24"/>
  <c r="J2244" i="24" l="1"/>
  <c r="I2245" i="24"/>
  <c r="J2245" i="24" l="1"/>
  <c r="I2246" i="24"/>
  <c r="J2246" i="24" l="1"/>
  <c r="I2247" i="24"/>
  <c r="I2248" i="24" l="1"/>
  <c r="J2247" i="24"/>
  <c r="J2248" i="24" l="1"/>
  <c r="I2249" i="24"/>
  <c r="I2250" i="24" l="1"/>
  <c r="J2249" i="24"/>
  <c r="J2250" i="24" l="1"/>
  <c r="I2251" i="24"/>
  <c r="J2251" i="24" l="1"/>
  <c r="I2252" i="24"/>
  <c r="J2252" i="24" l="1"/>
  <c r="I2253" i="24"/>
  <c r="J2253" i="24" l="1"/>
  <c r="I2254" i="24"/>
  <c r="J2254" i="24" l="1"/>
  <c r="I2255" i="24"/>
  <c r="J2255" i="24" l="1"/>
  <c r="I2256" i="24"/>
  <c r="J2256" i="24" l="1"/>
  <c r="I2257" i="24"/>
  <c r="J2257" i="24" l="1"/>
  <c r="I2258" i="24"/>
  <c r="J2258" i="24" l="1"/>
  <c r="I2259" i="24"/>
  <c r="J2259" i="24" l="1"/>
  <c r="I2260" i="24"/>
  <c r="J2260" i="24" l="1"/>
  <c r="I2261" i="24"/>
  <c r="J2261" i="24" l="1"/>
  <c r="I2262" i="24"/>
  <c r="J2262" i="24" l="1"/>
  <c r="I2263" i="24"/>
  <c r="J2263" i="24" l="1"/>
  <c r="I2264" i="24"/>
  <c r="J2264" i="24" l="1"/>
  <c r="I2265" i="24"/>
  <c r="J2265" i="24" l="1"/>
  <c r="I2266" i="24"/>
  <c r="J2266" i="24" l="1"/>
  <c r="I2267" i="24"/>
  <c r="J2267" i="24" l="1"/>
  <c r="I2268" i="24"/>
  <c r="J2268" i="24" l="1"/>
  <c r="I2269" i="24"/>
  <c r="J2269" i="24" l="1"/>
  <c r="I2270" i="24"/>
  <c r="J2270" i="24" l="1"/>
  <c r="I2271" i="24"/>
  <c r="J2271" i="24" l="1"/>
  <c r="I2272" i="24"/>
  <c r="J2272" i="24" l="1"/>
  <c r="I2273" i="24"/>
  <c r="J2273" i="24" l="1"/>
  <c r="I2274" i="24"/>
  <c r="J2274" i="24" l="1"/>
  <c r="I2275" i="24"/>
  <c r="J2275" i="24" l="1"/>
  <c r="I2276" i="24"/>
  <c r="J2276" i="24" l="1"/>
  <c r="I2277" i="24"/>
  <c r="J2277" i="24" l="1"/>
  <c r="I2278" i="24"/>
  <c r="J2278" i="24" s="1"/>
  <c r="C24" i="24" l="1"/>
  <c r="C25" i="24"/>
  <c r="C23" i="24"/>
  <c r="C20" i="24"/>
  <c r="C22" i="24"/>
  <c r="C19" i="24"/>
  <c r="C21" i="24"/>
  <c r="M7" i="26" l="1"/>
  <c r="M6" i="26"/>
  <c r="M5" i="26"/>
  <c r="M4" i="26"/>
  <c r="D5" i="26"/>
  <c r="D6" i="26"/>
  <c r="G5" i="26"/>
  <c r="D7" i="26"/>
  <c r="G6" i="26"/>
  <c r="D4" i="26"/>
  <c r="J7" i="26"/>
  <c r="B6" i="3" s="1"/>
  <c r="J6" i="26"/>
  <c r="B7" i="3" s="1"/>
  <c r="G4" i="26"/>
  <c r="J4" i="26"/>
  <c r="J5" i="26"/>
  <c r="G7" i="26"/>
  <c r="G9" i="26"/>
  <c r="J9" i="26"/>
  <c r="B3" i="3" s="1"/>
  <c r="M9" i="26"/>
  <c r="B4" i="3" l="1"/>
  <c r="B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<sst xmlns="http://schemas.openxmlformats.org/spreadsheetml/2006/main" count="11872" uniqueCount="7182">
  <si>
    <t>ICoLUPpUA Implementation Cost of Land Use Policies per Unit Area</t>
  </si>
  <si>
    <t>Source:</t>
  </si>
  <si>
    <t>Comisión Nacional Forestal (CONAFOR)</t>
  </si>
  <si>
    <t>Costos de referencia para reforestación, restauración y su mantenimiento</t>
  </si>
  <si>
    <t>https://dof.gob.mx/nota_detalle.php?codigo=5682057&amp;fecha=08/03/2023#gsc.tab=0</t>
  </si>
  <si>
    <t>Publicado en DOF</t>
  </si>
  <si>
    <t>Notes</t>
  </si>
  <si>
    <t>In 2023, land compensation costs were published with updated reference costs for reforestation, restoration and maintenance.</t>
  </si>
  <si>
    <t>This variable is for the costs to maintain lands previously affected by one of the</t>
  </si>
  <si>
    <t>land use policies (such as "Afforestation/Reforestation") and thereby</t>
  </si>
  <si>
    <t>avoid emission of sequestered CO2.</t>
  </si>
  <si>
    <t>This variable is NOT for use with the Improved Forest Management policy,</t>
  </si>
  <si>
    <t>as that policy must be repeated every year in order to obtain carbon benefits</t>
  </si>
  <si>
    <t>in that year.  Its cost is handled in the "Implementation Cost of Land Use</t>
  </si>
  <si>
    <t>Policies per Unit Area" variable.</t>
  </si>
  <si>
    <t>Both new forests (from afforestation/reforestation) and forests set aside from</t>
  </si>
  <si>
    <t>timber harvesting need to be managed.</t>
  </si>
  <si>
    <t>Currency Year</t>
  </si>
  <si>
    <t>We converted 2023 pesos to usd and then to 2012 usd.</t>
  </si>
  <si>
    <t>ACUERDO MEDIANTE EL CUAL SE EXPIDEN LOS COSTOS DE REFERENCIA PARA LA</t>
  </si>
  <si>
    <t>COMPENSACIÓN AMBIENTAL POR CAMBIO DE USO DE SUELO EN TERRENOS FORESTALES Y LA</t>
  </si>
  <si>
    <t>METODOLOGÍA PARA SU ESTIMACIÓN</t>
  </si>
  <si>
    <r>
      <t>Artículo 1.-</t>
    </r>
    <r>
      <rPr>
        <sz val="12"/>
        <color rgb="FF2F2F2F"/>
        <rFont val="Arial"/>
        <family val="2"/>
      </rPr>
      <t> Los costos de referencia para actividades de reforestación o restauración y su mantenimiento por concepto de compensación ambiental por Cambio de Uso del Suelo en Terrenos Forestales son los siguientes:</t>
    </r>
  </si>
  <si>
    <r>
      <t>Cuadro 5</t>
    </r>
    <r>
      <rPr>
        <sz val="11"/>
        <color rgb="FF2F2F2F"/>
        <rFont val="Arial"/>
        <family val="2"/>
      </rPr>
      <t>.</t>
    </r>
  </si>
  <si>
    <t>COSTOS UNITARIOS DE ACTIVIDADES PARA REFORESTACIÓN</t>
  </si>
  <si>
    <t>Concepto</t>
  </si>
  <si>
    <t>Costos de referencia, en pesos por hectárea, para las diferentes zonas</t>
  </si>
  <si>
    <t>O RESTAURACIÓN Y SU MANTENIMIENTO.</t>
  </si>
  <si>
    <t>ecológicas</t>
  </si>
  <si>
    <t>Templada</t>
  </si>
  <si>
    <t>Tropical</t>
  </si>
  <si>
    <t>Árida</t>
  </si>
  <si>
    <t>Zona inundable o transición</t>
  </si>
  <si>
    <t>Actividad</t>
  </si>
  <si>
    <t>Unidad de Medida</t>
  </si>
  <si>
    <t>Costo Unitario ($)</t>
  </si>
  <si>
    <t>tierra mar (humedales)</t>
  </si>
  <si>
    <t>Cercado con postes de madera</t>
  </si>
  <si>
    <t>Km</t>
  </si>
  <si>
    <t>Actividades y obras de restauración o reforestación y su mantenimiento.</t>
  </si>
  <si>
    <t>Brechas corta fuego</t>
  </si>
  <si>
    <t>Zanja bordo manual</t>
  </si>
  <si>
    <t>M</t>
  </si>
  <si>
    <t>29.83.85</t>
  </si>
  <si>
    <t>Zanja bordo con maquinaria</t>
  </si>
  <si>
    <t>Roturación con bulldozer</t>
  </si>
  <si>
    <t>Zampeado seco</t>
  </si>
  <si>
    <t>metro cuadrado (m2)</t>
  </si>
  <si>
    <t>Cuadro 11.</t>
  </si>
  <si>
    <t>SECCIÓN III.</t>
  </si>
  <si>
    <t>Apertura de canales</t>
  </si>
  <si>
    <t>metro cubico (m3)</t>
  </si>
  <si>
    <t>COSTOS DE REFERENCIA PARA REFORESTACIÓN O RESTAURACIÓN Y SU MANTENIMIENTO PARA</t>
  </si>
  <si>
    <t>COSTOS HORARIOS DE MANO DE OBRA.</t>
  </si>
  <si>
    <t>Terrazas individuales</t>
  </si>
  <si>
    <t>Pieza</t>
  </si>
  <si>
    <t>COMPENSACIÓN AMBIENTAL POR CAMBIO DE USO DE SUELO EN TERRENOS FORESTALES.</t>
  </si>
  <si>
    <t>Profesión u Oficio</t>
  </si>
  <si>
    <t>Salario real ($)</t>
  </si>
  <si>
    <t>Costo horario ($)</t>
  </si>
  <si>
    <t>Reforestación con apertura de cepa común de 20 cm de diámetro por 30 cm de profundidad.</t>
  </si>
  <si>
    <t>Concepto.</t>
  </si>
  <si>
    <t>Jornalero o Peón.</t>
  </si>
  <si>
    <t>Reforestación usando pala plantadora</t>
  </si>
  <si>
    <t>Brigada de topografía (topógrafo y estadalero).</t>
  </si>
  <si>
    <t>Reforestación con pala plantadora en manglares</t>
  </si>
  <si>
    <t>Zona inundable o transición tierra</t>
  </si>
  <si>
    <t>Brigada de campo (proyectista y ayudante).</t>
  </si>
  <si>
    <t>Producción planta ciclo corto</t>
  </si>
  <si>
    <t>mar (humedales)</t>
  </si>
  <si>
    <t>Asesoría técnica especializada para supervisión de vivero forestal.</t>
  </si>
  <si>
    <t>Producción planta ciclo largo</t>
  </si>
  <si>
    <t>Actividades y obras de restauración</t>
  </si>
  <si>
    <t>Los cargos por mano de obra se calculan multiplicando el costo de la mano de obra (especializada y no especializada) requerida para la realización de la actividad, por el consumo de mano de obra de la actividad o práctica que se va a realizar.</t>
  </si>
  <si>
    <t>Transporte de planta</t>
  </si>
  <si>
    <t>o reforestación y su mantenimiento.</t>
  </si>
  <si>
    <t>Para el caso de las actividades realizadas con maquinaria los valores se calcularon empleando las fórmulas establecidas en el Reglamento de la Ley de Obras Públicas y Servicios Relacionados con las Mismas, a continuación se muestra un ejemplo de dichos cálculos:</t>
  </si>
  <si>
    <t>Deshierbe circular en terrazas individuales</t>
  </si>
  <si>
    <t>Asesoría técnica</t>
  </si>
  <si>
    <t>ha</t>
  </si>
  <si>
    <r>
      <t>Cuadro 7</t>
    </r>
    <r>
      <rPr>
        <sz val="11"/>
        <color rgb="FF2F2F2F"/>
        <rFont val="Arial"/>
        <family val="2"/>
      </rPr>
      <t>.</t>
    </r>
  </si>
  <si>
    <r>
      <t>Cuadro 8</t>
    </r>
    <r>
      <rPr>
        <sz val="12"/>
        <color rgb="FF2F2F2F"/>
        <rFont val="Arial"/>
        <family val="2"/>
      </rPr>
      <t>.</t>
    </r>
  </si>
  <si>
    <t>CONCENTRADO DE ACTIVIDADES DE REFORESTACIÓN O RESTAURACIÓN Y SU MANTENIMIENTO</t>
  </si>
  <si>
    <t>CONCENTRADO DE ACTIVIDADES DE REFORESTACIÓN O RESTAURACIÓN Y SU MANTENIMIENTO</t>
  </si>
  <si>
    <t>PARA COMPENSACIÓN AMBIENTAL POR CAMBIO DE USO DEL SUELO EN TERRENOS</t>
  </si>
  <si>
    <t>PARA COMPENSACIÓN AMBIENTAL POR CAMBIO DE USO DEL SUELO EN TERRENOS</t>
  </si>
  <si>
    <t>FORESTALES PARA EL ECOSISTEMA ÁRIDO Y SEMIÁRIDO.</t>
  </si>
  <si>
    <t>FORESTALES PARA EL ECOSISTEMA TEMPLADO FRÍO.</t>
  </si>
  <si>
    <t>Tipo de actividad</t>
  </si>
  <si>
    <t>Actividad específica</t>
  </si>
  <si>
    <t>Unidad de</t>
  </si>
  <si>
    <t>Costo</t>
  </si>
  <si>
    <t>Cantidad</t>
  </si>
  <si>
    <t>Costo Total</t>
  </si>
  <si>
    <t>Costo ($)</t>
  </si>
  <si>
    <t>medida</t>
  </si>
  <si>
    <t>Unitario ($)</t>
  </si>
  <si>
    <t>mínima por</t>
  </si>
  <si>
    <t>($)</t>
  </si>
  <si>
    <t>Unitario</t>
  </si>
  <si>
    <t>mínima (ha)</t>
  </si>
  <si>
    <t>hectárea</t>
  </si>
  <si>
    <t>Restauración de suelos</t>
  </si>
  <si>
    <t>Restauración de suelos</t>
  </si>
  <si>
    <t>Terrazas o zanjas a nivel construidas manualmente.</t>
  </si>
  <si>
    <t>m</t>
  </si>
  <si>
    <t>Reforestación</t>
  </si>
  <si>
    <t>Producción de planta</t>
  </si>
  <si>
    <t>Planta</t>
  </si>
  <si>
    <t>Reforestación mediante cepa común</t>
  </si>
  <si>
    <t>Mantenimiento 1er año.</t>
  </si>
  <si>
    <t>Reforestación con pala plantadora</t>
  </si>
  <si>
    <t>Mantenimiento 1er año.</t>
  </si>
  <si>
    <t>Producción de planta para replante</t>
  </si>
  <si>
    <t>Transporte de planta de replante</t>
  </si>
  <si>
    <t>Mantenimiento 2do año.</t>
  </si>
  <si>
    <t>Reforestación de la planta de replante con pala plantadora.</t>
  </si>
  <si>
    <t>Mantenimiento 2do año.</t>
  </si>
  <si>
    <t>Mantenimiento 3er año.</t>
  </si>
  <si>
    <t>Mantenimiento 3er año.</t>
  </si>
  <si>
    <t>Protección</t>
  </si>
  <si>
    <t>Brechas cortafuego</t>
  </si>
  <si>
    <t>km</t>
  </si>
  <si>
    <t>Cercado</t>
  </si>
  <si>
    <t>Asistencia técnica</t>
  </si>
  <si>
    <t>Costo total</t>
  </si>
  <si>
    <t>Hectárea</t>
  </si>
  <si>
    <r>
      <t>Cuadro 9</t>
    </r>
    <r>
      <rPr>
        <sz val="11"/>
        <color rgb="FF2F2F2F"/>
        <rFont val="Arial"/>
        <family val="2"/>
      </rPr>
      <t>.</t>
    </r>
  </si>
  <si>
    <r>
      <t>Cuadro 10</t>
    </r>
    <r>
      <rPr>
        <sz val="11"/>
        <color rgb="FF2F2F2F"/>
        <rFont val="Arial"/>
        <family val="2"/>
      </rPr>
      <t>.</t>
    </r>
  </si>
  <si>
    <t>CONCENTRADO DE ACTIVIDADES DE REFORESTACIÓN O RESTAURACIÓN Y SU MANTENIMIENTO</t>
  </si>
  <si>
    <t>PARA COMPENSACIÓN AMBIENTAL POR CAMBIO DE USO DEL SUELO EN TERRENOS</t>
  </si>
  <si>
    <t>FORESTALES PARA EL ECOSISTEMA TROPICAL.</t>
  </si>
  <si>
    <t>FORESTALES PARA LA ZONA DE HUMEDALES O TRANSICIÓN TIERRA MAR.</t>
  </si>
  <si>
    <t>mínima ($)</t>
  </si>
  <si>
    <t>Terrazas individuales para reforestación.</t>
  </si>
  <si>
    <t>Piezas</t>
  </si>
  <si>
    <t>Reforestación a cepa común</t>
  </si>
  <si>
    <t>Transporte de planta para replante</t>
  </si>
  <si>
    <t>Reforestación de la planta</t>
  </si>
  <si>
    <t>Deshierbe en terrazas individuales</t>
  </si>
  <si>
    <t>Deshierbe</t>
  </si>
  <si>
    <t>Reforestación de la planta de replante.</t>
  </si>
  <si>
    <t>Mantenimiento 2do año</t>
  </si>
  <si>
    <t>Ha</t>
  </si>
  <si>
    <t>Total</t>
  </si>
  <si>
    <t>https://dof.gob.mx/nota_detalle.php?codigo=5682057&amp;fecha=08/03/2023&amp;print=true</t>
  </si>
  <si>
    <r>
      <t>Cuadro 8</t>
    </r>
    <r>
      <rPr>
        <sz val="11"/>
        <color rgb="FF2F2F2F"/>
        <rFont val="Arial"/>
        <family val="2"/>
      </rPr>
      <t>.</t>
    </r>
  </si>
  <si>
    <r>
      <t>Cuadro 1</t>
    </r>
    <r>
      <rPr>
        <sz val="11"/>
        <color rgb="FF2F2F2F"/>
        <rFont val="Arial"/>
        <family val="2"/>
      </rPr>
      <t>.</t>
    </r>
  </si>
  <si>
    <t>AGRUPACIÓN DE LOS TIPOS DE VEGETACIÓN DE LA SERIE VII DE INEGI EN CUATRO</t>
  </si>
  <si>
    <t>ECOSISTEMAS, USADOS PARA LA DEFINICIÓN DE LOS COSTOS DE REFORESTACIÓN O</t>
  </si>
  <si>
    <t>RESTAURACIÓN Y SU MANTENIMIENTO PARA COMPENSACIÓN AMBIENTAL POR CAMBIO DE USO</t>
  </si>
  <si>
    <t>DEL SUELO EN TERRENOS FORESTALES.</t>
  </si>
  <si>
    <t>Ecosistema</t>
  </si>
  <si>
    <t>Tipos de vegetación dominante según la Serie II del INEGI (incluye la</t>
  </si>
  <si>
    <t>Grupo Climático</t>
  </si>
  <si>
    <t>vegetación secundaria de los mismos)</t>
  </si>
  <si>
    <t>Dominante, según</t>
  </si>
  <si>
    <t>Köppen modificado</t>
  </si>
  <si>
    <t>por E. Garcia.</t>
  </si>
  <si>
    <t>Templado</t>
  </si>
  <si>
    <t>Bosque Cultivado</t>
  </si>
  <si>
    <t>A(C)m, C(A)m, CW (Climas templado húmedos y subhúmedos con temperatura media del mes más frío entre -3 y 18 °C)</t>
  </si>
  <si>
    <t>Frío</t>
  </si>
  <si>
    <t>Bosque de Ayarín</t>
  </si>
  <si>
    <t>Bosque de Cedro</t>
  </si>
  <si>
    <t>Bosque de Encino</t>
  </si>
  <si>
    <t>Bosque de Encino-Pino</t>
  </si>
  <si>
    <t>Bosque de Oyamel</t>
  </si>
  <si>
    <t>Bosque de Pino</t>
  </si>
  <si>
    <t>Bosque de Pino-Encino</t>
  </si>
  <si>
    <t>Bosque de Táscate</t>
  </si>
  <si>
    <t>Bosque Inducido</t>
  </si>
  <si>
    <t>Bosque Mesófilo de Montaña</t>
  </si>
  <si>
    <t>Pradera de Alta Montaña</t>
  </si>
  <si>
    <t>Vegetación Secundaria Arbórea de Bosque de Ayarín</t>
  </si>
  <si>
    <t>Vegetación Secundaria Arbórea de Bosque de Cedro</t>
  </si>
  <si>
    <t>Vegetación Secundaria Arbórea de Bosque de Encino</t>
  </si>
  <si>
    <t>Vegetación Secundaria Arbórea de Bosque de Encino-Pino</t>
  </si>
  <si>
    <t>Vegetación Secundaria Arbórea de Bosque de Oyamel</t>
  </si>
  <si>
    <t>Vegetación Secundaria Arbórea de Bosque de Pino</t>
  </si>
  <si>
    <t>Vegetación Secundaria Arbórea de Bosque de Pino-Encino</t>
  </si>
  <si>
    <t>Vegetación Secundaria Arbórea de Bosque de Táscate</t>
  </si>
  <si>
    <t>Vegetación Secundaria Arbórea de Bosque Mesófilo de Montaña</t>
  </si>
  <si>
    <t>Vegetación Secundaria Arbustiva de Bosque de Ayarín</t>
  </si>
  <si>
    <t>Vegetación Secundaria Arbustiva de Bosque de Cedro</t>
  </si>
  <si>
    <t>Vegetación Secundaria Arbustiva de Bosque de Encino</t>
  </si>
  <si>
    <t>Vegetación Secundaria Arbustiva de Bosque de Encino-Pino</t>
  </si>
  <si>
    <t>Vegetación Secundaria Arbustiva de Bosque de Oyamel</t>
  </si>
  <si>
    <t>Vegetación Secundaria Arbustiva de Bosque de Pino</t>
  </si>
  <si>
    <t>Vegetación Secundaria Arbustiva de Bosque de Pino-Encino</t>
  </si>
  <si>
    <t>Vegetación Secundaria Arbustiva de Bosque de Táscate</t>
  </si>
  <si>
    <t>Vegetación Secundaria Arbustiva de Bosque Mesófilo de Montaña</t>
  </si>
  <si>
    <t>Vegetación Secundaria Herbácea de Bosque de Encino</t>
  </si>
  <si>
    <t>Vegetación Secundaria Herbácea de Bosque de Encino-Pino</t>
  </si>
  <si>
    <t>Vegetación Secundaria Herbácea de Bosque de Oyamel</t>
  </si>
  <si>
    <t>Vegetación Secundaria Herbácea de Bosque de Pino</t>
  </si>
  <si>
    <t>Vegetación Secundaria Herbácea de Bosque de Pino-Encino</t>
  </si>
  <si>
    <t>Vegetación Secundaria Herbácea de Bosque de Táscate</t>
  </si>
  <si>
    <t>Vegetación Secundaria Herbácea de Bosque Mesófilo de Montaña</t>
  </si>
  <si>
    <t>Vegetación Secundaria Herbácea de Matorral de Coníferas</t>
  </si>
  <si>
    <t>Am, Af, Aw; (Climas cálidos húmedos y subhúmedos, cuya temperatura del mes más frío es mayor a 18°C)</t>
  </si>
  <si>
    <t>Matorral Subtropical</t>
  </si>
  <si>
    <t>Mezquital Tropical</t>
  </si>
  <si>
    <t>Palmar Inducido</t>
  </si>
  <si>
    <t>Palmar Natural</t>
  </si>
  <si>
    <t>Pastizal Cultivado</t>
  </si>
  <si>
    <t>Pastizal Inducido</t>
  </si>
  <si>
    <t>Sabana</t>
  </si>
  <si>
    <t>Sabanoide</t>
  </si>
  <si>
    <t>Selva Alta Perennifolia</t>
  </si>
  <si>
    <t>Selva Alta Subperennifolia</t>
  </si>
  <si>
    <t>Selva Baja Caducifolia</t>
  </si>
  <si>
    <t>Selva Baja Espinosa Caducifolia</t>
  </si>
  <si>
    <t>Selva Baja Espinosa Subperennifolia</t>
  </si>
  <si>
    <t>Selva Baja Perennifolia</t>
  </si>
  <si>
    <t>Selva Baja Subcaducifolia</t>
  </si>
  <si>
    <t>Selva Baja Subperennifolia</t>
  </si>
  <si>
    <t>Selva Mediana Caducifolia</t>
  </si>
  <si>
    <t>Selva Mediana Subcaducifolia</t>
  </si>
  <si>
    <t>Selva Mediana Subperennifolia</t>
  </si>
  <si>
    <t>Vegetación Secundaria Arbórea de Mezquital Tropical</t>
  </si>
  <si>
    <t>Vegetación Secundaria Arbórea de Palmar Natural</t>
  </si>
  <si>
    <t>Vegetación Secundaria Arbórea de Selva Alta Perennifolia</t>
  </si>
  <si>
    <t>Vegetación Secundaria Arbórea de Selva Alta Subperennifolia</t>
  </si>
  <si>
    <t>Vegetación Secundaria Arbórea de Selva Baja Caducifolia</t>
  </si>
  <si>
    <t>Vegetación Secundaria Arbórea de Selva Baja Espinosa Caducifolia</t>
  </si>
  <si>
    <t>Vegetación Secundaria Arbórea de Selva Baja Espinosa Subperennifolia</t>
  </si>
  <si>
    <t>Vegetación Secundaria Arbórea de Selva Baja Perennifolia</t>
  </si>
  <si>
    <t>Vegetación Secundaria Arbórea de Selva Baja Subcaducifolia</t>
  </si>
  <si>
    <t>Vegetación Secundaria Arbórea de Selva Baja Subperennifolia</t>
  </si>
  <si>
    <t>Vegetación Secundaria Arbórea de Selva Mediana Caducifolia</t>
  </si>
  <si>
    <t>Vegetación Secundaria Arbórea de Selva Mediana Subcaducifolia</t>
  </si>
  <si>
    <t>Vegetación Secundaria Arbórea de Selva Mediana Subperennifolia</t>
  </si>
  <si>
    <t>Vegetación Secundaria Arbustiva de Matorral Subtropical</t>
  </si>
  <si>
    <t>Vegetación Secundaria Arbustiva de Mezquital Tropical</t>
  </si>
  <si>
    <t>Vegetación Secundaria Arbustiva de Palmar Natural</t>
  </si>
  <si>
    <t>Vegetación Secundaria Arbustiva de Selva Alta Perennifolia</t>
  </si>
  <si>
    <t>Vegetación Secundaria Arbustiva de Selva Alta Subperennifolia</t>
  </si>
  <si>
    <t>Vegetación Secundaria Arbustiva de Selva Baja Caducifolia</t>
  </si>
  <si>
    <t>Vegetación Secundaria Arbustiva de Selva Baja Espinosa Caducifolia</t>
  </si>
  <si>
    <t>Vegetación Secundaria Arbustiva de Selva Baja Espinosa Subperennifolia</t>
  </si>
  <si>
    <t>Vegetación Secundaria Arbustiva de Selva Baja Perennifolia</t>
  </si>
  <si>
    <t>Vegetación Secundaria Arbustiva de Selva Baja Subcaducifolia</t>
  </si>
  <si>
    <t>Vegetación Secundaria Arbustiva de Selva Baja Subperennifolia</t>
  </si>
  <si>
    <t>Vegetación Secundaria Arbustiva de Selva Mediana Caducifolia</t>
  </si>
  <si>
    <t>Vegetación Secundaria Arbustiva de Selva Mediana Perennifolia</t>
  </si>
  <si>
    <t>Vegetación Secundaria Arbustiva de Selva Mediana Subcaducifolia</t>
  </si>
  <si>
    <t>Vegetación Secundaria Arbustiva de Selva Mediana Subperennifolia</t>
  </si>
  <si>
    <t>Vegetación Secundaria Herbácea de Palmar Natural</t>
  </si>
  <si>
    <t>Vegetación Secundaria Herbácea de Selva Alta Perennifolia</t>
  </si>
  <si>
    <t>Vegetación Secundaria Herbácea de Selva Alta Subperennifolia</t>
  </si>
  <si>
    <t>Vegetación Secundaria Herbácea de Selva Baja Caducifolia</t>
  </si>
  <si>
    <t>Vegetación Secundaria Herbácea de Selva Baja Espinosa Caducifolia</t>
  </si>
  <si>
    <t>Vegetación Secundaria Herbácea de Selva Baja Espinosa Subperennifolia</t>
  </si>
  <si>
    <t>Vegetación Secundaria Herbácea de Selva Mediana Caducifolia</t>
  </si>
  <si>
    <t>Vegetación Secundaria Herbácea de Selva Mediana Subcaducifolia</t>
  </si>
  <si>
    <t>Vegetación Secundaria Herbácea de Selva Mediana Subperennifolia</t>
  </si>
  <si>
    <t>Árido y</t>
  </si>
  <si>
    <t>Bosque de Mezquite</t>
  </si>
  <si>
    <t>Bs, Bw (Climas secos muy cálidos hasta secos con temperaturas semifrías.</t>
  </si>
  <si>
    <t>semiárido</t>
  </si>
  <si>
    <t>Chaparral</t>
  </si>
  <si>
    <t>Matorral Crasicaule</t>
  </si>
  <si>
    <t>Matorral Desértico Micrófilo</t>
  </si>
  <si>
    <t>Matorral Desértico Rosetófilo</t>
  </si>
  <si>
    <t>Matorral Espinoso Tamaulipeco</t>
  </si>
  <si>
    <t>Matorral Rosetófilo Costero</t>
  </si>
  <si>
    <t>Matorral Sarcocaule</t>
  </si>
  <si>
    <t>Matorral Sarco-Crasicaule</t>
  </si>
  <si>
    <t>Matorral Sarco-Crasicaule de Neblina</t>
  </si>
  <si>
    <t>Matorral Submontano</t>
  </si>
  <si>
    <t>Mezquital Xerófilo</t>
  </si>
  <si>
    <t>Pastizal Gipsófilo</t>
  </si>
  <si>
    <t>Pastizal Halófilo</t>
  </si>
  <si>
    <t>Pastizal Natural</t>
  </si>
  <si>
    <t>Vegetación de Desiertos Arenosos</t>
  </si>
  <si>
    <t>Vegetación Gipsófila</t>
  </si>
  <si>
    <t>Vegetación Halófila Xerófila</t>
  </si>
  <si>
    <t>Vegetación Secundaria Arbórea de Bosque de Mezquite</t>
  </si>
  <si>
    <t>Vegetación Secundaria Arbustiva de Bosque de Mezquite</t>
  </si>
  <si>
    <t>Vegetación Secundaria Arbustiva de Chaparral</t>
  </si>
  <si>
    <t>Vegetación Secundaria Arbustiva de Matorral Crasicaule</t>
  </si>
  <si>
    <t>Vegetación Secundaria Arbustiva de Matorral Desértico Micrófilo</t>
  </si>
  <si>
    <t>Vegetación Secundaria Arbustiva de Matorral Desértico Rosetófilo</t>
  </si>
  <si>
    <t>Vegetación Secundaria Arbustiva de Matorral Espinoso Tamaulipeco</t>
  </si>
  <si>
    <t>Vegetación Secundaria Arbustiva de Matorral Rosetófilo Costero</t>
  </si>
  <si>
    <t>Vegetación Secundaria Arbustiva de Matorral Sarcocaule</t>
  </si>
  <si>
    <t>Vegetación Secundaria Arbustiva de Matorral Sarco-Crasicaule</t>
  </si>
  <si>
    <t>Vegetación Secundaria Arbustiva de Matorral Sarco-Crasicaule de Neblina</t>
  </si>
  <si>
    <t>Vegetación Secundaria Arbustiva de Matorral Submontano</t>
  </si>
  <si>
    <t>Vegetación Secundaria Arbustiva de Mezquital Xerófilo</t>
  </si>
  <si>
    <t>Vegetación Secundaria Arbustiva de Pastizal Gipsófilo</t>
  </si>
  <si>
    <t>Vegetación Secundaria Arbustiva de Pastizal Halófilo</t>
  </si>
  <si>
    <t>Vegetación Secundaria Arbustiva de Pastizal Natural</t>
  </si>
  <si>
    <t>Vegetación Secundaria Arbustiva de Vegetación de Desiertos Arenosos</t>
  </si>
  <si>
    <t>Vegetación Secundaria Arbustiva de Vegetación Halófila Xerófila</t>
  </si>
  <si>
    <t>Vegetación Secundaria Herbácea de Matorral Crasicaule</t>
  </si>
  <si>
    <t>Vegetación Secundaria Herbácea de Matorral Desértico Micrófilo</t>
  </si>
  <si>
    <t>Vegetación Secundaria Herbácea de Matorral Desértico Rosetófilo</t>
  </si>
  <si>
    <t>Vegetación Secundaria Herbácea de Matorral Espinoso Tamaulipeco</t>
  </si>
  <si>
    <t>Vegetación Secundaria Herbácea de Matorral Rosetófilo Costero</t>
  </si>
  <si>
    <t>Vegetación Secundaria Herbácea de Matorral Sarco-Crasicaule</t>
  </si>
  <si>
    <t>Vegetación Secundaria Herbácea de Matorral Sarco-Crasicaule de Neblina</t>
  </si>
  <si>
    <t>Vegetación Secundaria Herbácea de Pastizal Natural</t>
  </si>
  <si>
    <t>Vegetación Secundaria Herbácea de Vegetación Halófila Xerófila</t>
  </si>
  <si>
    <t>Humedales y</t>
  </si>
  <si>
    <t>Bosque de Galería</t>
  </si>
  <si>
    <t>Climas predominantemente cálidos, aunque la vegetación de galería se presente en cualquier clima.</t>
  </si>
  <si>
    <t>transición</t>
  </si>
  <si>
    <t>Manglar</t>
  </si>
  <si>
    <t>tierra mar</t>
  </si>
  <si>
    <t>Popal</t>
  </si>
  <si>
    <t>Selva de Galería</t>
  </si>
  <si>
    <t>Tular</t>
  </si>
  <si>
    <t>Vegetación de Dunas Costeras</t>
  </si>
  <si>
    <t>Vegetación de Galería</t>
  </si>
  <si>
    <t>Vegetación de Petén</t>
  </si>
  <si>
    <t>Vegetación Halófila Hidrófila</t>
  </si>
  <si>
    <t>Vegetación Secundaria Arbórea de Bosque de Galería</t>
  </si>
  <si>
    <t>Vegetación Secundaria Arbórea de Manglar</t>
  </si>
  <si>
    <t>Vegetación Secundaria Arbórea de Selva de Galería</t>
  </si>
  <si>
    <t>Vegetación Secundaria Arbórea de Vegetación de Petén</t>
  </si>
  <si>
    <t>Vegetación Secundaria Arbustiva de Bosque de Galería</t>
  </si>
  <si>
    <t>Vegetación Secundaria Arbustiva de Manglar</t>
  </si>
  <si>
    <t>Vegetación Secundaria Arbustiva de Selva de Galería</t>
  </si>
  <si>
    <t>Vegetación Secundaria Arbustiva de Vegetación de Dunas Costeras</t>
  </si>
  <si>
    <t>Vegetación Secundaria Arbustiva de Vegetación de Galería</t>
  </si>
  <si>
    <t>Vegetación Secundaria Arbustiva de Vegetación Halófila Hidrófila</t>
  </si>
  <si>
    <t>Vegetación Secundaria Herbácea de Manglar</t>
  </si>
  <si>
    <t>Vegetación Secundaria Herbácea de Vegetación de Dunas Costeras</t>
  </si>
  <si>
    <t>Cuando un mismo tipo de vegetación se presenta en dos ecosistemas, la selección de en cual ecosistema se clasifica se realizará de acuerdo a la ubicación del cambio de uso del suelo que se está analizando.</t>
  </si>
  <si>
    <t>Una vez determinados los ecosistemas, y de conformidad con sus características ecológicas, se establecieron las actividades mínimas que se requieren para cada uno, con el fin de garantizar el nivel mínimo de restauración que permita iniciar la sucesión ecológica. Dado que cada ecosistema representa situaciones de suelos y climas distintos, para cada uno de ellos se determinó un procedimiento específico.</t>
  </si>
  <si>
    <t>https://snmf.cnf.gob.mx/deforestacion/</t>
  </si>
  <si>
    <r>
      <t>DEFORESTACIÓN POR TIPO DE ECORREGIÓN </t>
    </r>
    <r>
      <rPr>
        <sz val="12"/>
        <color rgb="FF333333"/>
        <rFont val="Helvetica Neue"/>
        <family val="2"/>
      </rPr>
      <t>PROMEDIO ANUAL 2001-2023</t>
    </r>
  </si>
  <si>
    <t>ECORREGIÓN</t>
  </si>
  <si>
    <t>DEFORESTACIÓN (ha/año)</t>
  </si>
  <si>
    <t>California Mediterránea</t>
  </si>
  <si>
    <t>Árido/semiárido</t>
  </si>
  <si>
    <t>Desiertos de América del Norte</t>
  </si>
  <si>
    <t>Templado frío</t>
  </si>
  <si>
    <t>Elevaciones Semiáridas Meridionales</t>
  </si>
  <si>
    <t>Grandes Planicies</t>
  </si>
  <si>
    <t>Humedal</t>
  </si>
  <si>
    <t>Selvas Cálido-Húmedas</t>
  </si>
  <si>
    <t>Selvas Cálido-Secas</t>
  </si>
  <si>
    <t>Sierras Templadas</t>
  </si>
  <si>
    <t>Tipo de cambio para solventar obligaciones denominadas en dólares de los EE.UU.A.,
pagaderas en la República Mexicana</t>
  </si>
  <si>
    <t>http://www.banxico.org.mx/portal-mercado-cambiario/</t>
  </si>
  <si>
    <t>AVERAGE PER YEAR</t>
  </si>
  <si>
    <t>Year</t>
  </si>
  <si>
    <t>MXN/USD</t>
  </si>
  <si>
    <t>2006-2018</t>
  </si>
  <si>
    <t>2019-2024</t>
  </si>
  <si>
    <t>https://www.banxico.org.mx/tipcamb/tipCamMIAction.do?idioma=sp</t>
  </si>
  <si>
    <t>Información diaria</t>
  </si>
  <si>
    <t>Fecha</t>
  </si>
  <si>
    <t>Fecha corregida</t>
  </si>
  <si>
    <t>Año</t>
  </si>
  <si>
    <t>Determinación</t>
  </si>
  <si>
    <t>Publicación
DOF</t>
  </si>
  <si>
    <t>Para solventar
obligaciones</t>
  </si>
  <si>
    <t>01/01/2006</t>
  </si>
  <si>
    <t>N/E</t>
  </si>
  <si>
    <t>01/01/2019</t>
  </si>
  <si>
    <t>02/01/2006</t>
  </si>
  <si>
    <t>02/01/2019</t>
  </si>
  <si>
    <t>03/01/2006</t>
  </si>
  <si>
    <t>03/01/2019</t>
  </si>
  <si>
    <t>04/01/2006</t>
  </si>
  <si>
    <t>04/01/2019</t>
  </si>
  <si>
    <t>05/01/2006</t>
  </si>
  <si>
    <t>05/01/2019</t>
  </si>
  <si>
    <t>06/01/2006</t>
  </si>
  <si>
    <t>06/01/2019</t>
  </si>
  <si>
    <t>07/01/2006</t>
  </si>
  <si>
    <t>07/01/2019</t>
  </si>
  <si>
    <t>08/01/2006</t>
  </si>
  <si>
    <t>08/01/2019</t>
  </si>
  <si>
    <t>09/01/2006</t>
  </si>
  <si>
    <t>09/01/2019</t>
  </si>
  <si>
    <t>10/01/2006</t>
  </si>
  <si>
    <t>10/01/2019</t>
  </si>
  <si>
    <t>11/01/2006</t>
  </si>
  <si>
    <t>11/01/2019</t>
  </si>
  <si>
    <t>12/01/2006</t>
  </si>
  <si>
    <t>12/01/2019</t>
  </si>
  <si>
    <t>13/01/2006</t>
  </si>
  <si>
    <t>13/01/2019</t>
  </si>
  <si>
    <t>14/01/2006</t>
  </si>
  <si>
    <t>14/01/2019</t>
  </si>
  <si>
    <t>15/01/2006</t>
  </si>
  <si>
    <t>15/01/2019</t>
  </si>
  <si>
    <t>16/01/2006</t>
  </si>
  <si>
    <t>16/01/2019</t>
  </si>
  <si>
    <t>17/01/2006</t>
  </si>
  <si>
    <t>17/01/2019</t>
  </si>
  <si>
    <t>18/01/2006</t>
  </si>
  <si>
    <t>18/01/2019</t>
  </si>
  <si>
    <t>19/01/2006</t>
  </si>
  <si>
    <t>19/01/2019</t>
  </si>
  <si>
    <t>20/01/2006</t>
  </si>
  <si>
    <t>20/01/2019</t>
  </si>
  <si>
    <t>21/01/2006</t>
  </si>
  <si>
    <t>21/01/2019</t>
  </si>
  <si>
    <t>22/01/2006</t>
  </si>
  <si>
    <t>22/01/2019</t>
  </si>
  <si>
    <t>23/01/2006</t>
  </si>
  <si>
    <t>23/01/2019</t>
  </si>
  <si>
    <t>24/01/2006</t>
  </si>
  <si>
    <t>24/01/2019</t>
  </si>
  <si>
    <t>25/01/2006</t>
  </si>
  <si>
    <t>25/01/2019</t>
  </si>
  <si>
    <t>26/01/2006</t>
  </si>
  <si>
    <t>26/01/2019</t>
  </si>
  <si>
    <t>27/01/2006</t>
  </si>
  <si>
    <t>27/01/2019</t>
  </si>
  <si>
    <t>28/01/2006</t>
  </si>
  <si>
    <t>28/01/2019</t>
  </si>
  <si>
    <t>29/01/2006</t>
  </si>
  <si>
    <t>29/01/2019</t>
  </si>
  <si>
    <t>30/01/2006</t>
  </si>
  <si>
    <t>30/01/2019</t>
  </si>
  <si>
    <t>31/01/2006</t>
  </si>
  <si>
    <t>31/01/2019</t>
  </si>
  <si>
    <t>01/02/2006</t>
  </si>
  <si>
    <t>01/02/2019</t>
  </si>
  <si>
    <t>02/02/2006</t>
  </si>
  <si>
    <t>02/02/2019</t>
  </si>
  <si>
    <t>03/02/2006</t>
  </si>
  <si>
    <t>03/02/2019</t>
  </si>
  <si>
    <t>04/02/2006</t>
  </si>
  <si>
    <t>04/02/2019</t>
  </si>
  <si>
    <t>05/02/2006</t>
  </si>
  <si>
    <t>05/02/2019</t>
  </si>
  <si>
    <t>06/02/2006</t>
  </si>
  <si>
    <t>06/02/2019</t>
  </si>
  <si>
    <t>07/02/2006</t>
  </si>
  <si>
    <t>07/02/2019</t>
  </si>
  <si>
    <t>08/02/2006</t>
  </si>
  <si>
    <t>08/02/2019</t>
  </si>
  <si>
    <t>09/02/2006</t>
  </si>
  <si>
    <t>09/02/2019</t>
  </si>
  <si>
    <t>10/02/2006</t>
  </si>
  <si>
    <t>10/02/2019</t>
  </si>
  <si>
    <t>11/02/2006</t>
  </si>
  <si>
    <t>11/02/2019</t>
  </si>
  <si>
    <t>12/02/2006</t>
  </si>
  <si>
    <t>12/02/2019</t>
  </si>
  <si>
    <t>13/02/2006</t>
  </si>
  <si>
    <t>13/02/2019</t>
  </si>
  <si>
    <t>14/02/2006</t>
  </si>
  <si>
    <t>14/02/2019</t>
  </si>
  <si>
    <t>15/02/2006</t>
  </si>
  <si>
    <t>15/02/2019</t>
  </si>
  <si>
    <t>16/02/2006</t>
  </si>
  <si>
    <t>16/02/2019</t>
  </si>
  <si>
    <t>17/02/2006</t>
  </si>
  <si>
    <t>17/02/2019</t>
  </si>
  <si>
    <t>18/02/2006</t>
  </si>
  <si>
    <t>18/02/2019</t>
  </si>
  <si>
    <t>19/02/2006</t>
  </si>
  <si>
    <t>19/02/2019</t>
  </si>
  <si>
    <t>20/02/2006</t>
  </si>
  <si>
    <t>20/02/2019</t>
  </si>
  <si>
    <t>21/02/2006</t>
  </si>
  <si>
    <t>21/02/2019</t>
  </si>
  <si>
    <t>22/02/2006</t>
  </si>
  <si>
    <t>22/02/2019</t>
  </si>
  <si>
    <t>23/02/2006</t>
  </si>
  <si>
    <t>23/02/2019</t>
  </si>
  <si>
    <t>24/02/2006</t>
  </si>
  <si>
    <t>24/02/2019</t>
  </si>
  <si>
    <t>25/02/2006</t>
  </si>
  <si>
    <t>25/02/2019</t>
  </si>
  <si>
    <t>26/02/2006</t>
  </si>
  <si>
    <t>26/02/2019</t>
  </si>
  <si>
    <t>27/02/2006</t>
  </si>
  <si>
    <t>27/02/2019</t>
  </si>
  <si>
    <t>28/02/2006</t>
  </si>
  <si>
    <t>28/02/2019</t>
  </si>
  <si>
    <t>01/03/2006</t>
  </si>
  <si>
    <t>01/03/2019</t>
  </si>
  <si>
    <t>02/03/2006</t>
  </si>
  <si>
    <t>02/03/2019</t>
  </si>
  <si>
    <t>03/03/2006</t>
  </si>
  <si>
    <t>03/03/2019</t>
  </si>
  <si>
    <t>04/03/2006</t>
  </si>
  <si>
    <t>04/03/2019</t>
  </si>
  <si>
    <t>05/03/2006</t>
  </si>
  <si>
    <t>05/03/2019</t>
  </si>
  <si>
    <t>06/03/2006</t>
  </si>
  <si>
    <t>06/03/2019</t>
  </si>
  <si>
    <t>07/03/2006</t>
  </si>
  <si>
    <t>07/03/2019</t>
  </si>
  <si>
    <t>08/03/2006</t>
  </si>
  <si>
    <t>08/03/2019</t>
  </si>
  <si>
    <t>09/03/2006</t>
  </si>
  <si>
    <t>09/03/2019</t>
  </si>
  <si>
    <t>10/03/2006</t>
  </si>
  <si>
    <t>10/03/2019</t>
  </si>
  <si>
    <t>11/03/2006</t>
  </si>
  <si>
    <t>11/03/2019</t>
  </si>
  <si>
    <t>12/03/2006</t>
  </si>
  <si>
    <t>12/03/2019</t>
  </si>
  <si>
    <t>13/03/2006</t>
  </si>
  <si>
    <t>13/03/2019</t>
  </si>
  <si>
    <t>14/03/2006</t>
  </si>
  <si>
    <t>14/03/2019</t>
  </si>
  <si>
    <t>15/03/2006</t>
  </si>
  <si>
    <t>15/03/2019</t>
  </si>
  <si>
    <t>16/03/2006</t>
  </si>
  <si>
    <t>16/03/2019</t>
  </si>
  <si>
    <t>17/03/2006</t>
  </si>
  <si>
    <t>17/03/2019</t>
  </si>
  <si>
    <t>18/03/2006</t>
  </si>
  <si>
    <t>18/03/2019</t>
  </si>
  <si>
    <t>19/03/2006</t>
  </si>
  <si>
    <t>19/03/2019</t>
  </si>
  <si>
    <t>20/03/2006</t>
  </si>
  <si>
    <t>20/03/2019</t>
  </si>
  <si>
    <t>21/03/2006</t>
  </si>
  <si>
    <t>21/03/2019</t>
  </si>
  <si>
    <t>22/03/2006</t>
  </si>
  <si>
    <t>22/03/2019</t>
  </si>
  <si>
    <t>23/03/2006</t>
  </si>
  <si>
    <t>23/03/2019</t>
  </si>
  <si>
    <t>24/03/2006</t>
  </si>
  <si>
    <t>24/03/2019</t>
  </si>
  <si>
    <t>25/03/2006</t>
  </si>
  <si>
    <t>25/03/2019</t>
  </si>
  <si>
    <t>26/03/2006</t>
  </si>
  <si>
    <t>26/03/2019</t>
  </si>
  <si>
    <t>27/03/2006</t>
  </si>
  <si>
    <t>27/03/2019</t>
  </si>
  <si>
    <t>28/03/2006</t>
  </si>
  <si>
    <t>28/03/2019</t>
  </si>
  <si>
    <t>29/03/2006</t>
  </si>
  <si>
    <t>29/03/2019</t>
  </si>
  <si>
    <t>30/03/2006</t>
  </si>
  <si>
    <t>30/03/2019</t>
  </si>
  <si>
    <t>31/03/2006</t>
  </si>
  <si>
    <t>31/03/2019</t>
  </si>
  <si>
    <t>01/04/2006</t>
  </si>
  <si>
    <t>01/04/2019</t>
  </si>
  <si>
    <t>02/04/2006</t>
  </si>
  <si>
    <t>02/04/2019</t>
  </si>
  <si>
    <t>03/04/2006</t>
  </si>
  <si>
    <t>03/04/2019</t>
  </si>
  <si>
    <t>04/04/2006</t>
  </si>
  <si>
    <t>04/04/2019</t>
  </si>
  <si>
    <t>05/04/2006</t>
  </si>
  <si>
    <t>05/04/2019</t>
  </si>
  <si>
    <t>06/04/2006</t>
  </si>
  <si>
    <t>06/04/2019</t>
  </si>
  <si>
    <t>07/04/2006</t>
  </si>
  <si>
    <t>07/04/2019</t>
  </si>
  <si>
    <t>08/04/2006</t>
  </si>
  <si>
    <t>08/04/2019</t>
  </si>
  <si>
    <t>09/04/2006</t>
  </si>
  <si>
    <t>09/04/2019</t>
  </si>
  <si>
    <t>10/04/2006</t>
  </si>
  <si>
    <t>10/04/2019</t>
  </si>
  <si>
    <t>11/04/2006</t>
  </si>
  <si>
    <t>11/04/2019</t>
  </si>
  <si>
    <t>12/04/2006</t>
  </si>
  <si>
    <t>12/04/2019</t>
  </si>
  <si>
    <t>13/04/2006</t>
  </si>
  <si>
    <t>13/04/2019</t>
  </si>
  <si>
    <t>14/04/2006</t>
  </si>
  <si>
    <t>14/04/2019</t>
  </si>
  <si>
    <t>15/04/2006</t>
  </si>
  <si>
    <t>15/04/2019</t>
  </si>
  <si>
    <t>16/04/2006</t>
  </si>
  <si>
    <t>16/04/2019</t>
  </si>
  <si>
    <t>17/04/2006</t>
  </si>
  <si>
    <t>17/04/2019</t>
  </si>
  <si>
    <t>18/04/2006</t>
  </si>
  <si>
    <t>18/04/2019</t>
  </si>
  <si>
    <t>19/04/2006</t>
  </si>
  <si>
    <t>19/04/2019</t>
  </si>
  <si>
    <t>20/04/2006</t>
  </si>
  <si>
    <t>20/04/2019</t>
  </si>
  <si>
    <t>21/04/2006</t>
  </si>
  <si>
    <t>21/04/2019</t>
  </si>
  <si>
    <t>22/04/2006</t>
  </si>
  <si>
    <t>22/04/2019</t>
  </si>
  <si>
    <t>23/04/2006</t>
  </si>
  <si>
    <t>23/04/2019</t>
  </si>
  <si>
    <t>24/04/2006</t>
  </si>
  <si>
    <t>24/04/2019</t>
  </si>
  <si>
    <t>25/04/2006</t>
  </si>
  <si>
    <t>25/04/2019</t>
  </si>
  <si>
    <t>26/04/2006</t>
  </si>
  <si>
    <t>26/04/2019</t>
  </si>
  <si>
    <t>27/04/2006</t>
  </si>
  <si>
    <t>27/04/2019</t>
  </si>
  <si>
    <t>28/04/2006</t>
  </si>
  <si>
    <t>28/04/2019</t>
  </si>
  <si>
    <t>29/04/2006</t>
  </si>
  <si>
    <t>29/04/2019</t>
  </si>
  <si>
    <t>30/04/2006</t>
  </si>
  <si>
    <t>30/04/2019</t>
  </si>
  <si>
    <t>01/05/2006</t>
  </si>
  <si>
    <t>01/05/2019</t>
  </si>
  <si>
    <t>02/05/2006</t>
  </si>
  <si>
    <t>02/05/2019</t>
  </si>
  <si>
    <t>03/05/2006</t>
  </si>
  <si>
    <t>03/05/2019</t>
  </si>
  <si>
    <t>04/05/2006</t>
  </si>
  <si>
    <t>04/05/2019</t>
  </si>
  <si>
    <t>05/05/2006</t>
  </si>
  <si>
    <t>05/05/2019</t>
  </si>
  <si>
    <t>06/05/2006</t>
  </si>
  <si>
    <t>06/05/2019</t>
  </si>
  <si>
    <t>07/05/2006</t>
  </si>
  <si>
    <t>07/05/2019</t>
  </si>
  <si>
    <t>08/05/2006</t>
  </si>
  <si>
    <t>08/05/2019</t>
  </si>
  <si>
    <t>09/05/2006</t>
  </si>
  <si>
    <t>09/05/2019</t>
  </si>
  <si>
    <t>10/05/2006</t>
  </si>
  <si>
    <t>10/05/2019</t>
  </si>
  <si>
    <t>11/05/2006</t>
  </si>
  <si>
    <t>11/05/2019</t>
  </si>
  <si>
    <t>12/05/2006</t>
  </si>
  <si>
    <t>12/05/2019</t>
  </si>
  <si>
    <t>13/05/2006</t>
  </si>
  <si>
    <t>13/05/2019</t>
  </si>
  <si>
    <t>14/05/2006</t>
  </si>
  <si>
    <t>14/05/2019</t>
  </si>
  <si>
    <t>15/05/2006</t>
  </si>
  <si>
    <t>15/05/2019</t>
  </si>
  <si>
    <t>16/05/2006</t>
  </si>
  <si>
    <t>16/05/2019</t>
  </si>
  <si>
    <t>17/05/2006</t>
  </si>
  <si>
    <t>17/05/2019</t>
  </si>
  <si>
    <t>18/05/2006</t>
  </si>
  <si>
    <t>18/05/2019</t>
  </si>
  <si>
    <t>19/05/2006</t>
  </si>
  <si>
    <t>19/05/2019</t>
  </si>
  <si>
    <t>20/05/2006</t>
  </si>
  <si>
    <t>20/05/2019</t>
  </si>
  <si>
    <t>21/05/2006</t>
  </si>
  <si>
    <t>21/05/2019</t>
  </si>
  <si>
    <t>22/05/2006</t>
  </si>
  <si>
    <t>22/05/2019</t>
  </si>
  <si>
    <t>23/05/2006</t>
  </si>
  <si>
    <t>23/05/2019</t>
  </si>
  <si>
    <t>24/05/2006</t>
  </si>
  <si>
    <t>24/05/2019</t>
  </si>
  <si>
    <t>25/05/2006</t>
  </si>
  <si>
    <t>25/05/2019</t>
  </si>
  <si>
    <t>26/05/2006</t>
  </si>
  <si>
    <t>26/05/2019</t>
  </si>
  <si>
    <t>27/05/2006</t>
  </si>
  <si>
    <t>27/05/2019</t>
  </si>
  <si>
    <t>28/05/2006</t>
  </si>
  <si>
    <t>28/05/2019</t>
  </si>
  <si>
    <t>29/05/2006</t>
  </si>
  <si>
    <t>29/05/2019</t>
  </si>
  <si>
    <t>30/05/2006</t>
  </si>
  <si>
    <t>30/05/2019</t>
  </si>
  <si>
    <t>31/05/2006</t>
  </si>
  <si>
    <t>31/05/2019</t>
  </si>
  <si>
    <t>01/06/2006</t>
  </si>
  <si>
    <t>01/06/2019</t>
  </si>
  <si>
    <t>02/06/2006</t>
  </si>
  <si>
    <t>02/06/2019</t>
  </si>
  <si>
    <t>03/06/2006</t>
  </si>
  <si>
    <t>03/06/2019</t>
  </si>
  <si>
    <t>04/06/2006</t>
  </si>
  <si>
    <t>04/06/2019</t>
  </si>
  <si>
    <t>05/06/2006</t>
  </si>
  <si>
    <t>05/06/2019</t>
  </si>
  <si>
    <t>06/06/2006</t>
  </si>
  <si>
    <t>06/06/2019</t>
  </si>
  <si>
    <t>07/06/2006</t>
  </si>
  <si>
    <t>07/06/2019</t>
  </si>
  <si>
    <t>08/06/2006</t>
  </si>
  <si>
    <t>08/06/2019</t>
  </si>
  <si>
    <t>09/06/2006</t>
  </si>
  <si>
    <t>09/06/2019</t>
  </si>
  <si>
    <t>10/06/2006</t>
  </si>
  <si>
    <t>10/06/2019</t>
  </si>
  <si>
    <t>11/06/2006</t>
  </si>
  <si>
    <t>11/06/2019</t>
  </si>
  <si>
    <t>12/06/2006</t>
  </si>
  <si>
    <t>12/06/2019</t>
  </si>
  <si>
    <t>13/06/2006</t>
  </si>
  <si>
    <t>13/06/2019</t>
  </si>
  <si>
    <t>14/06/2006</t>
  </si>
  <si>
    <t>14/06/2019</t>
  </si>
  <si>
    <t>15/06/2006</t>
  </si>
  <si>
    <t>15/06/2019</t>
  </si>
  <si>
    <t>16/06/2006</t>
  </si>
  <si>
    <t>16/06/2019</t>
  </si>
  <si>
    <t>17/06/2006</t>
  </si>
  <si>
    <t>17/06/2019</t>
  </si>
  <si>
    <t>18/06/2006</t>
  </si>
  <si>
    <t>18/06/2019</t>
  </si>
  <si>
    <t>19/06/2006</t>
  </si>
  <si>
    <t>19/06/2019</t>
  </si>
  <si>
    <t>20/06/2006</t>
  </si>
  <si>
    <t>20/06/2019</t>
  </si>
  <si>
    <t>21/06/2006</t>
  </si>
  <si>
    <t>21/06/2019</t>
  </si>
  <si>
    <t>22/06/2006</t>
  </si>
  <si>
    <t>22/06/2019</t>
  </si>
  <si>
    <t>23/06/2006</t>
  </si>
  <si>
    <t>23/06/2019</t>
  </si>
  <si>
    <t>24/06/2006</t>
  </si>
  <si>
    <t>24/06/2019</t>
  </si>
  <si>
    <t>25/06/2006</t>
  </si>
  <si>
    <t>25/06/2019</t>
  </si>
  <si>
    <t>26/06/2006</t>
  </si>
  <si>
    <t>26/06/2019</t>
  </si>
  <si>
    <t>27/06/2006</t>
  </si>
  <si>
    <t>27/06/2019</t>
  </si>
  <si>
    <t>28/06/2006</t>
  </si>
  <si>
    <t>28/06/2019</t>
  </si>
  <si>
    <t>29/06/2006</t>
  </si>
  <si>
    <t>29/06/2019</t>
  </si>
  <si>
    <t>30/06/2006</t>
  </si>
  <si>
    <t>30/06/2019</t>
  </si>
  <si>
    <t>01/07/2006</t>
  </si>
  <si>
    <t>01/07/2019</t>
  </si>
  <si>
    <t>02/07/2006</t>
  </si>
  <si>
    <t>02/07/2019</t>
  </si>
  <si>
    <t>03/07/2006</t>
  </si>
  <si>
    <t>03/07/2019</t>
  </si>
  <si>
    <t>04/07/2006</t>
  </si>
  <si>
    <t>04/07/2019</t>
  </si>
  <si>
    <t>05/07/2006</t>
  </si>
  <si>
    <t>05/07/2019</t>
  </si>
  <si>
    <t>06/07/2006</t>
  </si>
  <si>
    <t>06/07/2019</t>
  </si>
  <si>
    <t>07/07/2006</t>
  </si>
  <si>
    <t>07/07/2019</t>
  </si>
  <si>
    <t>08/07/2006</t>
  </si>
  <si>
    <t>08/07/2019</t>
  </si>
  <si>
    <t>09/07/2006</t>
  </si>
  <si>
    <t>09/07/2019</t>
  </si>
  <si>
    <t>10/07/2006</t>
  </si>
  <si>
    <t>10/07/2019</t>
  </si>
  <si>
    <t>11/07/2006</t>
  </si>
  <si>
    <t>11/07/2019</t>
  </si>
  <si>
    <t>12/07/2006</t>
  </si>
  <si>
    <t>12/07/2019</t>
  </si>
  <si>
    <t>13/07/2006</t>
  </si>
  <si>
    <t>13/07/2019</t>
  </si>
  <si>
    <t>14/07/2006</t>
  </si>
  <si>
    <t>14/07/2019</t>
  </si>
  <si>
    <t>15/07/2006</t>
  </si>
  <si>
    <t>15/07/2019</t>
  </si>
  <si>
    <t>16/07/2006</t>
  </si>
  <si>
    <t>16/07/2019</t>
  </si>
  <si>
    <t>17/07/2006</t>
  </si>
  <si>
    <t>17/07/2019</t>
  </si>
  <si>
    <t>18/07/2006</t>
  </si>
  <si>
    <t>18/07/2019</t>
  </si>
  <si>
    <t>19/07/2006</t>
  </si>
  <si>
    <t>19/07/2019</t>
  </si>
  <si>
    <t>20/07/2006</t>
  </si>
  <si>
    <t>20/07/2019</t>
  </si>
  <si>
    <t>21/07/2006</t>
  </si>
  <si>
    <t>21/07/2019</t>
  </si>
  <si>
    <t>22/07/2006</t>
  </si>
  <si>
    <t>22/07/2019</t>
  </si>
  <si>
    <t>23/07/2006</t>
  </si>
  <si>
    <t>23/07/2019</t>
  </si>
  <si>
    <t>24/07/2006</t>
  </si>
  <si>
    <t>24/07/2019</t>
  </si>
  <si>
    <t>25/07/2006</t>
  </si>
  <si>
    <t>25/07/2019</t>
  </si>
  <si>
    <t>26/07/2006</t>
  </si>
  <si>
    <t>26/07/2019</t>
  </si>
  <si>
    <t>27/07/2006</t>
  </si>
  <si>
    <t>27/07/2019</t>
  </si>
  <si>
    <t>28/07/2006</t>
  </si>
  <si>
    <t>28/07/2019</t>
  </si>
  <si>
    <t>29/07/2006</t>
  </si>
  <si>
    <t>29/07/2019</t>
  </si>
  <si>
    <t>30/07/2006</t>
  </si>
  <si>
    <t>30/07/2019</t>
  </si>
  <si>
    <t>31/07/2006</t>
  </si>
  <si>
    <t>31/07/2019</t>
  </si>
  <si>
    <t>01/08/2006</t>
  </si>
  <si>
    <t>01/08/2019</t>
  </si>
  <si>
    <t>02/08/2006</t>
  </si>
  <si>
    <t>02/08/2019</t>
  </si>
  <si>
    <t>03/08/2006</t>
  </si>
  <si>
    <t>03/08/2019</t>
  </si>
  <si>
    <t>04/08/2006</t>
  </si>
  <si>
    <t>04/08/2019</t>
  </si>
  <si>
    <t>05/08/2006</t>
  </si>
  <si>
    <t>05/08/2019</t>
  </si>
  <si>
    <t>06/08/2006</t>
  </si>
  <si>
    <t>06/08/2019</t>
  </si>
  <si>
    <t>07/08/2006</t>
  </si>
  <si>
    <t>07/08/2019</t>
  </si>
  <si>
    <t>08/08/2006</t>
  </si>
  <si>
    <t>08/08/2019</t>
  </si>
  <si>
    <t>09/08/2006</t>
  </si>
  <si>
    <t>09/08/2019</t>
  </si>
  <si>
    <t>10/08/2006</t>
  </si>
  <si>
    <t>10/08/2019</t>
  </si>
  <si>
    <t>11/08/2006</t>
  </si>
  <si>
    <t>11/08/2019</t>
  </si>
  <si>
    <t>12/08/2006</t>
  </si>
  <si>
    <t>12/08/2019</t>
  </si>
  <si>
    <t>13/08/2006</t>
  </si>
  <si>
    <t>13/08/2019</t>
  </si>
  <si>
    <t>14/08/2006</t>
  </si>
  <si>
    <t>14/08/2019</t>
  </si>
  <si>
    <t>15/08/2006</t>
  </si>
  <si>
    <t>15/08/2019</t>
  </si>
  <si>
    <t>16/08/2006</t>
  </si>
  <si>
    <t>16/08/2019</t>
  </si>
  <si>
    <t>17/08/2006</t>
  </si>
  <si>
    <t>17/08/2019</t>
  </si>
  <si>
    <t>18/08/2006</t>
  </si>
  <si>
    <t>18/08/2019</t>
  </si>
  <si>
    <t>19/08/2006</t>
  </si>
  <si>
    <t>19/08/2019</t>
  </si>
  <si>
    <t>20/08/2006</t>
  </si>
  <si>
    <t>20/08/2019</t>
  </si>
  <si>
    <t>21/08/2006</t>
  </si>
  <si>
    <t>21/08/2019</t>
  </si>
  <si>
    <t>22/08/2006</t>
  </si>
  <si>
    <t>22/08/2019</t>
  </si>
  <si>
    <t>23/08/2006</t>
  </si>
  <si>
    <t>23/08/2019</t>
  </si>
  <si>
    <t>24/08/2006</t>
  </si>
  <si>
    <t>24/08/2019</t>
  </si>
  <si>
    <t>25/08/2006</t>
  </si>
  <si>
    <t>25/08/2019</t>
  </si>
  <si>
    <t>26/08/2006</t>
  </si>
  <si>
    <t>26/08/2019</t>
  </si>
  <si>
    <t>27/08/2006</t>
  </si>
  <si>
    <t>27/08/2019</t>
  </si>
  <si>
    <t>28/08/2006</t>
  </si>
  <si>
    <t>28/08/2019</t>
  </si>
  <si>
    <t>29/08/2006</t>
  </si>
  <si>
    <t>29/08/2019</t>
  </si>
  <si>
    <t>30/08/2006</t>
  </si>
  <si>
    <t>30/08/2019</t>
  </si>
  <si>
    <t>31/08/2006</t>
  </si>
  <si>
    <t>31/08/2019</t>
  </si>
  <si>
    <t>01/09/2006</t>
  </si>
  <si>
    <t>01/09/2019</t>
  </si>
  <si>
    <t>02/09/2006</t>
  </si>
  <si>
    <t>02/09/2019</t>
  </si>
  <si>
    <t>03/09/2006</t>
  </si>
  <si>
    <t>03/09/2019</t>
  </si>
  <si>
    <t>04/09/2006</t>
  </si>
  <si>
    <t>04/09/2019</t>
  </si>
  <si>
    <t>05/09/2006</t>
  </si>
  <si>
    <t>05/09/2019</t>
  </si>
  <si>
    <t>06/09/2006</t>
  </si>
  <si>
    <t>06/09/2019</t>
  </si>
  <si>
    <t>07/09/2006</t>
  </si>
  <si>
    <t>07/09/2019</t>
  </si>
  <si>
    <t>08/09/2006</t>
  </si>
  <si>
    <t>08/09/2019</t>
  </si>
  <si>
    <t>09/09/2006</t>
  </si>
  <si>
    <t>09/09/2019</t>
  </si>
  <si>
    <t>10/09/2006</t>
  </si>
  <si>
    <t>10/09/2019</t>
  </si>
  <si>
    <t>11/09/2006</t>
  </si>
  <si>
    <t>11/09/2019</t>
  </si>
  <si>
    <t>12/09/2006</t>
  </si>
  <si>
    <t>12/09/2019</t>
  </si>
  <si>
    <t>13/09/2006</t>
  </si>
  <si>
    <t>13/09/2019</t>
  </si>
  <si>
    <t>14/09/2006</t>
  </si>
  <si>
    <t>14/09/2019</t>
  </si>
  <si>
    <t>15/09/2006</t>
  </si>
  <si>
    <t>15/09/2019</t>
  </si>
  <si>
    <t>16/09/2006</t>
  </si>
  <si>
    <t>16/09/2019</t>
  </si>
  <si>
    <t>17/09/2006</t>
  </si>
  <si>
    <t>17/09/2019</t>
  </si>
  <si>
    <t>18/09/2006</t>
  </si>
  <si>
    <t>18/09/2019</t>
  </si>
  <si>
    <t>19/09/2006</t>
  </si>
  <si>
    <t>19/09/2019</t>
  </si>
  <si>
    <t>20/09/2006</t>
  </si>
  <si>
    <t>20/09/2019</t>
  </si>
  <si>
    <t>21/09/2006</t>
  </si>
  <si>
    <t>21/09/2019</t>
  </si>
  <si>
    <t>22/09/2006</t>
  </si>
  <si>
    <t>22/09/2019</t>
  </si>
  <si>
    <t>23/09/2006</t>
  </si>
  <si>
    <t>23/09/2019</t>
  </si>
  <si>
    <t>24/09/2006</t>
  </si>
  <si>
    <t>24/09/2019</t>
  </si>
  <si>
    <t>25/09/2006</t>
  </si>
  <si>
    <t>25/09/2019</t>
  </si>
  <si>
    <t>26/09/2006</t>
  </si>
  <si>
    <t>26/09/2019</t>
  </si>
  <si>
    <t>27/09/2006</t>
  </si>
  <si>
    <t>27/09/2019</t>
  </si>
  <si>
    <t>28/09/2006</t>
  </si>
  <si>
    <t>28/09/2019</t>
  </si>
  <si>
    <t>29/09/2006</t>
  </si>
  <si>
    <t>29/09/2019</t>
  </si>
  <si>
    <t>30/09/2006</t>
  </si>
  <si>
    <t>30/09/2019</t>
  </si>
  <si>
    <t>01/10/2006</t>
  </si>
  <si>
    <t>01/10/2019</t>
  </si>
  <si>
    <t>02/10/2006</t>
  </si>
  <si>
    <t>02/10/2019</t>
  </si>
  <si>
    <t>03/10/2006</t>
  </si>
  <si>
    <t>03/10/2019</t>
  </si>
  <si>
    <t>04/10/2006</t>
  </si>
  <si>
    <t>04/10/2019</t>
  </si>
  <si>
    <t>05/10/2006</t>
  </si>
  <si>
    <t>05/10/2019</t>
  </si>
  <si>
    <t>06/10/2006</t>
  </si>
  <si>
    <t>06/10/2019</t>
  </si>
  <si>
    <t>07/10/2006</t>
  </si>
  <si>
    <t>07/10/2019</t>
  </si>
  <si>
    <t>08/10/2006</t>
  </si>
  <si>
    <t>08/10/2019</t>
  </si>
  <si>
    <t>09/10/2006</t>
  </si>
  <si>
    <t>09/10/2019</t>
  </si>
  <si>
    <t>10/10/2006</t>
  </si>
  <si>
    <t>10/10/2019</t>
  </si>
  <si>
    <t>11/10/2006</t>
  </si>
  <si>
    <t>11/10/2019</t>
  </si>
  <si>
    <t>12/10/2006</t>
  </si>
  <si>
    <t>12/10/2019</t>
  </si>
  <si>
    <t>13/10/2006</t>
  </si>
  <si>
    <t>13/10/2019</t>
  </si>
  <si>
    <t>14/10/2006</t>
  </si>
  <si>
    <t>14/10/2019</t>
  </si>
  <si>
    <t>15/10/2006</t>
  </si>
  <si>
    <t>15/10/2019</t>
  </si>
  <si>
    <t>16/10/2006</t>
  </si>
  <si>
    <t>16/10/2019</t>
  </si>
  <si>
    <t>17/10/2006</t>
  </si>
  <si>
    <t>17/10/2019</t>
  </si>
  <si>
    <t>18/10/2006</t>
  </si>
  <si>
    <t>18/10/2019</t>
  </si>
  <si>
    <t>19/10/2006</t>
  </si>
  <si>
    <t>19/10/2019</t>
  </si>
  <si>
    <t>20/10/2006</t>
  </si>
  <si>
    <t>20/10/2019</t>
  </si>
  <si>
    <t>21/10/2006</t>
  </si>
  <si>
    <t>21/10/2019</t>
  </si>
  <si>
    <t>22/10/2006</t>
  </si>
  <si>
    <t>22/10/2019</t>
  </si>
  <si>
    <t>23/10/2006</t>
  </si>
  <si>
    <t>23/10/2019</t>
  </si>
  <si>
    <t>24/10/2006</t>
  </si>
  <si>
    <t>24/10/2019</t>
  </si>
  <si>
    <t>25/10/2006</t>
  </si>
  <si>
    <t>25/10/2019</t>
  </si>
  <si>
    <t>26/10/2006</t>
  </si>
  <si>
    <t>26/10/2019</t>
  </si>
  <si>
    <t>27/10/2006</t>
  </si>
  <si>
    <t>27/10/2019</t>
  </si>
  <si>
    <t>28/10/2006</t>
  </si>
  <si>
    <t>28/10/2019</t>
  </si>
  <si>
    <t>29/10/2006</t>
  </si>
  <si>
    <t>29/10/2019</t>
  </si>
  <si>
    <t>30/10/2006</t>
  </si>
  <si>
    <t>30/10/2019</t>
  </si>
  <si>
    <t>31/10/2006</t>
  </si>
  <si>
    <t>31/10/2019</t>
  </si>
  <si>
    <t>01/11/2006</t>
  </si>
  <si>
    <t>01/11/2019</t>
  </si>
  <si>
    <t>02/11/2006</t>
  </si>
  <si>
    <t>02/11/2019</t>
  </si>
  <si>
    <t>03/11/2006</t>
  </si>
  <si>
    <t>03/11/2019</t>
  </si>
  <si>
    <t>04/11/2006</t>
  </si>
  <si>
    <t>04/11/2019</t>
  </si>
  <si>
    <t>05/11/2006</t>
  </si>
  <si>
    <t>05/11/2019</t>
  </si>
  <si>
    <t>06/11/2006</t>
  </si>
  <si>
    <t>06/11/2019</t>
  </si>
  <si>
    <t>07/11/2006</t>
  </si>
  <si>
    <t>07/11/2019</t>
  </si>
  <si>
    <t>08/11/2006</t>
  </si>
  <si>
    <t>08/11/2019</t>
  </si>
  <si>
    <t>09/11/2006</t>
  </si>
  <si>
    <t>09/11/2019</t>
  </si>
  <si>
    <t>10/11/2006</t>
  </si>
  <si>
    <t>10/11/2019</t>
  </si>
  <si>
    <t>11/11/2006</t>
  </si>
  <si>
    <t>11/11/2019</t>
  </si>
  <si>
    <t>12/11/2006</t>
  </si>
  <si>
    <t>12/11/2019</t>
  </si>
  <si>
    <t>13/11/2006</t>
  </si>
  <si>
    <t>13/11/2019</t>
  </si>
  <si>
    <t>14/11/2006</t>
  </si>
  <si>
    <t>14/11/2019</t>
  </si>
  <si>
    <t>15/11/2006</t>
  </si>
  <si>
    <t>15/11/2019</t>
  </si>
  <si>
    <t>16/11/2006</t>
  </si>
  <si>
    <t>16/11/2019</t>
  </si>
  <si>
    <t>17/11/2006</t>
  </si>
  <si>
    <t>17/11/2019</t>
  </si>
  <si>
    <t>18/11/2006</t>
  </si>
  <si>
    <t>18/11/2019</t>
  </si>
  <si>
    <t>19/11/2006</t>
  </si>
  <si>
    <t>19/11/2019</t>
  </si>
  <si>
    <t>20/11/2006</t>
  </si>
  <si>
    <t>20/11/2019</t>
  </si>
  <si>
    <t>21/11/2006</t>
  </si>
  <si>
    <t>21/11/2019</t>
  </si>
  <si>
    <t>22/11/2006</t>
  </si>
  <si>
    <t>22/11/2019</t>
  </si>
  <si>
    <t>23/11/2006</t>
  </si>
  <si>
    <t>23/11/2019</t>
  </si>
  <si>
    <t>24/11/2006</t>
  </si>
  <si>
    <t>24/11/2019</t>
  </si>
  <si>
    <t>25/11/2006</t>
  </si>
  <si>
    <t>25/11/2019</t>
  </si>
  <si>
    <t>26/11/2006</t>
  </si>
  <si>
    <t>26/11/2019</t>
  </si>
  <si>
    <t>27/11/2006</t>
  </si>
  <si>
    <t>27/11/2019</t>
  </si>
  <si>
    <t>28/11/2006</t>
  </si>
  <si>
    <t>28/11/2019</t>
  </si>
  <si>
    <t>29/11/2006</t>
  </si>
  <si>
    <t>29/11/2019</t>
  </si>
  <si>
    <t>30/11/2006</t>
  </si>
  <si>
    <t>30/11/2019</t>
  </si>
  <si>
    <t>01/12/2006</t>
  </si>
  <si>
    <t>01/12/2019</t>
  </si>
  <si>
    <t>02/12/2006</t>
  </si>
  <si>
    <t>02/12/2019</t>
  </si>
  <si>
    <t>03/12/2006</t>
  </si>
  <si>
    <t>03/12/2019</t>
  </si>
  <si>
    <t>04/12/2006</t>
  </si>
  <si>
    <t>04/12/2019</t>
  </si>
  <si>
    <t>05/12/2006</t>
  </si>
  <si>
    <t>05/12/2019</t>
  </si>
  <si>
    <t>06/12/2006</t>
  </si>
  <si>
    <t>06/12/2019</t>
  </si>
  <si>
    <t>07/12/2006</t>
  </si>
  <si>
    <t>07/12/2019</t>
  </si>
  <si>
    <t>08/12/2006</t>
  </si>
  <si>
    <t>08/12/2019</t>
  </si>
  <si>
    <t>09/12/2006</t>
  </si>
  <si>
    <t>09/12/2019</t>
  </si>
  <si>
    <t>10/12/2006</t>
  </si>
  <si>
    <t>10/12/2019</t>
  </si>
  <si>
    <t>11/12/2006</t>
  </si>
  <si>
    <t>11/12/2019</t>
  </si>
  <si>
    <t>12/12/2006</t>
  </si>
  <si>
    <t>12/12/2019</t>
  </si>
  <si>
    <t>13/12/2006</t>
  </si>
  <si>
    <t>13/12/2019</t>
  </si>
  <si>
    <t>14/12/2006</t>
  </si>
  <si>
    <t>14/12/2019</t>
  </si>
  <si>
    <t>15/12/2006</t>
  </si>
  <si>
    <t>15/12/2019</t>
  </si>
  <si>
    <t>16/12/2006</t>
  </si>
  <si>
    <t>16/12/2019</t>
  </si>
  <si>
    <t>17/12/2006</t>
  </si>
  <si>
    <t>17/12/2019</t>
  </si>
  <si>
    <t>18/12/2006</t>
  </si>
  <si>
    <t>18/12/2019</t>
  </si>
  <si>
    <t>19/12/2006</t>
  </si>
  <si>
    <t>19/12/2019</t>
  </si>
  <si>
    <t>20/12/2006</t>
  </si>
  <si>
    <t>20/12/2019</t>
  </si>
  <si>
    <t>21/12/2006</t>
  </si>
  <si>
    <t>21/12/2019</t>
  </si>
  <si>
    <t>22/12/2006</t>
  </si>
  <si>
    <t>22/12/2019</t>
  </si>
  <si>
    <t>23/12/2006</t>
  </si>
  <si>
    <t>23/12/2019</t>
  </si>
  <si>
    <t>24/12/2006</t>
  </si>
  <si>
    <t>24/12/2019</t>
  </si>
  <si>
    <t>25/12/2006</t>
  </si>
  <si>
    <t>25/12/2019</t>
  </si>
  <si>
    <t>26/12/2006</t>
  </si>
  <si>
    <t>26/12/2019</t>
  </si>
  <si>
    <t>27/12/2006</t>
  </si>
  <si>
    <t>27/12/2019</t>
  </si>
  <si>
    <t>28/12/2006</t>
  </si>
  <si>
    <t>28/12/2019</t>
  </si>
  <si>
    <t>29/12/2006</t>
  </si>
  <si>
    <t>29/12/2019</t>
  </si>
  <si>
    <t>30/12/2006</t>
  </si>
  <si>
    <t>30/12/2019</t>
  </si>
  <si>
    <t>31/12/2006</t>
  </si>
  <si>
    <t>31/12/2019</t>
  </si>
  <si>
    <t>01/01/2007</t>
  </si>
  <si>
    <t>01/01/2020</t>
  </si>
  <si>
    <t>02/01/2007</t>
  </si>
  <si>
    <t>02/01/2020</t>
  </si>
  <si>
    <t>03/01/2007</t>
  </si>
  <si>
    <t>03/01/2020</t>
  </si>
  <si>
    <t>04/01/2007</t>
  </si>
  <si>
    <t>04/01/2020</t>
  </si>
  <si>
    <t>05/01/2007</t>
  </si>
  <si>
    <t>05/01/2020</t>
  </si>
  <si>
    <t>06/01/2007</t>
  </si>
  <si>
    <t>06/01/2020</t>
  </si>
  <si>
    <t>07/01/2007</t>
  </si>
  <si>
    <t>07/01/2020</t>
  </si>
  <si>
    <t>08/01/2007</t>
  </si>
  <si>
    <t>08/01/2020</t>
  </si>
  <si>
    <t>09/01/2007</t>
  </si>
  <si>
    <t>09/01/2020</t>
  </si>
  <si>
    <t>10/01/2007</t>
  </si>
  <si>
    <t>10/01/2020</t>
  </si>
  <si>
    <t>11/01/2007</t>
  </si>
  <si>
    <t>11/01/2020</t>
  </si>
  <si>
    <t>12/01/2007</t>
  </si>
  <si>
    <t>12/01/2020</t>
  </si>
  <si>
    <t>13/01/2007</t>
  </si>
  <si>
    <t>13/01/2020</t>
  </si>
  <si>
    <t>14/01/2007</t>
  </si>
  <si>
    <t>14/01/2020</t>
  </si>
  <si>
    <t>15/01/2007</t>
  </si>
  <si>
    <t>15/01/2020</t>
  </si>
  <si>
    <t>16/01/2007</t>
  </si>
  <si>
    <t>16/01/2020</t>
  </si>
  <si>
    <t>17/01/2007</t>
  </si>
  <si>
    <t>17/01/2020</t>
  </si>
  <si>
    <t>18/01/2007</t>
  </si>
  <si>
    <t>18/01/2020</t>
  </si>
  <si>
    <t>19/01/2007</t>
  </si>
  <si>
    <t>19/01/2020</t>
  </si>
  <si>
    <t>20/01/2007</t>
  </si>
  <si>
    <t>20/01/2020</t>
  </si>
  <si>
    <t>21/01/2007</t>
  </si>
  <si>
    <t>21/01/2020</t>
  </si>
  <si>
    <t>22/01/2007</t>
  </si>
  <si>
    <t>22/01/2020</t>
  </si>
  <si>
    <t>23/01/2007</t>
  </si>
  <si>
    <t>23/01/2020</t>
  </si>
  <si>
    <t>24/01/2007</t>
  </si>
  <si>
    <t>24/01/2020</t>
  </si>
  <si>
    <t>25/01/2007</t>
  </si>
  <si>
    <t>25/01/2020</t>
  </si>
  <si>
    <t>26/01/2007</t>
  </si>
  <si>
    <t>26/01/2020</t>
  </si>
  <si>
    <t>27/01/2007</t>
  </si>
  <si>
    <t>27/01/2020</t>
  </si>
  <si>
    <t>28/01/2007</t>
  </si>
  <si>
    <t>28/01/2020</t>
  </si>
  <si>
    <t>29/01/2007</t>
  </si>
  <si>
    <t>29/01/2020</t>
  </si>
  <si>
    <t>30/01/2007</t>
  </si>
  <si>
    <t>30/01/2020</t>
  </si>
  <si>
    <t>31/01/2007</t>
  </si>
  <si>
    <t>31/01/2020</t>
  </si>
  <si>
    <t>01/02/2007</t>
  </si>
  <si>
    <t>01/02/2020</t>
  </si>
  <si>
    <t>02/02/2007</t>
  </si>
  <si>
    <t>02/02/2020</t>
  </si>
  <si>
    <t>03/02/2007</t>
  </si>
  <si>
    <t>03/02/2020</t>
  </si>
  <si>
    <t>04/02/2007</t>
  </si>
  <si>
    <t>04/02/2020</t>
  </si>
  <si>
    <t>05/02/2007</t>
  </si>
  <si>
    <t>05/02/2020</t>
  </si>
  <si>
    <t>06/02/2007</t>
  </si>
  <si>
    <t>06/02/2020</t>
  </si>
  <si>
    <t>07/02/2007</t>
  </si>
  <si>
    <t>07/02/2020</t>
  </si>
  <si>
    <t>08/02/2007</t>
  </si>
  <si>
    <t>08/02/2020</t>
  </si>
  <si>
    <t>09/02/2007</t>
  </si>
  <si>
    <t>09/02/2020</t>
  </si>
  <si>
    <t>10/02/2007</t>
  </si>
  <si>
    <t>10/02/2020</t>
  </si>
  <si>
    <t>11/02/2007</t>
  </si>
  <si>
    <t>11/02/2020</t>
  </si>
  <si>
    <t>12/02/2007</t>
  </si>
  <si>
    <t>12/02/2020</t>
  </si>
  <si>
    <t>13/02/2007</t>
  </si>
  <si>
    <t>13/02/2020</t>
  </si>
  <si>
    <t>14/02/2007</t>
  </si>
  <si>
    <t>14/02/2020</t>
  </si>
  <si>
    <t>15/02/2007</t>
  </si>
  <si>
    <t>15/02/2020</t>
  </si>
  <si>
    <t>16/02/2007</t>
  </si>
  <si>
    <t>16/02/2020</t>
  </si>
  <si>
    <t>17/02/2007</t>
  </si>
  <si>
    <t>17/02/2020</t>
  </si>
  <si>
    <t>18/02/2007</t>
  </si>
  <si>
    <t>18/02/2020</t>
  </si>
  <si>
    <t>19/02/2007</t>
  </si>
  <si>
    <t>19/02/2020</t>
  </si>
  <si>
    <t>20/02/2007</t>
  </si>
  <si>
    <t>20/02/2020</t>
  </si>
  <si>
    <t>21/02/2007</t>
  </si>
  <si>
    <t>21/02/2020</t>
  </si>
  <si>
    <t>22/02/2007</t>
  </si>
  <si>
    <t>22/02/2020</t>
  </si>
  <si>
    <t>23/02/2007</t>
  </si>
  <si>
    <t>23/02/2020</t>
  </si>
  <si>
    <t>24/02/2007</t>
  </si>
  <si>
    <t>24/02/2020</t>
  </si>
  <si>
    <t>25/02/2007</t>
  </si>
  <si>
    <t>25/02/2020</t>
  </si>
  <si>
    <t>26/02/2007</t>
  </si>
  <si>
    <t>26/02/2020</t>
  </si>
  <si>
    <t>27/02/2007</t>
  </si>
  <si>
    <t>27/02/2020</t>
  </si>
  <si>
    <t>28/02/2007</t>
  </si>
  <si>
    <t>28/02/2020</t>
  </si>
  <si>
    <t>01/03/2007</t>
  </si>
  <si>
    <t>29/02/2020</t>
  </si>
  <si>
    <t>02/03/2007</t>
  </si>
  <si>
    <t>01/03/2020</t>
  </si>
  <si>
    <t>03/03/2007</t>
  </si>
  <si>
    <t>02/03/2020</t>
  </si>
  <si>
    <t>04/03/2007</t>
  </si>
  <si>
    <t>03/03/2020</t>
  </si>
  <si>
    <t>05/03/2007</t>
  </si>
  <si>
    <t>04/03/2020</t>
  </si>
  <si>
    <t>06/03/2007</t>
  </si>
  <si>
    <t>05/03/2020</t>
  </si>
  <si>
    <t>07/03/2007</t>
  </si>
  <si>
    <t>06/03/2020</t>
  </si>
  <si>
    <t>08/03/2007</t>
  </si>
  <si>
    <t>07/03/2020</t>
  </si>
  <si>
    <t>09/03/2007</t>
  </si>
  <si>
    <t>08/03/2020</t>
  </si>
  <si>
    <t>10/03/2007</t>
  </si>
  <si>
    <t>09/03/2020</t>
  </si>
  <si>
    <t>11/03/2007</t>
  </si>
  <si>
    <t>10/03/2020</t>
  </si>
  <si>
    <t>12/03/2007</t>
  </si>
  <si>
    <t>11/03/2020</t>
  </si>
  <si>
    <t>13/03/2007</t>
  </si>
  <si>
    <t>12/03/2020</t>
  </si>
  <si>
    <t>14/03/2007</t>
  </si>
  <si>
    <t>13/03/2020</t>
  </si>
  <si>
    <t>15/03/2007</t>
  </si>
  <si>
    <t>14/03/2020</t>
  </si>
  <si>
    <t>16/03/2007</t>
  </si>
  <si>
    <t>15/03/2020</t>
  </si>
  <si>
    <t>17/03/2007</t>
  </si>
  <si>
    <t>16/03/2020</t>
  </si>
  <si>
    <t>18/03/2007</t>
  </si>
  <si>
    <t>17/03/2020</t>
  </si>
  <si>
    <t>19/03/2007</t>
  </si>
  <si>
    <t>18/03/2020</t>
  </si>
  <si>
    <t>20/03/2007</t>
  </si>
  <si>
    <t>19/03/2020</t>
  </si>
  <si>
    <t>21/03/2007</t>
  </si>
  <si>
    <t>20/03/2020</t>
  </si>
  <si>
    <t>22/03/2007</t>
  </si>
  <si>
    <t>21/03/2020</t>
  </si>
  <si>
    <t>23/03/2007</t>
  </si>
  <si>
    <t>22/03/2020</t>
  </si>
  <si>
    <t>24/03/2007</t>
  </si>
  <si>
    <t>23/03/2020</t>
  </si>
  <si>
    <t>25/03/2007</t>
  </si>
  <si>
    <t>24/03/2020</t>
  </si>
  <si>
    <t>26/03/2007</t>
  </si>
  <si>
    <t>25/03/2020</t>
  </si>
  <si>
    <t>27/03/2007</t>
  </si>
  <si>
    <t>26/03/2020</t>
  </si>
  <si>
    <t>28/03/2007</t>
  </si>
  <si>
    <t>27/03/2020</t>
  </si>
  <si>
    <t>29/03/2007</t>
  </si>
  <si>
    <t>28/03/2020</t>
  </si>
  <si>
    <t>30/03/2007</t>
  </si>
  <si>
    <t>29/03/2020</t>
  </si>
  <si>
    <t>31/03/2007</t>
  </si>
  <si>
    <t>30/03/2020</t>
  </si>
  <si>
    <t>01/04/2007</t>
  </si>
  <si>
    <t>31/03/2020</t>
  </si>
  <si>
    <t>02/04/2007</t>
  </si>
  <si>
    <t>01/04/2020</t>
  </si>
  <si>
    <t>03/04/2007</t>
  </si>
  <si>
    <t>02/04/2020</t>
  </si>
  <si>
    <t>04/04/2007</t>
  </si>
  <si>
    <t>03/04/2020</t>
  </si>
  <si>
    <t>05/04/2007</t>
  </si>
  <si>
    <t>04/04/2020</t>
  </si>
  <si>
    <t>06/04/2007</t>
  </si>
  <si>
    <t>05/04/2020</t>
  </si>
  <si>
    <t>07/04/2007</t>
  </si>
  <si>
    <t>06/04/2020</t>
  </si>
  <si>
    <t>08/04/2007</t>
  </si>
  <si>
    <t>07/04/2020</t>
  </si>
  <si>
    <t>09/04/2007</t>
  </si>
  <si>
    <t>08/04/2020</t>
  </si>
  <si>
    <t>10/04/2007</t>
  </si>
  <si>
    <t>09/04/2020</t>
  </si>
  <si>
    <t>11/04/2007</t>
  </si>
  <si>
    <t>10/04/2020</t>
  </si>
  <si>
    <t>12/04/2007</t>
  </si>
  <si>
    <t>11/04/2020</t>
  </si>
  <si>
    <t>13/04/2007</t>
  </si>
  <si>
    <t>12/04/2020</t>
  </si>
  <si>
    <t>14/04/2007</t>
  </si>
  <si>
    <t>13/04/2020</t>
  </si>
  <si>
    <t>15/04/2007</t>
  </si>
  <si>
    <t>14/04/2020</t>
  </si>
  <si>
    <t>16/04/2007</t>
  </si>
  <si>
    <t>15/04/2020</t>
  </si>
  <si>
    <t>17/04/2007</t>
  </si>
  <si>
    <t>16/04/2020</t>
  </si>
  <si>
    <t>18/04/2007</t>
  </si>
  <si>
    <t>17/04/2020</t>
  </si>
  <si>
    <t>19/04/2007</t>
  </si>
  <si>
    <t>18/04/2020</t>
  </si>
  <si>
    <t>20/04/2007</t>
  </si>
  <si>
    <t>19/04/2020</t>
  </si>
  <si>
    <t>21/04/2007</t>
  </si>
  <si>
    <t>20/04/2020</t>
  </si>
  <si>
    <t>22/04/2007</t>
  </si>
  <si>
    <t>21/04/2020</t>
  </si>
  <si>
    <t>23/04/2007</t>
  </si>
  <si>
    <t>22/04/2020</t>
  </si>
  <si>
    <t>24/04/2007</t>
  </si>
  <si>
    <t>23/04/2020</t>
  </si>
  <si>
    <t>25/04/2007</t>
  </si>
  <si>
    <t>24/04/2020</t>
  </si>
  <si>
    <t>26/04/2007</t>
  </si>
  <si>
    <t>25/04/2020</t>
  </si>
  <si>
    <t>27/04/2007</t>
  </si>
  <si>
    <t>26/04/2020</t>
  </si>
  <si>
    <t>28/04/2007</t>
  </si>
  <si>
    <t>27/04/2020</t>
  </si>
  <si>
    <t>29/04/2007</t>
  </si>
  <si>
    <t>28/04/2020</t>
  </si>
  <si>
    <t>30/04/2007</t>
  </si>
  <si>
    <t>29/04/2020</t>
  </si>
  <si>
    <t>01/05/2007</t>
  </si>
  <si>
    <t>30/04/2020</t>
  </si>
  <si>
    <t>02/05/2007</t>
  </si>
  <si>
    <t>01/05/2020</t>
  </si>
  <si>
    <t>03/05/2007</t>
  </si>
  <si>
    <t>02/05/2020</t>
  </si>
  <si>
    <t>04/05/2007</t>
  </si>
  <si>
    <t>03/05/2020</t>
  </si>
  <si>
    <t>05/05/2007</t>
  </si>
  <si>
    <t>04/05/2020</t>
  </si>
  <si>
    <t>06/05/2007</t>
  </si>
  <si>
    <t>05/05/2020</t>
  </si>
  <si>
    <t>07/05/2007</t>
  </si>
  <si>
    <t>06/05/2020</t>
  </si>
  <si>
    <t>08/05/2007</t>
  </si>
  <si>
    <t>07/05/2020</t>
  </si>
  <si>
    <t>09/05/2007</t>
  </si>
  <si>
    <t>08/05/2020</t>
  </si>
  <si>
    <t>10/05/2007</t>
  </si>
  <si>
    <t>09/05/2020</t>
  </si>
  <si>
    <t>11/05/2007</t>
  </si>
  <si>
    <t>10/05/2020</t>
  </si>
  <si>
    <t>12/05/2007</t>
  </si>
  <si>
    <t>11/05/2020</t>
  </si>
  <si>
    <t>13/05/2007</t>
  </si>
  <si>
    <t>12/05/2020</t>
  </si>
  <si>
    <t>14/05/2007</t>
  </si>
  <si>
    <t>13/05/2020</t>
  </si>
  <si>
    <t>15/05/2007</t>
  </si>
  <si>
    <t>14/05/2020</t>
  </si>
  <si>
    <t>16/05/2007</t>
  </si>
  <si>
    <t>15/05/2020</t>
  </si>
  <si>
    <t>17/05/2007</t>
  </si>
  <si>
    <t>16/05/2020</t>
  </si>
  <si>
    <t>18/05/2007</t>
  </si>
  <si>
    <t>17/05/2020</t>
  </si>
  <si>
    <t>19/05/2007</t>
  </si>
  <si>
    <t>18/05/2020</t>
  </si>
  <si>
    <t>20/05/2007</t>
  </si>
  <si>
    <t>19/05/2020</t>
  </si>
  <si>
    <t>21/05/2007</t>
  </si>
  <si>
    <t>20/05/2020</t>
  </si>
  <si>
    <t>22/05/2007</t>
  </si>
  <si>
    <t>21/05/2020</t>
  </si>
  <si>
    <t>23/05/2007</t>
  </si>
  <si>
    <t>22/05/2020</t>
  </si>
  <si>
    <t>24/05/2007</t>
  </si>
  <si>
    <t>23/05/2020</t>
  </si>
  <si>
    <t>25/05/2007</t>
  </si>
  <si>
    <t>24/05/2020</t>
  </si>
  <si>
    <t>26/05/2007</t>
  </si>
  <si>
    <t>25/05/2020</t>
  </si>
  <si>
    <t>27/05/2007</t>
  </si>
  <si>
    <t>26/05/2020</t>
  </si>
  <si>
    <t>28/05/2007</t>
  </si>
  <si>
    <t>27/05/2020</t>
  </si>
  <si>
    <t>29/05/2007</t>
  </si>
  <si>
    <t>28/05/2020</t>
  </si>
  <si>
    <t>30/05/2007</t>
  </si>
  <si>
    <t>29/05/2020</t>
  </si>
  <si>
    <t>31/05/2007</t>
  </si>
  <si>
    <t>30/05/2020</t>
  </si>
  <si>
    <t>01/06/2007</t>
  </si>
  <si>
    <t>31/05/2020</t>
  </si>
  <si>
    <t>02/06/2007</t>
  </si>
  <si>
    <t>01/06/2020</t>
  </si>
  <si>
    <t>03/06/2007</t>
  </si>
  <si>
    <t>02/06/2020</t>
  </si>
  <si>
    <t>04/06/2007</t>
  </si>
  <si>
    <t>03/06/2020</t>
  </si>
  <si>
    <t>05/06/2007</t>
  </si>
  <si>
    <t>04/06/2020</t>
  </si>
  <si>
    <t>06/06/2007</t>
  </si>
  <si>
    <t>05/06/2020</t>
  </si>
  <si>
    <t>07/06/2007</t>
  </si>
  <si>
    <t>06/06/2020</t>
  </si>
  <si>
    <t>08/06/2007</t>
  </si>
  <si>
    <t>07/06/2020</t>
  </si>
  <si>
    <t>09/06/2007</t>
  </si>
  <si>
    <t>08/06/2020</t>
  </si>
  <si>
    <t>10/06/2007</t>
  </si>
  <si>
    <t>09/06/2020</t>
  </si>
  <si>
    <t>11/06/2007</t>
  </si>
  <si>
    <t>10/06/2020</t>
  </si>
  <si>
    <t>12/06/2007</t>
  </si>
  <si>
    <t>11/06/2020</t>
  </si>
  <si>
    <t>13/06/2007</t>
  </si>
  <si>
    <t>12/06/2020</t>
  </si>
  <si>
    <t>14/06/2007</t>
  </si>
  <si>
    <t>13/06/2020</t>
  </si>
  <si>
    <t>15/06/2007</t>
  </si>
  <si>
    <t>14/06/2020</t>
  </si>
  <si>
    <t>16/06/2007</t>
  </si>
  <si>
    <t>15/06/2020</t>
  </si>
  <si>
    <t>17/06/2007</t>
  </si>
  <si>
    <t>16/06/2020</t>
  </si>
  <si>
    <t>18/06/2007</t>
  </si>
  <si>
    <t>17/06/2020</t>
  </si>
  <si>
    <t>19/06/2007</t>
  </si>
  <si>
    <t>18/06/2020</t>
  </si>
  <si>
    <t>20/06/2007</t>
  </si>
  <si>
    <t>19/06/2020</t>
  </si>
  <si>
    <t>21/06/2007</t>
  </si>
  <si>
    <t>20/06/2020</t>
  </si>
  <si>
    <t>22/06/2007</t>
  </si>
  <si>
    <t>21/06/2020</t>
  </si>
  <si>
    <t>23/06/2007</t>
  </si>
  <si>
    <t>22/06/2020</t>
  </si>
  <si>
    <t>24/06/2007</t>
  </si>
  <si>
    <t>23/06/2020</t>
  </si>
  <si>
    <t>25/06/2007</t>
  </si>
  <si>
    <t>24/06/2020</t>
  </si>
  <si>
    <t>26/06/2007</t>
  </si>
  <si>
    <t>25/06/2020</t>
  </si>
  <si>
    <t>27/06/2007</t>
  </si>
  <si>
    <t>26/06/2020</t>
  </si>
  <si>
    <t>28/06/2007</t>
  </si>
  <si>
    <t>27/06/2020</t>
  </si>
  <si>
    <t>29/06/2007</t>
  </si>
  <si>
    <t>28/06/2020</t>
  </si>
  <si>
    <t>30/06/2007</t>
  </si>
  <si>
    <t>29/06/2020</t>
  </si>
  <si>
    <t>01/07/2007</t>
  </si>
  <si>
    <t>30/06/2020</t>
  </si>
  <si>
    <t>02/07/2007</t>
  </si>
  <si>
    <t>01/07/2020</t>
  </si>
  <si>
    <t>03/07/2007</t>
  </si>
  <si>
    <t>02/07/2020</t>
  </si>
  <si>
    <t>04/07/2007</t>
  </si>
  <si>
    <t>03/07/2020</t>
  </si>
  <si>
    <t>05/07/2007</t>
  </si>
  <si>
    <t>04/07/2020</t>
  </si>
  <si>
    <t>06/07/2007</t>
  </si>
  <si>
    <t>05/07/2020</t>
  </si>
  <si>
    <t>07/07/2007</t>
  </si>
  <si>
    <t>06/07/2020</t>
  </si>
  <si>
    <t>08/07/2007</t>
  </si>
  <si>
    <t>07/07/2020</t>
  </si>
  <si>
    <t>09/07/2007</t>
  </si>
  <si>
    <t>08/07/2020</t>
  </si>
  <si>
    <t>10/07/2007</t>
  </si>
  <si>
    <t>09/07/2020</t>
  </si>
  <si>
    <t>11/07/2007</t>
  </si>
  <si>
    <t>10/07/2020</t>
  </si>
  <si>
    <t>12/07/2007</t>
  </si>
  <si>
    <t>11/07/2020</t>
  </si>
  <si>
    <t>13/07/2007</t>
  </si>
  <si>
    <t>12/07/2020</t>
  </si>
  <si>
    <t>14/07/2007</t>
  </si>
  <si>
    <t>13/07/2020</t>
  </si>
  <si>
    <t>15/07/2007</t>
  </si>
  <si>
    <t>14/07/2020</t>
  </si>
  <si>
    <t>16/07/2007</t>
  </si>
  <si>
    <t>15/07/2020</t>
  </si>
  <si>
    <t>17/07/2007</t>
  </si>
  <si>
    <t>16/07/2020</t>
  </si>
  <si>
    <t>18/07/2007</t>
  </si>
  <si>
    <t>17/07/2020</t>
  </si>
  <si>
    <t>19/07/2007</t>
  </si>
  <si>
    <t>18/07/2020</t>
  </si>
  <si>
    <t>20/07/2007</t>
  </si>
  <si>
    <t>19/07/2020</t>
  </si>
  <si>
    <t>21/07/2007</t>
  </si>
  <si>
    <t>20/07/2020</t>
  </si>
  <si>
    <t>22/07/2007</t>
  </si>
  <si>
    <t>21/07/2020</t>
  </si>
  <si>
    <t>23/07/2007</t>
  </si>
  <si>
    <t>22/07/2020</t>
  </si>
  <si>
    <t>24/07/2007</t>
  </si>
  <si>
    <t>23/07/2020</t>
  </si>
  <si>
    <t>25/07/2007</t>
  </si>
  <si>
    <t>24/07/2020</t>
  </si>
  <si>
    <t>26/07/2007</t>
  </si>
  <si>
    <t>25/07/2020</t>
  </si>
  <si>
    <t>27/07/2007</t>
  </si>
  <si>
    <t>26/07/2020</t>
  </si>
  <si>
    <t>28/07/2007</t>
  </si>
  <si>
    <t>27/07/2020</t>
  </si>
  <si>
    <t>29/07/2007</t>
  </si>
  <si>
    <t>28/07/2020</t>
  </si>
  <si>
    <t>30/07/2007</t>
  </si>
  <si>
    <t>29/07/2020</t>
  </si>
  <si>
    <t>31/07/2007</t>
  </si>
  <si>
    <t>30/07/2020</t>
  </si>
  <si>
    <t>01/08/2007</t>
  </si>
  <si>
    <t>31/07/2020</t>
  </si>
  <si>
    <t>02/08/2007</t>
  </si>
  <si>
    <t>01/08/2020</t>
  </si>
  <si>
    <t>03/08/2007</t>
  </si>
  <si>
    <t>02/08/2020</t>
  </si>
  <si>
    <t>04/08/2007</t>
  </si>
  <si>
    <t>03/08/2020</t>
  </si>
  <si>
    <t>05/08/2007</t>
  </si>
  <si>
    <t>04/08/2020</t>
  </si>
  <si>
    <t>06/08/2007</t>
  </si>
  <si>
    <t>05/08/2020</t>
  </si>
  <si>
    <t>07/08/2007</t>
  </si>
  <si>
    <t>06/08/2020</t>
  </si>
  <si>
    <t>08/08/2007</t>
  </si>
  <si>
    <t>07/08/2020</t>
  </si>
  <si>
    <t>09/08/2007</t>
  </si>
  <si>
    <t>08/08/2020</t>
  </si>
  <si>
    <t>10/08/2007</t>
  </si>
  <si>
    <t>09/08/2020</t>
  </si>
  <si>
    <t>11/08/2007</t>
  </si>
  <si>
    <t>10/08/2020</t>
  </si>
  <si>
    <t>12/08/2007</t>
  </si>
  <si>
    <t>11/08/2020</t>
  </si>
  <si>
    <t>13/08/2007</t>
  </si>
  <si>
    <t>12/08/2020</t>
  </si>
  <si>
    <t>14/08/2007</t>
  </si>
  <si>
    <t>13/08/2020</t>
  </si>
  <si>
    <t>15/08/2007</t>
  </si>
  <si>
    <t>14/08/2020</t>
  </si>
  <si>
    <t>16/08/2007</t>
  </si>
  <si>
    <t>15/08/2020</t>
  </si>
  <si>
    <t>17/08/2007</t>
  </si>
  <si>
    <t>16/08/2020</t>
  </si>
  <si>
    <t>18/08/2007</t>
  </si>
  <si>
    <t>17/08/2020</t>
  </si>
  <si>
    <t>19/08/2007</t>
  </si>
  <si>
    <t>18/08/2020</t>
  </si>
  <si>
    <t>20/08/2007</t>
  </si>
  <si>
    <t>19/08/2020</t>
  </si>
  <si>
    <t>21/08/2007</t>
  </si>
  <si>
    <t>20/08/2020</t>
  </si>
  <si>
    <t>22/08/2007</t>
  </si>
  <si>
    <t>21/08/2020</t>
  </si>
  <si>
    <t>23/08/2007</t>
  </si>
  <si>
    <t>22/08/2020</t>
  </si>
  <si>
    <t>24/08/2007</t>
  </si>
  <si>
    <t>23/08/2020</t>
  </si>
  <si>
    <t>25/08/2007</t>
  </si>
  <si>
    <t>24/08/2020</t>
  </si>
  <si>
    <t>26/08/2007</t>
  </si>
  <si>
    <t>25/08/2020</t>
  </si>
  <si>
    <t>27/08/2007</t>
  </si>
  <si>
    <t>26/08/2020</t>
  </si>
  <si>
    <t>28/08/2007</t>
  </si>
  <si>
    <t>27/08/2020</t>
  </si>
  <si>
    <t>29/08/2007</t>
  </si>
  <si>
    <t>28/08/2020</t>
  </si>
  <si>
    <t>30/08/2007</t>
  </si>
  <si>
    <t>29/08/2020</t>
  </si>
  <si>
    <t>31/08/2007</t>
  </si>
  <si>
    <t>30/08/2020</t>
  </si>
  <si>
    <t>01/09/2007</t>
  </si>
  <si>
    <t>31/08/2020</t>
  </si>
  <si>
    <t>02/09/2007</t>
  </si>
  <si>
    <t>01/09/2020</t>
  </si>
  <si>
    <t>03/09/2007</t>
  </si>
  <si>
    <t>02/09/2020</t>
  </si>
  <si>
    <t>04/09/2007</t>
  </si>
  <si>
    <t>03/09/2020</t>
  </si>
  <si>
    <t>05/09/2007</t>
  </si>
  <si>
    <t>04/09/2020</t>
  </si>
  <si>
    <t>06/09/2007</t>
  </si>
  <si>
    <t>05/09/2020</t>
  </si>
  <si>
    <t>07/09/2007</t>
  </si>
  <si>
    <t>06/09/2020</t>
  </si>
  <si>
    <t>08/09/2007</t>
  </si>
  <si>
    <t>07/09/2020</t>
  </si>
  <si>
    <t>09/09/2007</t>
  </si>
  <si>
    <t>08/09/2020</t>
  </si>
  <si>
    <t>10/09/2007</t>
  </si>
  <si>
    <t>09/09/2020</t>
  </si>
  <si>
    <t>11/09/2007</t>
  </si>
  <si>
    <t>10/09/2020</t>
  </si>
  <si>
    <t>12/09/2007</t>
  </si>
  <si>
    <t>11/09/2020</t>
  </si>
  <si>
    <t>13/09/2007</t>
  </si>
  <si>
    <t>12/09/2020</t>
  </si>
  <si>
    <t>14/09/2007</t>
  </si>
  <si>
    <t>13/09/2020</t>
  </si>
  <si>
    <t>15/09/2007</t>
  </si>
  <si>
    <t>14/09/2020</t>
  </si>
  <si>
    <t>16/09/2007</t>
  </si>
  <si>
    <t>15/09/2020</t>
  </si>
  <si>
    <t>17/09/2007</t>
  </si>
  <si>
    <t>16/09/2020</t>
  </si>
  <si>
    <t>18/09/2007</t>
  </si>
  <si>
    <t>17/09/2020</t>
  </si>
  <si>
    <t>19/09/2007</t>
  </si>
  <si>
    <t>18/09/2020</t>
  </si>
  <si>
    <t>20/09/2007</t>
  </si>
  <si>
    <t>19/09/2020</t>
  </si>
  <si>
    <t>21/09/2007</t>
  </si>
  <si>
    <t>20/09/2020</t>
  </si>
  <si>
    <t>22/09/2007</t>
  </si>
  <si>
    <t>21/09/2020</t>
  </si>
  <si>
    <t>23/09/2007</t>
  </si>
  <si>
    <t>22/09/2020</t>
  </si>
  <si>
    <t>24/09/2007</t>
  </si>
  <si>
    <t>23/09/2020</t>
  </si>
  <si>
    <t>25/09/2007</t>
  </si>
  <si>
    <t>24/09/2020</t>
  </si>
  <si>
    <t>26/09/2007</t>
  </si>
  <si>
    <t>25/09/2020</t>
  </si>
  <si>
    <t>27/09/2007</t>
  </si>
  <si>
    <t>26/09/2020</t>
  </si>
  <si>
    <t>28/09/2007</t>
  </si>
  <si>
    <t>27/09/2020</t>
  </si>
  <si>
    <t>29/09/2007</t>
  </si>
  <si>
    <t>28/09/2020</t>
  </si>
  <si>
    <t>30/09/2007</t>
  </si>
  <si>
    <t>29/09/2020</t>
  </si>
  <si>
    <t>01/10/2007</t>
  </si>
  <si>
    <t>30/09/2020</t>
  </si>
  <si>
    <t>02/10/2007</t>
  </si>
  <si>
    <t>01/10/2020</t>
  </si>
  <si>
    <t>03/10/2007</t>
  </si>
  <si>
    <t>02/10/2020</t>
  </si>
  <si>
    <t>04/10/2007</t>
  </si>
  <si>
    <t>03/10/2020</t>
  </si>
  <si>
    <t>05/10/2007</t>
  </si>
  <si>
    <t>04/10/2020</t>
  </si>
  <si>
    <t>06/10/2007</t>
  </si>
  <si>
    <t>05/10/2020</t>
  </si>
  <si>
    <t>07/10/2007</t>
  </si>
  <si>
    <t>06/10/2020</t>
  </si>
  <si>
    <t>08/10/2007</t>
  </si>
  <si>
    <t>07/10/2020</t>
  </si>
  <si>
    <t>09/10/2007</t>
  </si>
  <si>
    <t>08/10/2020</t>
  </si>
  <si>
    <t>10/10/2007</t>
  </si>
  <si>
    <t>09/10/2020</t>
  </si>
  <si>
    <t>11/10/2007</t>
  </si>
  <si>
    <t>10/10/2020</t>
  </si>
  <si>
    <t>12/10/2007</t>
  </si>
  <si>
    <t>11/10/2020</t>
  </si>
  <si>
    <t>13/10/2007</t>
  </si>
  <si>
    <t>12/10/2020</t>
  </si>
  <si>
    <t>14/10/2007</t>
  </si>
  <si>
    <t>13/10/2020</t>
  </si>
  <si>
    <t>15/10/2007</t>
  </si>
  <si>
    <t>14/10/2020</t>
  </si>
  <si>
    <t>16/10/2007</t>
  </si>
  <si>
    <t>15/10/2020</t>
  </si>
  <si>
    <t>17/10/2007</t>
  </si>
  <si>
    <t>16/10/2020</t>
  </si>
  <si>
    <t>18/10/2007</t>
  </si>
  <si>
    <t>17/10/2020</t>
  </si>
  <si>
    <t>19/10/2007</t>
  </si>
  <si>
    <t>18/10/2020</t>
  </si>
  <si>
    <t>20/10/2007</t>
  </si>
  <si>
    <t>19/10/2020</t>
  </si>
  <si>
    <t>21/10/2007</t>
  </si>
  <si>
    <t>20/10/2020</t>
  </si>
  <si>
    <t>22/10/2007</t>
  </si>
  <si>
    <t>21/10/2020</t>
  </si>
  <si>
    <t>23/10/2007</t>
  </si>
  <si>
    <t>22/10/2020</t>
  </si>
  <si>
    <t>24/10/2007</t>
  </si>
  <si>
    <t>23/10/2020</t>
  </si>
  <si>
    <t>25/10/2007</t>
  </si>
  <si>
    <t>24/10/2020</t>
  </si>
  <si>
    <t>26/10/2007</t>
  </si>
  <si>
    <t>25/10/2020</t>
  </si>
  <si>
    <t>27/10/2007</t>
  </si>
  <si>
    <t>26/10/2020</t>
  </si>
  <si>
    <t>28/10/2007</t>
  </si>
  <si>
    <t>27/10/2020</t>
  </si>
  <si>
    <t>29/10/2007</t>
  </si>
  <si>
    <t>28/10/2020</t>
  </si>
  <si>
    <t>30/10/2007</t>
  </si>
  <si>
    <t>29/10/2020</t>
  </si>
  <si>
    <t>31/10/2007</t>
  </si>
  <si>
    <t>30/10/2020</t>
  </si>
  <si>
    <t>01/11/2007</t>
  </si>
  <si>
    <t>31/10/2020</t>
  </si>
  <si>
    <t>02/11/2007</t>
  </si>
  <si>
    <t>01/11/2020</t>
  </si>
  <si>
    <t>03/11/2007</t>
  </si>
  <si>
    <t>02/11/2020</t>
  </si>
  <si>
    <t>04/11/2007</t>
  </si>
  <si>
    <t>03/11/2020</t>
  </si>
  <si>
    <t>05/11/2007</t>
  </si>
  <si>
    <t>04/11/2020</t>
  </si>
  <si>
    <t>06/11/2007</t>
  </si>
  <si>
    <t>05/11/2020</t>
  </si>
  <si>
    <t>07/11/2007</t>
  </si>
  <si>
    <t>06/11/2020</t>
  </si>
  <si>
    <t>08/11/2007</t>
  </si>
  <si>
    <t>07/11/2020</t>
  </si>
  <si>
    <t>09/11/2007</t>
  </si>
  <si>
    <t>08/11/2020</t>
  </si>
  <si>
    <t>10/11/2007</t>
  </si>
  <si>
    <t>09/11/2020</t>
  </si>
  <si>
    <t>11/11/2007</t>
  </si>
  <si>
    <t>10/11/2020</t>
  </si>
  <si>
    <t>12/11/2007</t>
  </si>
  <si>
    <t>11/11/2020</t>
  </si>
  <si>
    <t>13/11/2007</t>
  </si>
  <si>
    <t>12/11/2020</t>
  </si>
  <si>
    <t>14/11/2007</t>
  </si>
  <si>
    <t>13/11/2020</t>
  </si>
  <si>
    <t>15/11/2007</t>
  </si>
  <si>
    <t>14/11/2020</t>
  </si>
  <si>
    <t>16/11/2007</t>
  </si>
  <si>
    <t>15/11/2020</t>
  </si>
  <si>
    <t>17/11/2007</t>
  </si>
  <si>
    <t>16/11/2020</t>
  </si>
  <si>
    <t>18/11/2007</t>
  </si>
  <si>
    <t>17/11/2020</t>
  </si>
  <si>
    <t>19/11/2007</t>
  </si>
  <si>
    <t>18/11/2020</t>
  </si>
  <si>
    <t>20/11/2007</t>
  </si>
  <si>
    <t>19/11/2020</t>
  </si>
  <si>
    <t>21/11/2007</t>
  </si>
  <si>
    <t>20/11/2020</t>
  </si>
  <si>
    <t>22/11/2007</t>
  </si>
  <si>
    <t>21/11/2020</t>
  </si>
  <si>
    <t>23/11/2007</t>
  </si>
  <si>
    <t>22/11/2020</t>
  </si>
  <si>
    <t>24/11/2007</t>
  </si>
  <si>
    <t>23/11/2020</t>
  </si>
  <si>
    <t>25/11/2007</t>
  </si>
  <si>
    <t>24/11/2020</t>
  </si>
  <si>
    <t>26/11/2007</t>
  </si>
  <si>
    <t>25/11/2020</t>
  </si>
  <si>
    <t>27/11/2007</t>
  </si>
  <si>
    <t>26/11/2020</t>
  </si>
  <si>
    <t>28/11/2007</t>
  </si>
  <si>
    <t>27/11/2020</t>
  </si>
  <si>
    <t>29/11/2007</t>
  </si>
  <si>
    <t>28/11/2020</t>
  </si>
  <si>
    <t>30/11/2007</t>
  </si>
  <si>
    <t>29/11/2020</t>
  </si>
  <si>
    <t>01/12/2007</t>
  </si>
  <si>
    <t>30/11/2020</t>
  </si>
  <si>
    <t>02/12/2007</t>
  </si>
  <si>
    <t>01/12/2020</t>
  </si>
  <si>
    <t>03/12/2007</t>
  </si>
  <si>
    <t>02/12/2020</t>
  </si>
  <si>
    <t>04/12/2007</t>
  </si>
  <si>
    <t>03/12/2020</t>
  </si>
  <si>
    <t>05/12/2007</t>
  </si>
  <si>
    <t>04/12/2020</t>
  </si>
  <si>
    <t>06/12/2007</t>
  </si>
  <si>
    <t>05/12/2020</t>
  </si>
  <si>
    <t>07/12/2007</t>
  </si>
  <si>
    <t>06/12/2020</t>
  </si>
  <si>
    <t>08/12/2007</t>
  </si>
  <si>
    <t>07/12/2020</t>
  </si>
  <si>
    <t>09/12/2007</t>
  </si>
  <si>
    <t>08/12/2020</t>
  </si>
  <si>
    <t>10/12/2007</t>
  </si>
  <si>
    <t>09/12/2020</t>
  </si>
  <si>
    <t>11/12/2007</t>
  </si>
  <si>
    <t>10/12/2020</t>
  </si>
  <si>
    <t>12/12/2007</t>
  </si>
  <si>
    <t>11/12/2020</t>
  </si>
  <si>
    <t>13/12/2007</t>
  </si>
  <si>
    <t>12/12/2020</t>
  </si>
  <si>
    <t>14/12/2007</t>
  </si>
  <si>
    <t>13/12/2020</t>
  </si>
  <si>
    <t>15/12/2007</t>
  </si>
  <si>
    <t>14/12/2020</t>
  </si>
  <si>
    <t>16/12/2007</t>
  </si>
  <si>
    <t>15/12/2020</t>
  </si>
  <si>
    <t>17/12/2007</t>
  </si>
  <si>
    <t>16/12/2020</t>
  </si>
  <si>
    <t>18/12/2007</t>
  </si>
  <si>
    <t>17/12/2020</t>
  </si>
  <si>
    <t>19/12/2007</t>
  </si>
  <si>
    <t>18/12/2020</t>
  </si>
  <si>
    <t>20/12/2007</t>
  </si>
  <si>
    <t>19/12/2020</t>
  </si>
  <si>
    <t>21/12/2007</t>
  </si>
  <si>
    <t>20/12/2020</t>
  </si>
  <si>
    <t>22/12/2007</t>
  </si>
  <si>
    <t>21/12/2020</t>
  </si>
  <si>
    <t>23/12/2007</t>
  </si>
  <si>
    <t>22/12/2020</t>
  </si>
  <si>
    <t>24/12/2007</t>
  </si>
  <si>
    <t>23/12/2020</t>
  </si>
  <si>
    <t>25/12/2007</t>
  </si>
  <si>
    <t>24/12/2020</t>
  </si>
  <si>
    <t>26/12/2007</t>
  </si>
  <si>
    <t>25/12/2020</t>
  </si>
  <si>
    <t>27/12/2007</t>
  </si>
  <si>
    <t>26/12/2020</t>
  </si>
  <si>
    <t>28/12/2007</t>
  </si>
  <si>
    <t>27/12/2020</t>
  </si>
  <si>
    <t>29/12/2007</t>
  </si>
  <si>
    <t>28/12/2020</t>
  </si>
  <si>
    <t>30/12/2007</t>
  </si>
  <si>
    <t>29/12/2020</t>
  </si>
  <si>
    <t>31/12/2007</t>
  </si>
  <si>
    <t>30/12/2020</t>
  </si>
  <si>
    <t>01/01/2008</t>
  </si>
  <si>
    <t>31/12/2020</t>
  </si>
  <si>
    <t>02/01/2008</t>
  </si>
  <si>
    <t>01/01/2021</t>
  </si>
  <si>
    <t>03/01/2008</t>
  </si>
  <si>
    <t>02/01/2021</t>
  </si>
  <si>
    <t>04/01/2008</t>
  </si>
  <si>
    <t>03/01/2021</t>
  </si>
  <si>
    <t>05/01/2008</t>
  </si>
  <si>
    <t>04/01/2021</t>
  </si>
  <si>
    <t>06/01/2008</t>
  </si>
  <si>
    <t>05/01/2021</t>
  </si>
  <si>
    <t>07/01/2008</t>
  </si>
  <si>
    <t>06/01/2021</t>
  </si>
  <si>
    <t>08/01/2008</t>
  </si>
  <si>
    <t>07/01/2021</t>
  </si>
  <si>
    <t>09/01/2008</t>
  </si>
  <si>
    <t>08/01/2021</t>
  </si>
  <si>
    <t>10/01/2008</t>
  </si>
  <si>
    <t>09/01/2021</t>
  </si>
  <si>
    <t>11/01/2008</t>
  </si>
  <si>
    <t>10/01/2021</t>
  </si>
  <si>
    <t>12/01/2008</t>
  </si>
  <si>
    <t>11/01/2021</t>
  </si>
  <si>
    <t>13/01/2008</t>
  </si>
  <si>
    <t>12/01/2021</t>
  </si>
  <si>
    <t>14/01/2008</t>
  </si>
  <si>
    <t>13/01/2021</t>
  </si>
  <si>
    <t>15/01/2008</t>
  </si>
  <si>
    <t>14/01/2021</t>
  </si>
  <si>
    <t>16/01/2008</t>
  </si>
  <si>
    <t>15/01/2021</t>
  </si>
  <si>
    <t>17/01/2008</t>
  </si>
  <si>
    <t>16/01/2021</t>
  </si>
  <si>
    <t>18/01/2008</t>
  </si>
  <si>
    <t>17/01/2021</t>
  </si>
  <si>
    <t>19/01/2008</t>
  </si>
  <si>
    <t>18/01/2021</t>
  </si>
  <si>
    <t>20/01/2008</t>
  </si>
  <si>
    <t>19/01/2021</t>
  </si>
  <si>
    <t>21/01/2008</t>
  </si>
  <si>
    <t>20/01/2021</t>
  </si>
  <si>
    <t>22/01/2008</t>
  </si>
  <si>
    <t>21/01/2021</t>
  </si>
  <si>
    <t>23/01/2008</t>
  </si>
  <si>
    <t>22/01/2021</t>
  </si>
  <si>
    <t>24/01/2008</t>
  </si>
  <si>
    <t>23/01/2021</t>
  </si>
  <si>
    <t>25/01/2008</t>
  </si>
  <si>
    <t>24/01/2021</t>
  </si>
  <si>
    <t>26/01/2008</t>
  </si>
  <si>
    <t>25/01/2021</t>
  </si>
  <si>
    <t>27/01/2008</t>
  </si>
  <si>
    <t>26/01/2021</t>
  </si>
  <si>
    <t>28/01/2008</t>
  </si>
  <si>
    <t>27/01/2021</t>
  </si>
  <si>
    <t>29/01/2008</t>
  </si>
  <si>
    <t>28/01/2021</t>
  </si>
  <si>
    <t>30/01/2008</t>
  </si>
  <si>
    <t>29/01/2021</t>
  </si>
  <si>
    <t>31/01/2008</t>
  </si>
  <si>
    <t>30/01/2021</t>
  </si>
  <si>
    <t>01/02/2008</t>
  </si>
  <si>
    <t>31/01/2021</t>
  </si>
  <si>
    <t>02/02/2008</t>
  </si>
  <si>
    <t>01/02/2021</t>
  </si>
  <si>
    <t>03/02/2008</t>
  </si>
  <si>
    <t>02/02/2021</t>
  </si>
  <si>
    <t>04/02/2008</t>
  </si>
  <si>
    <t>03/02/2021</t>
  </si>
  <si>
    <t>05/02/2008</t>
  </si>
  <si>
    <t>04/02/2021</t>
  </si>
  <si>
    <t>06/02/2008</t>
  </si>
  <si>
    <t>05/02/2021</t>
  </si>
  <si>
    <t>07/02/2008</t>
  </si>
  <si>
    <t>06/02/2021</t>
  </si>
  <si>
    <t>08/02/2008</t>
  </si>
  <si>
    <t>07/02/2021</t>
  </si>
  <si>
    <t>09/02/2008</t>
  </si>
  <si>
    <t>08/02/2021</t>
  </si>
  <si>
    <t>10/02/2008</t>
  </si>
  <si>
    <t>09/02/2021</t>
  </si>
  <si>
    <t>11/02/2008</t>
  </si>
  <si>
    <t>10/02/2021</t>
  </si>
  <si>
    <t>12/02/2008</t>
  </si>
  <si>
    <t>11/02/2021</t>
  </si>
  <si>
    <t>13/02/2008</t>
  </si>
  <si>
    <t>12/02/2021</t>
  </si>
  <si>
    <t>14/02/2008</t>
  </si>
  <si>
    <t>13/02/2021</t>
  </si>
  <si>
    <t>15/02/2008</t>
  </si>
  <si>
    <t>14/02/2021</t>
  </si>
  <si>
    <t>16/02/2008</t>
  </si>
  <si>
    <t>15/02/2021</t>
  </si>
  <si>
    <t>17/02/2008</t>
  </si>
  <si>
    <t>16/02/2021</t>
  </si>
  <si>
    <t>18/02/2008</t>
  </si>
  <si>
    <t>17/02/2021</t>
  </si>
  <si>
    <t>19/02/2008</t>
  </si>
  <si>
    <t>18/02/2021</t>
  </si>
  <si>
    <t>20/02/2008</t>
  </si>
  <si>
    <t>19/02/2021</t>
  </si>
  <si>
    <t>21/02/2008</t>
  </si>
  <si>
    <t>20/02/2021</t>
  </si>
  <si>
    <t>22/02/2008</t>
  </si>
  <si>
    <t>21/02/2021</t>
  </si>
  <si>
    <t>23/02/2008</t>
  </si>
  <si>
    <t>22/02/2021</t>
  </si>
  <si>
    <t>24/02/2008</t>
  </si>
  <si>
    <t>23/02/2021</t>
  </si>
  <si>
    <t>25/02/2008</t>
  </si>
  <si>
    <t>24/02/2021</t>
  </si>
  <si>
    <t>26/02/2008</t>
  </si>
  <si>
    <t>25/02/2021</t>
  </si>
  <si>
    <t>27/02/2008</t>
  </si>
  <si>
    <t>26/02/2021</t>
  </si>
  <si>
    <t>28/02/2008</t>
  </si>
  <si>
    <t>27/02/2021</t>
  </si>
  <si>
    <t>29/02/2008</t>
  </si>
  <si>
    <t>28/02/2021</t>
  </si>
  <si>
    <t>01/03/2008</t>
  </si>
  <si>
    <t>01/03/2021</t>
  </si>
  <si>
    <t>02/03/2008</t>
  </si>
  <si>
    <t>02/03/2021</t>
  </si>
  <si>
    <t>03/03/2008</t>
  </si>
  <si>
    <t>03/03/2021</t>
  </si>
  <si>
    <t>04/03/2008</t>
  </si>
  <si>
    <t>04/03/2021</t>
  </si>
  <si>
    <t>05/03/2008</t>
  </si>
  <si>
    <t>05/03/2021</t>
  </si>
  <si>
    <t>06/03/2008</t>
  </si>
  <si>
    <t>06/03/2021</t>
  </si>
  <si>
    <t>07/03/2008</t>
  </si>
  <si>
    <t>07/03/2021</t>
  </si>
  <si>
    <t>08/03/2008</t>
  </si>
  <si>
    <t>08/03/2021</t>
  </si>
  <si>
    <t>09/03/2008</t>
  </si>
  <si>
    <t>09/03/2021</t>
  </si>
  <si>
    <t>10/03/2008</t>
  </si>
  <si>
    <t>10/03/2021</t>
  </si>
  <si>
    <t>11/03/2008</t>
  </si>
  <si>
    <t>11/03/2021</t>
  </si>
  <si>
    <t>12/03/2008</t>
  </si>
  <si>
    <t>12/03/2021</t>
  </si>
  <si>
    <t>13/03/2008</t>
  </si>
  <si>
    <t>13/03/2021</t>
  </si>
  <si>
    <t>14/03/2008</t>
  </si>
  <si>
    <t>14/03/2021</t>
  </si>
  <si>
    <t>15/03/2008</t>
  </si>
  <si>
    <t>15/03/2021</t>
  </si>
  <si>
    <t>16/03/2008</t>
  </si>
  <si>
    <t>16/03/2021</t>
  </si>
  <si>
    <t>17/03/2008</t>
  </si>
  <si>
    <t>17/03/2021</t>
  </si>
  <si>
    <t>18/03/2008</t>
  </si>
  <si>
    <t>18/03/2021</t>
  </si>
  <si>
    <t>19/03/2008</t>
  </si>
  <si>
    <t>19/03/2021</t>
  </si>
  <si>
    <t>20/03/2008</t>
  </si>
  <si>
    <t>20/03/2021</t>
  </si>
  <si>
    <t>21/03/2008</t>
  </si>
  <si>
    <t>21/03/2021</t>
  </si>
  <si>
    <t>22/03/2008</t>
  </si>
  <si>
    <t>22/03/2021</t>
  </si>
  <si>
    <t>23/03/2008</t>
  </si>
  <si>
    <t>23/03/2021</t>
  </si>
  <si>
    <t>24/03/2008</t>
  </si>
  <si>
    <t>24/03/2021</t>
  </si>
  <si>
    <t>25/03/2008</t>
  </si>
  <si>
    <t>25/03/2021</t>
  </si>
  <si>
    <t>26/03/2008</t>
  </si>
  <si>
    <t>26/03/2021</t>
  </si>
  <si>
    <t>27/03/2008</t>
  </si>
  <si>
    <t>27/03/2021</t>
  </si>
  <si>
    <t>28/03/2008</t>
  </si>
  <si>
    <t>28/03/2021</t>
  </si>
  <si>
    <t>29/03/2008</t>
  </si>
  <si>
    <t>29/03/2021</t>
  </si>
  <si>
    <t>30/03/2008</t>
  </si>
  <si>
    <t>30/03/2021</t>
  </si>
  <si>
    <t>31/03/2008</t>
  </si>
  <si>
    <t>31/03/2021</t>
  </si>
  <si>
    <t>01/04/2008</t>
  </si>
  <si>
    <t>01/04/2021</t>
  </si>
  <si>
    <t>02/04/2008</t>
  </si>
  <si>
    <t>02/04/2021</t>
  </si>
  <si>
    <t>03/04/2008</t>
  </si>
  <si>
    <t>03/04/2021</t>
  </si>
  <si>
    <t>04/04/2008</t>
  </si>
  <si>
    <t>04/04/2021</t>
  </si>
  <si>
    <t>05/04/2008</t>
  </si>
  <si>
    <t>05/04/2021</t>
  </si>
  <si>
    <t>06/04/2008</t>
  </si>
  <si>
    <t>06/04/2021</t>
  </si>
  <si>
    <t>07/04/2008</t>
  </si>
  <si>
    <t>07/04/2021</t>
  </si>
  <si>
    <t>08/04/2008</t>
  </si>
  <si>
    <t>08/04/2021</t>
  </si>
  <si>
    <t>09/04/2008</t>
  </si>
  <si>
    <t>09/04/2021</t>
  </si>
  <si>
    <t>10/04/2008</t>
  </si>
  <si>
    <t>10/04/2021</t>
  </si>
  <si>
    <t>11/04/2008</t>
  </si>
  <si>
    <t>11/04/2021</t>
  </si>
  <si>
    <t>12/04/2008</t>
  </si>
  <si>
    <t>12/04/2021</t>
  </si>
  <si>
    <t>13/04/2008</t>
  </si>
  <si>
    <t>13/04/2021</t>
  </si>
  <si>
    <t>14/04/2008</t>
  </si>
  <si>
    <t>14/04/2021</t>
  </si>
  <si>
    <t>15/04/2008</t>
  </si>
  <si>
    <t>15/04/2021</t>
  </si>
  <si>
    <t>16/04/2008</t>
  </si>
  <si>
    <t>16/04/2021</t>
  </si>
  <si>
    <t>17/04/2008</t>
  </si>
  <si>
    <t>17/04/2021</t>
  </si>
  <si>
    <t>18/04/2008</t>
  </si>
  <si>
    <t>18/04/2021</t>
  </si>
  <si>
    <t>19/04/2008</t>
  </si>
  <si>
    <t>19/04/2021</t>
  </si>
  <si>
    <t>20/04/2008</t>
  </si>
  <si>
    <t>20/04/2021</t>
  </si>
  <si>
    <t>21/04/2008</t>
  </si>
  <si>
    <t>21/04/2021</t>
  </si>
  <si>
    <t>22/04/2008</t>
  </si>
  <si>
    <t>22/04/2021</t>
  </si>
  <si>
    <t>23/04/2008</t>
  </si>
  <si>
    <t>23/04/2021</t>
  </si>
  <si>
    <t>24/04/2008</t>
  </si>
  <si>
    <t>24/04/2021</t>
  </si>
  <si>
    <t>25/04/2008</t>
  </si>
  <si>
    <t>25/04/2021</t>
  </si>
  <si>
    <t>26/04/2008</t>
  </si>
  <si>
    <t>26/04/2021</t>
  </si>
  <si>
    <t>27/04/2008</t>
  </si>
  <si>
    <t>27/04/2021</t>
  </si>
  <si>
    <t>28/04/2008</t>
  </si>
  <si>
    <t>28/04/2021</t>
  </si>
  <si>
    <t>29/04/2008</t>
  </si>
  <si>
    <t>29/04/2021</t>
  </si>
  <si>
    <t>30/04/2008</t>
  </si>
  <si>
    <t>30/04/2021</t>
  </si>
  <si>
    <t>01/05/2008</t>
  </si>
  <si>
    <t>01/05/2021</t>
  </si>
  <si>
    <t>02/05/2008</t>
  </si>
  <si>
    <t>02/05/2021</t>
  </si>
  <si>
    <t>03/05/2008</t>
  </si>
  <si>
    <t>03/05/2021</t>
  </si>
  <si>
    <t>04/05/2008</t>
  </si>
  <si>
    <t>04/05/2021</t>
  </si>
  <si>
    <t>05/05/2008</t>
  </si>
  <si>
    <t>05/05/2021</t>
  </si>
  <si>
    <t>06/05/2008</t>
  </si>
  <si>
    <t>06/05/2021</t>
  </si>
  <si>
    <t>07/05/2008</t>
  </si>
  <si>
    <t>07/05/2021</t>
  </si>
  <si>
    <t>08/05/2008</t>
  </si>
  <si>
    <t>08/05/2021</t>
  </si>
  <si>
    <t>09/05/2008</t>
  </si>
  <si>
    <t>09/05/2021</t>
  </si>
  <si>
    <t>10/05/2008</t>
  </si>
  <si>
    <t>10/05/2021</t>
  </si>
  <si>
    <t>11/05/2008</t>
  </si>
  <si>
    <t>11/05/2021</t>
  </si>
  <si>
    <t>12/05/2008</t>
  </si>
  <si>
    <t>12/05/2021</t>
  </si>
  <si>
    <t>13/05/2008</t>
  </si>
  <si>
    <t>13/05/2021</t>
  </si>
  <si>
    <t>14/05/2008</t>
  </si>
  <si>
    <t>14/05/2021</t>
  </si>
  <si>
    <t>15/05/2008</t>
  </si>
  <si>
    <t>15/05/2021</t>
  </si>
  <si>
    <t>16/05/2008</t>
  </si>
  <si>
    <t>16/05/2021</t>
  </si>
  <si>
    <t>17/05/2008</t>
  </si>
  <si>
    <t>17/05/2021</t>
  </si>
  <si>
    <t>18/05/2008</t>
  </si>
  <si>
    <t>18/05/2021</t>
  </si>
  <si>
    <t>19/05/2008</t>
  </si>
  <si>
    <t>19/05/2021</t>
  </si>
  <si>
    <t>20/05/2008</t>
  </si>
  <si>
    <t>20/05/2021</t>
  </si>
  <si>
    <t>21/05/2008</t>
  </si>
  <si>
    <t>21/05/2021</t>
  </si>
  <si>
    <t>22/05/2008</t>
  </si>
  <si>
    <t>22/05/2021</t>
  </si>
  <si>
    <t>23/05/2008</t>
  </si>
  <si>
    <t>23/05/2021</t>
  </si>
  <si>
    <t>24/05/2008</t>
  </si>
  <si>
    <t>24/05/2021</t>
  </si>
  <si>
    <t>25/05/2008</t>
  </si>
  <si>
    <t>25/05/2021</t>
  </si>
  <si>
    <t>26/05/2008</t>
  </si>
  <si>
    <t>26/05/2021</t>
  </si>
  <si>
    <t>27/05/2008</t>
  </si>
  <si>
    <t>27/05/2021</t>
  </si>
  <si>
    <t>28/05/2008</t>
  </si>
  <si>
    <t>28/05/2021</t>
  </si>
  <si>
    <t>29/05/2008</t>
  </si>
  <si>
    <t>29/05/2021</t>
  </si>
  <si>
    <t>30/05/2008</t>
  </si>
  <si>
    <t>30/05/2021</t>
  </si>
  <si>
    <t>31/05/2008</t>
  </si>
  <si>
    <t>31/05/2021</t>
  </si>
  <si>
    <t>01/06/2008</t>
  </si>
  <si>
    <t>01/06/2021</t>
  </si>
  <si>
    <t>02/06/2008</t>
  </si>
  <si>
    <t>02/06/2021</t>
  </si>
  <si>
    <t>03/06/2008</t>
  </si>
  <si>
    <t>03/06/2021</t>
  </si>
  <si>
    <t>04/06/2008</t>
  </si>
  <si>
    <t>04/06/2021</t>
  </si>
  <si>
    <t>05/06/2008</t>
  </si>
  <si>
    <t>05/06/2021</t>
  </si>
  <si>
    <t>06/06/2008</t>
  </si>
  <si>
    <t>06/06/2021</t>
  </si>
  <si>
    <t>07/06/2008</t>
  </si>
  <si>
    <t>07/06/2021</t>
  </si>
  <si>
    <t>08/06/2008</t>
  </si>
  <si>
    <t>08/06/2021</t>
  </si>
  <si>
    <t>09/06/2008</t>
  </si>
  <si>
    <t>09/06/2021</t>
  </si>
  <si>
    <t>10/06/2008</t>
  </si>
  <si>
    <t>10/06/2021</t>
  </si>
  <si>
    <t>11/06/2008</t>
  </si>
  <si>
    <t>11/06/2021</t>
  </si>
  <si>
    <t>12/06/2008</t>
  </si>
  <si>
    <t>12/06/2021</t>
  </si>
  <si>
    <t>13/06/2008</t>
  </si>
  <si>
    <t>13/06/2021</t>
  </si>
  <si>
    <t>14/06/2008</t>
  </si>
  <si>
    <t>14/06/2021</t>
  </si>
  <si>
    <t>15/06/2008</t>
  </si>
  <si>
    <t>15/06/2021</t>
  </si>
  <si>
    <t>16/06/2008</t>
  </si>
  <si>
    <t>16/06/2021</t>
  </si>
  <si>
    <t>17/06/2008</t>
  </si>
  <si>
    <t>17/06/2021</t>
  </si>
  <si>
    <t>18/06/2008</t>
  </si>
  <si>
    <t>18/06/2021</t>
  </si>
  <si>
    <t>19/06/2008</t>
  </si>
  <si>
    <t>19/06/2021</t>
  </si>
  <si>
    <t>20/06/2008</t>
  </si>
  <si>
    <t>20/06/2021</t>
  </si>
  <si>
    <t>21/06/2008</t>
  </si>
  <si>
    <t>21/06/2021</t>
  </si>
  <si>
    <t>22/06/2008</t>
  </si>
  <si>
    <t>22/06/2021</t>
  </si>
  <si>
    <t>23/06/2008</t>
  </si>
  <si>
    <t>23/06/2021</t>
  </si>
  <si>
    <t>24/06/2008</t>
  </si>
  <si>
    <t>24/06/2021</t>
  </si>
  <si>
    <t>25/06/2008</t>
  </si>
  <si>
    <t>25/06/2021</t>
  </si>
  <si>
    <t>26/06/2008</t>
  </si>
  <si>
    <t>26/06/2021</t>
  </si>
  <si>
    <t>27/06/2008</t>
  </si>
  <si>
    <t>27/06/2021</t>
  </si>
  <si>
    <t>28/06/2008</t>
  </si>
  <si>
    <t>28/06/2021</t>
  </si>
  <si>
    <t>29/06/2008</t>
  </si>
  <si>
    <t>29/06/2021</t>
  </si>
  <si>
    <t>30/06/2008</t>
  </si>
  <si>
    <t>30/06/2021</t>
  </si>
  <si>
    <t>01/07/2008</t>
  </si>
  <si>
    <t>01/07/2021</t>
  </si>
  <si>
    <t>02/07/2008</t>
  </si>
  <si>
    <t>02/07/2021</t>
  </si>
  <si>
    <t>03/07/2008</t>
  </si>
  <si>
    <t>03/07/2021</t>
  </si>
  <si>
    <t>04/07/2008</t>
  </si>
  <si>
    <t>04/07/2021</t>
  </si>
  <si>
    <t>05/07/2008</t>
  </si>
  <si>
    <t>05/07/2021</t>
  </si>
  <si>
    <t>06/07/2008</t>
  </si>
  <si>
    <t>06/07/2021</t>
  </si>
  <si>
    <t>07/07/2008</t>
  </si>
  <si>
    <t>07/07/2021</t>
  </si>
  <si>
    <t>08/07/2008</t>
  </si>
  <si>
    <t>08/07/2021</t>
  </si>
  <si>
    <t>09/07/2008</t>
  </si>
  <si>
    <t>09/07/2021</t>
  </si>
  <si>
    <t>10/07/2008</t>
  </si>
  <si>
    <t>10/07/2021</t>
  </si>
  <si>
    <t>11/07/2008</t>
  </si>
  <si>
    <t>11/07/2021</t>
  </si>
  <si>
    <t>12/07/2008</t>
  </si>
  <si>
    <t>12/07/2021</t>
  </si>
  <si>
    <t>13/07/2008</t>
  </si>
  <si>
    <t>13/07/2021</t>
  </si>
  <si>
    <t>14/07/2008</t>
  </si>
  <si>
    <t>14/07/2021</t>
  </si>
  <si>
    <t>15/07/2008</t>
  </si>
  <si>
    <t>15/07/2021</t>
  </si>
  <si>
    <t>16/07/2008</t>
  </si>
  <si>
    <t>16/07/2021</t>
  </si>
  <si>
    <t>17/07/2008</t>
  </si>
  <si>
    <t>17/07/2021</t>
  </si>
  <si>
    <t>18/07/2008</t>
  </si>
  <si>
    <t>18/07/2021</t>
  </si>
  <si>
    <t>19/07/2008</t>
  </si>
  <si>
    <t>19/07/2021</t>
  </si>
  <si>
    <t>20/07/2008</t>
  </si>
  <si>
    <t>20/07/2021</t>
  </si>
  <si>
    <t>21/07/2008</t>
  </si>
  <si>
    <t>21/07/2021</t>
  </si>
  <si>
    <t>22/07/2008</t>
  </si>
  <si>
    <t>22/07/2021</t>
  </si>
  <si>
    <t>23/07/2008</t>
  </si>
  <si>
    <t>23/07/2021</t>
  </si>
  <si>
    <t>24/07/2008</t>
  </si>
  <si>
    <t>24/07/2021</t>
  </si>
  <si>
    <t>25/07/2008</t>
  </si>
  <si>
    <t>25/07/2021</t>
  </si>
  <si>
    <t>26/07/2008</t>
  </si>
  <si>
    <t>26/07/2021</t>
  </si>
  <si>
    <t>27/07/2008</t>
  </si>
  <si>
    <t>27/07/2021</t>
  </si>
  <si>
    <t>28/07/2008</t>
  </si>
  <si>
    <t>28/07/2021</t>
  </si>
  <si>
    <t>29/07/2008</t>
  </si>
  <si>
    <t>29/07/2021</t>
  </si>
  <si>
    <t>30/07/2008</t>
  </si>
  <si>
    <t>30/07/2021</t>
  </si>
  <si>
    <t>31/07/2008</t>
  </si>
  <si>
    <t>31/07/2021</t>
  </si>
  <si>
    <t>01/08/2008</t>
  </si>
  <si>
    <t>01/08/2021</t>
  </si>
  <si>
    <t>02/08/2008</t>
  </si>
  <si>
    <t>02/08/2021</t>
  </si>
  <si>
    <t>03/08/2008</t>
  </si>
  <si>
    <t>03/08/2021</t>
  </si>
  <si>
    <t>04/08/2008</t>
  </si>
  <si>
    <t>04/08/2021</t>
  </si>
  <si>
    <t>05/08/2008</t>
  </si>
  <si>
    <t>05/08/2021</t>
  </si>
  <si>
    <t>06/08/2008</t>
  </si>
  <si>
    <t>06/08/2021</t>
  </si>
  <si>
    <t>07/08/2008</t>
  </si>
  <si>
    <t>07/08/2021</t>
  </si>
  <si>
    <t>08/08/2008</t>
  </si>
  <si>
    <t>08/08/2021</t>
  </si>
  <si>
    <t>09/08/2008</t>
  </si>
  <si>
    <t>09/08/2021</t>
  </si>
  <si>
    <t>10/08/2008</t>
  </si>
  <si>
    <t>10/08/2021</t>
  </si>
  <si>
    <t>11/08/2008</t>
  </si>
  <si>
    <t>11/08/2021</t>
  </si>
  <si>
    <t>12/08/2008</t>
  </si>
  <si>
    <t>12/08/2021</t>
  </si>
  <si>
    <t>13/08/2008</t>
  </si>
  <si>
    <t>13/08/2021</t>
  </si>
  <si>
    <t>14/08/2008</t>
  </si>
  <si>
    <t>14/08/2021</t>
  </si>
  <si>
    <t>15/08/2008</t>
  </si>
  <si>
    <t>15/08/2021</t>
  </si>
  <si>
    <t>16/08/2008</t>
  </si>
  <si>
    <t>16/08/2021</t>
  </si>
  <si>
    <t>17/08/2008</t>
  </si>
  <si>
    <t>17/08/2021</t>
  </si>
  <si>
    <t>18/08/2008</t>
  </si>
  <si>
    <t>18/08/2021</t>
  </si>
  <si>
    <t>19/08/2008</t>
  </si>
  <si>
    <t>19/08/2021</t>
  </si>
  <si>
    <t>20/08/2008</t>
  </si>
  <si>
    <t>20/08/2021</t>
  </si>
  <si>
    <t>21/08/2008</t>
  </si>
  <si>
    <t>21/08/2021</t>
  </si>
  <si>
    <t>22/08/2008</t>
  </si>
  <si>
    <t>22/08/2021</t>
  </si>
  <si>
    <t>23/08/2008</t>
  </si>
  <si>
    <t>23/08/2021</t>
  </si>
  <si>
    <t>24/08/2008</t>
  </si>
  <si>
    <t>24/08/2021</t>
  </si>
  <si>
    <t>25/08/2008</t>
  </si>
  <si>
    <t>25/08/2021</t>
  </si>
  <si>
    <t>26/08/2008</t>
  </si>
  <si>
    <t>26/08/2021</t>
  </si>
  <si>
    <t>27/08/2008</t>
  </si>
  <si>
    <t>27/08/2021</t>
  </si>
  <si>
    <t>28/08/2008</t>
  </si>
  <si>
    <t>28/08/2021</t>
  </si>
  <si>
    <t>29/08/2008</t>
  </si>
  <si>
    <t>29/08/2021</t>
  </si>
  <si>
    <t>30/08/2008</t>
  </si>
  <si>
    <t>30/08/2021</t>
  </si>
  <si>
    <t>31/08/2008</t>
  </si>
  <si>
    <t>31/08/2021</t>
  </si>
  <si>
    <t>01/09/2008</t>
  </si>
  <si>
    <t>01/09/2021</t>
  </si>
  <si>
    <t>02/09/2008</t>
  </si>
  <si>
    <t>02/09/2021</t>
  </si>
  <si>
    <t>03/09/2008</t>
  </si>
  <si>
    <t>03/09/2021</t>
  </si>
  <si>
    <t>04/09/2008</t>
  </si>
  <si>
    <t>04/09/2021</t>
  </si>
  <si>
    <t>05/09/2008</t>
  </si>
  <si>
    <t>05/09/2021</t>
  </si>
  <si>
    <t>06/09/2008</t>
  </si>
  <si>
    <t>06/09/2021</t>
  </si>
  <si>
    <t>07/09/2008</t>
  </si>
  <si>
    <t>07/09/2021</t>
  </si>
  <si>
    <t>08/09/2008</t>
  </si>
  <si>
    <t>08/09/2021</t>
  </si>
  <si>
    <t>09/09/2008</t>
  </si>
  <si>
    <t>09/09/2021</t>
  </si>
  <si>
    <t>10/09/2008</t>
  </si>
  <si>
    <t>10/09/2021</t>
  </si>
  <si>
    <t>11/09/2008</t>
  </si>
  <si>
    <t>11/09/2021</t>
  </si>
  <si>
    <t>12/09/2008</t>
  </si>
  <si>
    <t>12/09/2021</t>
  </si>
  <si>
    <t>13/09/2008</t>
  </si>
  <si>
    <t>13/09/2021</t>
  </si>
  <si>
    <t>14/09/2008</t>
  </si>
  <si>
    <t>14/09/2021</t>
  </si>
  <si>
    <t>15/09/2008</t>
  </si>
  <si>
    <t>15/09/2021</t>
  </si>
  <si>
    <t>16/09/2008</t>
  </si>
  <si>
    <t>16/09/2021</t>
  </si>
  <si>
    <t>17/09/2008</t>
  </si>
  <si>
    <t>17/09/2021</t>
  </si>
  <si>
    <t>18/09/2008</t>
  </si>
  <si>
    <t>18/09/2021</t>
  </si>
  <si>
    <t>19/09/2008</t>
  </si>
  <si>
    <t>19/09/2021</t>
  </si>
  <si>
    <t>20/09/2008</t>
  </si>
  <si>
    <t>20/09/2021</t>
  </si>
  <si>
    <t>21/09/2008</t>
  </si>
  <si>
    <t>21/09/2021</t>
  </si>
  <si>
    <t>22/09/2008</t>
  </si>
  <si>
    <t>22/09/2021</t>
  </si>
  <si>
    <t>23/09/2008</t>
  </si>
  <si>
    <t>23/09/2021</t>
  </si>
  <si>
    <t>24/09/2008</t>
  </si>
  <si>
    <t>24/09/2021</t>
  </si>
  <si>
    <t>25/09/2008</t>
  </si>
  <si>
    <t>25/09/2021</t>
  </si>
  <si>
    <t>26/09/2008</t>
  </si>
  <si>
    <t>26/09/2021</t>
  </si>
  <si>
    <t>27/09/2008</t>
  </si>
  <si>
    <t>27/09/2021</t>
  </si>
  <si>
    <t>28/09/2008</t>
  </si>
  <si>
    <t>28/09/2021</t>
  </si>
  <si>
    <t>29/09/2008</t>
  </si>
  <si>
    <t>29/09/2021</t>
  </si>
  <si>
    <t>30/09/2008</t>
  </si>
  <si>
    <t>30/09/2021</t>
  </si>
  <si>
    <t>01/10/2008</t>
  </si>
  <si>
    <t>01/10/2021</t>
  </si>
  <si>
    <t>02/10/2008</t>
  </si>
  <si>
    <t>02/10/2021</t>
  </si>
  <si>
    <t>03/10/2008</t>
  </si>
  <si>
    <t>03/10/2021</t>
  </si>
  <si>
    <t>04/10/2008</t>
  </si>
  <si>
    <t>04/10/2021</t>
  </si>
  <si>
    <t>05/10/2008</t>
  </si>
  <si>
    <t>05/10/2021</t>
  </si>
  <si>
    <t>06/10/2008</t>
  </si>
  <si>
    <t>06/10/2021</t>
  </si>
  <si>
    <t>07/10/2008</t>
  </si>
  <si>
    <t>07/10/2021</t>
  </si>
  <si>
    <t>08/10/2008</t>
  </si>
  <si>
    <t>08/10/2021</t>
  </si>
  <si>
    <t>09/10/2008</t>
  </si>
  <si>
    <t>09/10/2021</t>
  </si>
  <si>
    <t>10/10/2008</t>
  </si>
  <si>
    <t>10/10/2021</t>
  </si>
  <si>
    <t>11/10/2008</t>
  </si>
  <si>
    <t>11/10/2021</t>
  </si>
  <si>
    <t>12/10/2008</t>
  </si>
  <si>
    <t>12/10/2021</t>
  </si>
  <si>
    <t>13/10/2008</t>
  </si>
  <si>
    <t>13/10/2021</t>
  </si>
  <si>
    <t>14/10/2008</t>
  </si>
  <si>
    <t>14/10/2021</t>
  </si>
  <si>
    <t>15/10/2008</t>
  </si>
  <si>
    <t>15/10/2021</t>
  </si>
  <si>
    <t>16/10/2008</t>
  </si>
  <si>
    <t>16/10/2021</t>
  </si>
  <si>
    <t>17/10/2008</t>
  </si>
  <si>
    <t>17/10/2021</t>
  </si>
  <si>
    <t>18/10/2008</t>
  </si>
  <si>
    <t>18/10/2021</t>
  </si>
  <si>
    <t>19/10/2008</t>
  </si>
  <si>
    <t>19/10/2021</t>
  </si>
  <si>
    <t>20/10/2008</t>
  </si>
  <si>
    <t>20/10/2021</t>
  </si>
  <si>
    <t>21/10/2008</t>
  </si>
  <si>
    <t>21/10/2021</t>
  </si>
  <si>
    <t>22/10/2008</t>
  </si>
  <si>
    <t>22/10/2021</t>
  </si>
  <si>
    <t>23/10/2008</t>
  </si>
  <si>
    <t>23/10/2021</t>
  </si>
  <si>
    <t>24/10/2008</t>
  </si>
  <si>
    <t>24/10/2021</t>
  </si>
  <si>
    <t>25/10/2008</t>
  </si>
  <si>
    <t>25/10/2021</t>
  </si>
  <si>
    <t>26/10/2008</t>
  </si>
  <si>
    <t>26/10/2021</t>
  </si>
  <si>
    <t>27/10/2008</t>
  </si>
  <si>
    <t>27/10/2021</t>
  </si>
  <si>
    <t>28/10/2008</t>
  </si>
  <si>
    <t>28/10/2021</t>
  </si>
  <si>
    <t>29/10/2008</t>
  </si>
  <si>
    <t>29/10/2021</t>
  </si>
  <si>
    <t>30/10/2008</t>
  </si>
  <si>
    <t>30/10/2021</t>
  </si>
  <si>
    <t>31/10/2008</t>
  </si>
  <si>
    <t>31/10/2021</t>
  </si>
  <si>
    <t>01/11/2008</t>
  </si>
  <si>
    <t>01/11/2021</t>
  </si>
  <si>
    <t>02/11/2008</t>
  </si>
  <si>
    <t>02/11/2021</t>
  </si>
  <si>
    <t>03/11/2008</t>
  </si>
  <si>
    <t>03/11/2021</t>
  </si>
  <si>
    <t>04/11/2008</t>
  </si>
  <si>
    <t>04/11/2021</t>
  </si>
  <si>
    <t>05/11/2008</t>
  </si>
  <si>
    <t>05/11/2021</t>
  </si>
  <si>
    <t>06/11/2008</t>
  </si>
  <si>
    <t>06/11/2021</t>
  </si>
  <si>
    <t>07/11/2008</t>
  </si>
  <si>
    <t>07/11/2021</t>
  </si>
  <si>
    <t>08/11/2008</t>
  </si>
  <si>
    <t>08/11/2021</t>
  </si>
  <si>
    <t>09/11/2008</t>
  </si>
  <si>
    <t>09/11/2021</t>
  </si>
  <si>
    <t>10/11/2008</t>
  </si>
  <si>
    <t>10/11/2021</t>
  </si>
  <si>
    <t>11/11/2008</t>
  </si>
  <si>
    <t>11/11/2021</t>
  </si>
  <si>
    <t>12/11/2008</t>
  </si>
  <si>
    <t>12/11/2021</t>
  </si>
  <si>
    <t>13/11/2008</t>
  </si>
  <si>
    <t>13/11/2021</t>
  </si>
  <si>
    <t>14/11/2008</t>
  </si>
  <si>
    <t>14/11/2021</t>
  </si>
  <si>
    <t>15/11/2008</t>
  </si>
  <si>
    <t>15/11/2021</t>
  </si>
  <si>
    <t>16/11/2008</t>
  </si>
  <si>
    <t>16/11/2021</t>
  </si>
  <si>
    <t>17/11/2008</t>
  </si>
  <si>
    <t>17/11/2021</t>
  </si>
  <si>
    <t>18/11/2008</t>
  </si>
  <si>
    <t>18/11/2021</t>
  </si>
  <si>
    <t>19/11/2008</t>
  </si>
  <si>
    <t>19/11/2021</t>
  </si>
  <si>
    <t>20/11/2008</t>
  </si>
  <si>
    <t>20/11/2021</t>
  </si>
  <si>
    <t>21/11/2008</t>
  </si>
  <si>
    <t>21/11/2021</t>
  </si>
  <si>
    <t>22/11/2008</t>
  </si>
  <si>
    <t>22/11/2021</t>
  </si>
  <si>
    <t>23/11/2008</t>
  </si>
  <si>
    <t>23/11/2021</t>
  </si>
  <si>
    <t>24/11/2008</t>
  </si>
  <si>
    <t>24/11/2021</t>
  </si>
  <si>
    <t>25/11/2008</t>
  </si>
  <si>
    <t>25/11/2021</t>
  </si>
  <si>
    <t>26/11/2008</t>
  </si>
  <si>
    <t>26/11/2021</t>
  </si>
  <si>
    <t>27/11/2008</t>
  </si>
  <si>
    <t>27/11/2021</t>
  </si>
  <si>
    <t>28/11/2008</t>
  </si>
  <si>
    <t>28/11/2021</t>
  </si>
  <si>
    <t>29/11/2008</t>
  </si>
  <si>
    <t>29/11/2021</t>
  </si>
  <si>
    <t>30/11/2008</t>
  </si>
  <si>
    <t>30/11/2021</t>
  </si>
  <si>
    <t>01/12/2008</t>
  </si>
  <si>
    <t>01/12/2021</t>
  </si>
  <si>
    <t>02/12/2008</t>
  </si>
  <si>
    <t>02/12/2021</t>
  </si>
  <si>
    <t>03/12/2008</t>
  </si>
  <si>
    <t>03/12/2021</t>
  </si>
  <si>
    <t>04/12/2008</t>
  </si>
  <si>
    <t>04/12/2021</t>
  </si>
  <si>
    <t>05/12/2008</t>
  </si>
  <si>
    <t>05/12/2021</t>
  </si>
  <si>
    <t>06/12/2008</t>
  </si>
  <si>
    <t>06/12/2021</t>
  </si>
  <si>
    <t>07/12/2008</t>
  </si>
  <si>
    <t>07/12/2021</t>
  </si>
  <si>
    <t>08/12/2008</t>
  </si>
  <si>
    <t>08/12/2021</t>
  </si>
  <si>
    <t>09/12/2008</t>
  </si>
  <si>
    <t>09/12/2021</t>
  </si>
  <si>
    <t>10/12/2008</t>
  </si>
  <si>
    <t>10/12/2021</t>
  </si>
  <si>
    <t>11/12/2008</t>
  </si>
  <si>
    <t>11/12/2021</t>
  </si>
  <si>
    <t>12/12/2008</t>
  </si>
  <si>
    <t>12/12/2021</t>
  </si>
  <si>
    <t>13/12/2008</t>
  </si>
  <si>
    <t>13/12/2021</t>
  </si>
  <si>
    <t>14/12/2008</t>
  </si>
  <si>
    <t>14/12/2021</t>
  </si>
  <si>
    <t>15/12/2008</t>
  </si>
  <si>
    <t>15/12/2021</t>
  </si>
  <si>
    <t>16/12/2008</t>
  </si>
  <si>
    <t>16/12/2021</t>
  </si>
  <si>
    <t>17/12/2008</t>
  </si>
  <si>
    <t>17/12/2021</t>
  </si>
  <si>
    <t>18/12/2008</t>
  </si>
  <si>
    <t>18/12/2021</t>
  </si>
  <si>
    <t>19/12/2008</t>
  </si>
  <si>
    <t>19/12/2021</t>
  </si>
  <si>
    <t>20/12/2008</t>
  </si>
  <si>
    <t>20/12/2021</t>
  </si>
  <si>
    <t>21/12/2008</t>
  </si>
  <si>
    <t>21/12/2021</t>
  </si>
  <si>
    <t>22/12/2008</t>
  </si>
  <si>
    <t>22/12/2021</t>
  </si>
  <si>
    <t>23/12/2008</t>
  </si>
  <si>
    <t>23/12/2021</t>
  </si>
  <si>
    <t>24/12/2008</t>
  </si>
  <si>
    <t>24/12/2021</t>
  </si>
  <si>
    <t>25/12/2008</t>
  </si>
  <si>
    <t>25/12/2021</t>
  </si>
  <si>
    <t>26/12/2008</t>
  </si>
  <si>
    <t>26/12/2021</t>
  </si>
  <si>
    <t>27/12/2008</t>
  </si>
  <si>
    <t>27/12/2021</t>
  </si>
  <si>
    <t>28/12/2008</t>
  </si>
  <si>
    <t>28/12/2021</t>
  </si>
  <si>
    <t>29/12/2008</t>
  </si>
  <si>
    <t>29/12/2021</t>
  </si>
  <si>
    <t>30/12/2008</t>
  </si>
  <si>
    <t>30/12/2021</t>
  </si>
  <si>
    <t>31/12/2008</t>
  </si>
  <si>
    <t>31/12/2021</t>
  </si>
  <si>
    <t>01/01/2009</t>
  </si>
  <si>
    <t>01/01/2022</t>
  </si>
  <si>
    <t>02/01/2009</t>
  </si>
  <si>
    <t>02/01/2022</t>
  </si>
  <si>
    <t>03/01/2009</t>
  </si>
  <si>
    <t>03/01/2022</t>
  </si>
  <si>
    <t>04/01/2009</t>
  </si>
  <si>
    <t>04/01/2022</t>
  </si>
  <si>
    <t>05/01/2009</t>
  </si>
  <si>
    <t>05/01/2022</t>
  </si>
  <si>
    <t>06/01/2009</t>
  </si>
  <si>
    <t>06/01/2022</t>
  </si>
  <si>
    <t>07/01/2009</t>
  </si>
  <si>
    <t>07/01/2022</t>
  </si>
  <si>
    <t>08/01/2009</t>
  </si>
  <si>
    <t>08/01/2022</t>
  </si>
  <si>
    <t>09/01/2009</t>
  </si>
  <si>
    <t>09/01/2022</t>
  </si>
  <si>
    <t>10/01/2009</t>
  </si>
  <si>
    <t>10/01/2022</t>
  </si>
  <si>
    <t>11/01/2009</t>
  </si>
  <si>
    <t>11/01/2022</t>
  </si>
  <si>
    <t>12/01/2009</t>
  </si>
  <si>
    <t>12/01/2022</t>
  </si>
  <si>
    <t>13/01/2009</t>
  </si>
  <si>
    <t>13/01/2022</t>
  </si>
  <si>
    <t>14/01/2009</t>
  </si>
  <si>
    <t>14/01/2022</t>
  </si>
  <si>
    <t>15/01/2009</t>
  </si>
  <si>
    <t>15/01/2022</t>
  </si>
  <si>
    <t>16/01/2009</t>
  </si>
  <si>
    <t>16/01/2022</t>
  </si>
  <si>
    <t>17/01/2009</t>
  </si>
  <si>
    <t>17/01/2022</t>
  </si>
  <si>
    <t>18/01/2009</t>
  </si>
  <si>
    <t>18/01/2022</t>
  </si>
  <si>
    <t>19/01/2009</t>
  </si>
  <si>
    <t>19/01/2022</t>
  </si>
  <si>
    <t>20/01/2009</t>
  </si>
  <si>
    <t>20/01/2022</t>
  </si>
  <si>
    <t>21/01/2009</t>
  </si>
  <si>
    <t>21/01/2022</t>
  </si>
  <si>
    <t>22/01/2009</t>
  </si>
  <si>
    <t>22/01/2022</t>
  </si>
  <si>
    <t>23/01/2009</t>
  </si>
  <si>
    <t>23/01/2022</t>
  </si>
  <si>
    <t>24/01/2009</t>
  </si>
  <si>
    <t>24/01/2022</t>
  </si>
  <si>
    <t>25/01/2009</t>
  </si>
  <si>
    <t>25/01/2022</t>
  </si>
  <si>
    <t>26/01/2009</t>
  </si>
  <si>
    <t>26/01/2022</t>
  </si>
  <si>
    <t>27/01/2009</t>
  </si>
  <si>
    <t>27/01/2022</t>
  </si>
  <si>
    <t>28/01/2009</t>
  </si>
  <si>
    <t>28/01/2022</t>
  </si>
  <si>
    <t>29/01/2009</t>
  </si>
  <si>
    <t>29/01/2022</t>
  </si>
  <si>
    <t>30/01/2009</t>
  </si>
  <si>
    <t>30/01/2022</t>
  </si>
  <si>
    <t>31/01/2009</t>
  </si>
  <si>
    <t>31/01/2022</t>
  </si>
  <si>
    <t>01/02/2009</t>
  </si>
  <si>
    <t>01/02/2022</t>
  </si>
  <si>
    <t>02/02/2009</t>
  </si>
  <si>
    <t>02/02/2022</t>
  </si>
  <si>
    <t>03/02/2009</t>
  </si>
  <si>
    <t>03/02/2022</t>
  </si>
  <si>
    <t>04/02/2009</t>
  </si>
  <si>
    <t>04/02/2022</t>
  </si>
  <si>
    <t>05/02/2009</t>
  </si>
  <si>
    <t>05/02/2022</t>
  </si>
  <si>
    <t>06/02/2009</t>
  </si>
  <si>
    <t>06/02/2022</t>
  </si>
  <si>
    <t>07/02/2009</t>
  </si>
  <si>
    <t>07/02/2022</t>
  </si>
  <si>
    <t>08/02/2009</t>
  </si>
  <si>
    <t>08/02/2022</t>
  </si>
  <si>
    <t>09/02/2009</t>
  </si>
  <si>
    <t>09/02/2022</t>
  </si>
  <si>
    <t>10/02/2009</t>
  </si>
  <si>
    <t>10/02/2022</t>
  </si>
  <si>
    <t>11/02/2009</t>
  </si>
  <si>
    <t>11/02/2022</t>
  </si>
  <si>
    <t>12/02/2009</t>
  </si>
  <si>
    <t>12/02/2022</t>
  </si>
  <si>
    <t>13/02/2009</t>
  </si>
  <si>
    <t>13/02/2022</t>
  </si>
  <si>
    <t>14/02/2009</t>
  </si>
  <si>
    <t>14/02/2022</t>
  </si>
  <si>
    <t>15/02/2009</t>
  </si>
  <si>
    <t>15/02/2022</t>
  </si>
  <si>
    <t>16/02/2009</t>
  </si>
  <si>
    <t>16/02/2022</t>
  </si>
  <si>
    <t>17/02/2009</t>
  </si>
  <si>
    <t>17/02/2022</t>
  </si>
  <si>
    <t>18/02/2009</t>
  </si>
  <si>
    <t>18/02/2022</t>
  </si>
  <si>
    <t>19/02/2009</t>
  </si>
  <si>
    <t>19/02/2022</t>
  </si>
  <si>
    <t>20/02/2009</t>
  </si>
  <si>
    <t>20/02/2022</t>
  </si>
  <si>
    <t>21/02/2009</t>
  </si>
  <si>
    <t>21/02/2022</t>
  </si>
  <si>
    <t>22/02/2009</t>
  </si>
  <si>
    <t>22/02/2022</t>
  </si>
  <si>
    <t>23/02/2009</t>
  </si>
  <si>
    <t>23/02/2022</t>
  </si>
  <si>
    <t>24/02/2009</t>
  </si>
  <si>
    <t>24/02/2022</t>
  </si>
  <si>
    <t>25/02/2009</t>
  </si>
  <si>
    <t>25/02/2022</t>
  </si>
  <si>
    <t>26/02/2009</t>
  </si>
  <si>
    <t>26/02/2022</t>
  </si>
  <si>
    <t>27/02/2009</t>
  </si>
  <si>
    <t>27/02/2022</t>
  </si>
  <si>
    <t>28/02/2009</t>
  </si>
  <si>
    <t>28/02/2022</t>
  </si>
  <si>
    <t>01/03/2009</t>
  </si>
  <si>
    <t>01/03/2022</t>
  </si>
  <si>
    <t>02/03/2009</t>
  </si>
  <si>
    <t>02/03/2022</t>
  </si>
  <si>
    <t>03/03/2009</t>
  </si>
  <si>
    <t>03/03/2022</t>
  </si>
  <si>
    <t>04/03/2009</t>
  </si>
  <si>
    <t>04/03/2022</t>
  </si>
  <si>
    <t>05/03/2009</t>
  </si>
  <si>
    <t>05/03/2022</t>
  </si>
  <si>
    <t>06/03/2009</t>
  </si>
  <si>
    <t>06/03/2022</t>
  </si>
  <si>
    <t>07/03/2009</t>
  </si>
  <si>
    <t>07/03/2022</t>
  </si>
  <si>
    <t>08/03/2009</t>
  </si>
  <si>
    <t>08/03/2022</t>
  </si>
  <si>
    <t>09/03/2009</t>
  </si>
  <si>
    <t>09/03/2022</t>
  </si>
  <si>
    <t>10/03/2009</t>
  </si>
  <si>
    <t>10/03/2022</t>
  </si>
  <si>
    <t>11/03/2009</t>
  </si>
  <si>
    <t>11/03/2022</t>
  </si>
  <si>
    <t>12/03/2009</t>
  </si>
  <si>
    <t>12/03/2022</t>
  </si>
  <si>
    <t>13/03/2009</t>
  </si>
  <si>
    <t>13/03/2022</t>
  </si>
  <si>
    <t>14/03/2009</t>
  </si>
  <si>
    <t>14/03/2022</t>
  </si>
  <si>
    <t>15/03/2009</t>
  </si>
  <si>
    <t>15/03/2022</t>
  </si>
  <si>
    <t>16/03/2009</t>
  </si>
  <si>
    <t>16/03/2022</t>
  </si>
  <si>
    <t>17/03/2009</t>
  </si>
  <si>
    <t>17/03/2022</t>
  </si>
  <si>
    <t>18/03/2009</t>
  </si>
  <si>
    <t>18/03/2022</t>
  </si>
  <si>
    <t>19/03/2009</t>
  </si>
  <si>
    <t>19/03/2022</t>
  </si>
  <si>
    <t>20/03/2009</t>
  </si>
  <si>
    <t>20/03/2022</t>
  </si>
  <si>
    <t>21/03/2009</t>
  </si>
  <si>
    <t>21/03/2022</t>
  </si>
  <si>
    <t>22/03/2009</t>
  </si>
  <si>
    <t>22/03/2022</t>
  </si>
  <si>
    <t>23/03/2009</t>
  </si>
  <si>
    <t>23/03/2022</t>
  </si>
  <si>
    <t>24/03/2009</t>
  </si>
  <si>
    <t>24/03/2022</t>
  </si>
  <si>
    <t>25/03/2009</t>
  </si>
  <si>
    <t>25/03/2022</t>
  </si>
  <si>
    <t>26/03/2009</t>
  </si>
  <si>
    <t>26/03/2022</t>
  </si>
  <si>
    <t>27/03/2009</t>
  </si>
  <si>
    <t>27/03/2022</t>
  </si>
  <si>
    <t>28/03/2009</t>
  </si>
  <si>
    <t>28/03/2022</t>
  </si>
  <si>
    <t>29/03/2009</t>
  </si>
  <si>
    <t>29/03/2022</t>
  </si>
  <si>
    <t>30/03/2009</t>
  </si>
  <si>
    <t>30/03/2022</t>
  </si>
  <si>
    <t>31/03/2009</t>
  </si>
  <si>
    <t>31/03/2022</t>
  </si>
  <si>
    <t>01/04/2009</t>
  </si>
  <si>
    <t>01/04/2022</t>
  </si>
  <si>
    <t>02/04/2009</t>
  </si>
  <si>
    <t>02/04/2022</t>
  </si>
  <si>
    <t>03/04/2009</t>
  </si>
  <si>
    <t>03/04/2022</t>
  </si>
  <si>
    <t>04/04/2009</t>
  </si>
  <si>
    <t>04/04/2022</t>
  </si>
  <si>
    <t>05/04/2009</t>
  </si>
  <si>
    <t>05/04/2022</t>
  </si>
  <si>
    <t>06/04/2009</t>
  </si>
  <si>
    <t>06/04/2022</t>
  </si>
  <si>
    <t>07/04/2009</t>
  </si>
  <si>
    <t>07/04/2022</t>
  </si>
  <si>
    <t>08/04/2009</t>
  </si>
  <si>
    <t>08/04/2022</t>
  </si>
  <si>
    <t>09/04/2009</t>
  </si>
  <si>
    <t>09/04/2022</t>
  </si>
  <si>
    <t>10/04/2009</t>
  </si>
  <si>
    <t>10/04/2022</t>
  </si>
  <si>
    <t>11/04/2009</t>
  </si>
  <si>
    <t>11/04/2022</t>
  </si>
  <si>
    <t>12/04/2009</t>
  </si>
  <si>
    <t>12/04/2022</t>
  </si>
  <si>
    <t>13/04/2009</t>
  </si>
  <si>
    <t>13/04/2022</t>
  </si>
  <si>
    <t>14/04/2009</t>
  </si>
  <si>
    <t>14/04/2022</t>
  </si>
  <si>
    <t>15/04/2009</t>
  </si>
  <si>
    <t>15/04/2022</t>
  </si>
  <si>
    <t>16/04/2009</t>
  </si>
  <si>
    <t>16/04/2022</t>
  </si>
  <si>
    <t>17/04/2009</t>
  </si>
  <si>
    <t>17/04/2022</t>
  </si>
  <si>
    <t>18/04/2009</t>
  </si>
  <si>
    <t>18/04/2022</t>
  </si>
  <si>
    <t>19/04/2009</t>
  </si>
  <si>
    <t>19/04/2022</t>
  </si>
  <si>
    <t>20/04/2009</t>
  </si>
  <si>
    <t>20/04/2022</t>
  </si>
  <si>
    <t>21/04/2009</t>
  </si>
  <si>
    <t>21/04/2022</t>
  </si>
  <si>
    <t>22/04/2009</t>
  </si>
  <si>
    <t>22/04/2022</t>
  </si>
  <si>
    <t>23/04/2009</t>
  </si>
  <si>
    <t>23/04/2022</t>
  </si>
  <si>
    <t>24/04/2009</t>
  </si>
  <si>
    <t>24/04/2022</t>
  </si>
  <si>
    <t>25/04/2009</t>
  </si>
  <si>
    <t>25/04/2022</t>
  </si>
  <si>
    <t>26/04/2009</t>
  </si>
  <si>
    <t>26/04/2022</t>
  </si>
  <si>
    <t>27/04/2009</t>
  </si>
  <si>
    <t>27/04/2022</t>
  </si>
  <si>
    <t>28/04/2009</t>
  </si>
  <si>
    <t>28/04/2022</t>
  </si>
  <si>
    <t>29/04/2009</t>
  </si>
  <si>
    <t>29/04/2022</t>
  </si>
  <si>
    <t>30/04/2009</t>
  </si>
  <si>
    <t>30/04/2022</t>
  </si>
  <si>
    <t>01/05/2009</t>
  </si>
  <si>
    <t>01/05/2022</t>
  </si>
  <si>
    <t>02/05/2009</t>
  </si>
  <si>
    <t>02/05/2022</t>
  </si>
  <si>
    <t>03/05/2009</t>
  </si>
  <si>
    <t>03/05/2022</t>
  </si>
  <si>
    <t>04/05/2009</t>
  </si>
  <si>
    <t>04/05/2022</t>
  </si>
  <si>
    <t>05/05/2009</t>
  </si>
  <si>
    <t>05/05/2022</t>
  </si>
  <si>
    <t>06/05/2009</t>
  </si>
  <si>
    <t>06/05/2022</t>
  </si>
  <si>
    <t>07/05/2009</t>
  </si>
  <si>
    <t>07/05/2022</t>
  </si>
  <si>
    <t>08/05/2009</t>
  </si>
  <si>
    <t>08/05/2022</t>
  </si>
  <si>
    <t>09/05/2009</t>
  </si>
  <si>
    <t>09/05/2022</t>
  </si>
  <si>
    <t>10/05/2009</t>
  </si>
  <si>
    <t>10/05/2022</t>
  </si>
  <si>
    <t>11/05/2009</t>
  </si>
  <si>
    <t>11/05/2022</t>
  </si>
  <si>
    <t>12/05/2009</t>
  </si>
  <si>
    <t>12/05/2022</t>
  </si>
  <si>
    <t>13/05/2009</t>
  </si>
  <si>
    <t>13/05/2022</t>
  </si>
  <si>
    <t>14/05/2009</t>
  </si>
  <si>
    <t>14/05/2022</t>
  </si>
  <si>
    <t>15/05/2009</t>
  </si>
  <si>
    <t>15/05/2022</t>
  </si>
  <si>
    <t>16/05/2009</t>
  </si>
  <si>
    <t>16/05/2022</t>
  </si>
  <si>
    <t>17/05/2009</t>
  </si>
  <si>
    <t>17/05/2022</t>
  </si>
  <si>
    <t>18/05/2009</t>
  </si>
  <si>
    <t>18/05/2022</t>
  </si>
  <si>
    <t>19/05/2009</t>
  </si>
  <si>
    <t>19/05/2022</t>
  </si>
  <si>
    <t>20/05/2009</t>
  </si>
  <si>
    <t>20/05/2022</t>
  </si>
  <si>
    <t>21/05/2009</t>
  </si>
  <si>
    <t>21/05/2022</t>
  </si>
  <si>
    <t>22/05/2009</t>
  </si>
  <si>
    <t>22/05/2022</t>
  </si>
  <si>
    <t>23/05/2009</t>
  </si>
  <si>
    <t>23/05/2022</t>
  </si>
  <si>
    <t>24/05/2009</t>
  </si>
  <si>
    <t>24/05/2022</t>
  </si>
  <si>
    <t>25/05/2009</t>
  </si>
  <si>
    <t>25/05/2022</t>
  </si>
  <si>
    <t>26/05/2009</t>
  </si>
  <si>
    <t>26/05/2022</t>
  </si>
  <si>
    <t>27/05/2009</t>
  </si>
  <si>
    <t>27/05/2022</t>
  </si>
  <si>
    <t>28/05/2009</t>
  </si>
  <si>
    <t>28/05/2022</t>
  </si>
  <si>
    <t>29/05/2009</t>
  </si>
  <si>
    <t>29/05/2022</t>
  </si>
  <si>
    <t>30/05/2009</t>
  </si>
  <si>
    <t>30/05/2022</t>
  </si>
  <si>
    <t>31/05/2009</t>
  </si>
  <si>
    <t>31/05/2022</t>
  </si>
  <si>
    <t>01/06/2009</t>
  </si>
  <si>
    <t>01/06/2022</t>
  </si>
  <si>
    <t>02/06/2009</t>
  </si>
  <si>
    <t>02/06/2022</t>
  </si>
  <si>
    <t>03/06/2009</t>
  </si>
  <si>
    <t>03/06/2022</t>
  </si>
  <si>
    <t>04/06/2009</t>
  </si>
  <si>
    <t>04/06/2022</t>
  </si>
  <si>
    <t>05/06/2009</t>
  </si>
  <si>
    <t>05/06/2022</t>
  </si>
  <si>
    <t>06/06/2009</t>
  </si>
  <si>
    <t>06/06/2022</t>
  </si>
  <si>
    <t>07/06/2009</t>
  </si>
  <si>
    <t>07/06/2022</t>
  </si>
  <si>
    <t>08/06/2009</t>
  </si>
  <si>
    <t>08/06/2022</t>
  </si>
  <si>
    <t>09/06/2009</t>
  </si>
  <si>
    <t>09/06/2022</t>
  </si>
  <si>
    <t>10/06/2009</t>
  </si>
  <si>
    <t>10/06/2022</t>
  </si>
  <si>
    <t>11/06/2009</t>
  </si>
  <si>
    <t>11/06/2022</t>
  </si>
  <si>
    <t>12/06/2009</t>
  </si>
  <si>
    <t>12/06/2022</t>
  </si>
  <si>
    <t>13/06/2009</t>
  </si>
  <si>
    <t>13/06/2022</t>
  </si>
  <si>
    <t>14/06/2009</t>
  </si>
  <si>
    <t>14/06/2022</t>
  </si>
  <si>
    <t>15/06/2009</t>
  </si>
  <si>
    <t>15/06/2022</t>
  </si>
  <si>
    <t>16/06/2009</t>
  </si>
  <si>
    <t>16/06/2022</t>
  </si>
  <si>
    <t>17/06/2009</t>
  </si>
  <si>
    <t>17/06/2022</t>
  </si>
  <si>
    <t>18/06/2009</t>
  </si>
  <si>
    <t>18/06/2022</t>
  </si>
  <si>
    <t>19/06/2009</t>
  </si>
  <si>
    <t>19/06/2022</t>
  </si>
  <si>
    <t>20/06/2009</t>
  </si>
  <si>
    <t>20/06/2022</t>
  </si>
  <si>
    <t>21/06/2009</t>
  </si>
  <si>
    <t>21/06/2022</t>
  </si>
  <si>
    <t>22/06/2009</t>
  </si>
  <si>
    <t>22/06/2022</t>
  </si>
  <si>
    <t>23/06/2009</t>
  </si>
  <si>
    <t>23/06/2022</t>
  </si>
  <si>
    <t>24/06/2009</t>
  </si>
  <si>
    <t>24/06/2022</t>
  </si>
  <si>
    <t>25/06/2009</t>
  </si>
  <si>
    <t>25/06/2022</t>
  </si>
  <si>
    <t>26/06/2009</t>
  </si>
  <si>
    <t>26/06/2022</t>
  </si>
  <si>
    <t>27/06/2009</t>
  </si>
  <si>
    <t>27/06/2022</t>
  </si>
  <si>
    <t>28/06/2009</t>
  </si>
  <si>
    <t>28/06/2022</t>
  </si>
  <si>
    <t>29/06/2009</t>
  </si>
  <si>
    <t>29/06/2022</t>
  </si>
  <si>
    <t>30/06/2009</t>
  </si>
  <si>
    <t>30/06/2022</t>
  </si>
  <si>
    <t>01/07/2009</t>
  </si>
  <si>
    <t>01/07/2022</t>
  </si>
  <si>
    <t>02/07/2009</t>
  </si>
  <si>
    <t>02/07/2022</t>
  </si>
  <si>
    <t>03/07/2009</t>
  </si>
  <si>
    <t>03/07/2022</t>
  </si>
  <si>
    <t>04/07/2009</t>
  </si>
  <si>
    <t>04/07/2022</t>
  </si>
  <si>
    <t>05/07/2009</t>
  </si>
  <si>
    <t>05/07/2022</t>
  </si>
  <si>
    <t>06/07/2009</t>
  </si>
  <si>
    <t>06/07/2022</t>
  </si>
  <si>
    <t>07/07/2009</t>
  </si>
  <si>
    <t>07/07/2022</t>
  </si>
  <si>
    <t>08/07/2009</t>
  </si>
  <si>
    <t>08/07/2022</t>
  </si>
  <si>
    <t>09/07/2009</t>
  </si>
  <si>
    <t>09/07/2022</t>
  </si>
  <si>
    <t>10/07/2009</t>
  </si>
  <si>
    <t>10/07/2022</t>
  </si>
  <si>
    <t>11/07/2009</t>
  </si>
  <si>
    <t>11/07/2022</t>
  </si>
  <si>
    <t>12/07/2009</t>
  </si>
  <si>
    <t>12/07/2022</t>
  </si>
  <si>
    <t>13/07/2009</t>
  </si>
  <si>
    <t>13/07/2022</t>
  </si>
  <si>
    <t>14/07/2009</t>
  </si>
  <si>
    <t>14/07/2022</t>
  </si>
  <si>
    <t>15/07/2009</t>
  </si>
  <si>
    <t>15/07/2022</t>
  </si>
  <si>
    <t>16/07/2009</t>
  </si>
  <si>
    <t>16/07/2022</t>
  </si>
  <si>
    <t>17/07/2009</t>
  </si>
  <si>
    <t>17/07/2022</t>
  </si>
  <si>
    <t>18/07/2009</t>
  </si>
  <si>
    <t>18/07/2022</t>
  </si>
  <si>
    <t>19/07/2009</t>
  </si>
  <si>
    <t>19/07/2022</t>
  </si>
  <si>
    <t>20/07/2009</t>
  </si>
  <si>
    <t>20/07/2022</t>
  </si>
  <si>
    <t>21/07/2009</t>
  </si>
  <si>
    <t>21/07/2022</t>
  </si>
  <si>
    <t>22/07/2009</t>
  </si>
  <si>
    <t>22/07/2022</t>
  </si>
  <si>
    <t>23/07/2009</t>
  </si>
  <si>
    <t>23/07/2022</t>
  </si>
  <si>
    <t>24/07/2009</t>
  </si>
  <si>
    <t>24/07/2022</t>
  </si>
  <si>
    <t>25/07/2009</t>
  </si>
  <si>
    <t>25/07/2022</t>
  </si>
  <si>
    <t>26/07/2009</t>
  </si>
  <si>
    <t>26/07/2022</t>
  </si>
  <si>
    <t>27/07/2009</t>
  </si>
  <si>
    <t>27/07/2022</t>
  </si>
  <si>
    <t>28/07/2009</t>
  </si>
  <si>
    <t>28/07/2022</t>
  </si>
  <si>
    <t>29/07/2009</t>
  </si>
  <si>
    <t>29/07/2022</t>
  </si>
  <si>
    <t>30/07/2009</t>
  </si>
  <si>
    <t>30/07/2022</t>
  </si>
  <si>
    <t>31/07/2009</t>
  </si>
  <si>
    <t>31/07/2022</t>
  </si>
  <si>
    <t>01/08/2009</t>
  </si>
  <si>
    <t>01/08/2022</t>
  </si>
  <si>
    <t>02/08/2009</t>
  </si>
  <si>
    <t>02/08/2022</t>
  </si>
  <si>
    <t>03/08/2009</t>
  </si>
  <si>
    <t>03/08/2022</t>
  </si>
  <si>
    <t>04/08/2009</t>
  </si>
  <si>
    <t>04/08/2022</t>
  </si>
  <si>
    <t>05/08/2009</t>
  </si>
  <si>
    <t>05/08/2022</t>
  </si>
  <si>
    <t>06/08/2009</t>
  </si>
  <si>
    <t>06/08/2022</t>
  </si>
  <si>
    <t>07/08/2009</t>
  </si>
  <si>
    <t>07/08/2022</t>
  </si>
  <si>
    <t>08/08/2009</t>
  </si>
  <si>
    <t>08/08/2022</t>
  </si>
  <si>
    <t>09/08/2009</t>
  </si>
  <si>
    <t>09/08/2022</t>
  </si>
  <si>
    <t>10/08/2009</t>
  </si>
  <si>
    <t>10/08/2022</t>
  </si>
  <si>
    <t>11/08/2009</t>
  </si>
  <si>
    <t>11/08/2022</t>
  </si>
  <si>
    <t>12/08/2009</t>
  </si>
  <si>
    <t>12/08/2022</t>
  </si>
  <si>
    <t>13/08/2009</t>
  </si>
  <si>
    <t>13/08/2022</t>
  </si>
  <si>
    <t>14/08/2009</t>
  </si>
  <si>
    <t>14/08/2022</t>
  </si>
  <si>
    <t>15/08/2009</t>
  </si>
  <si>
    <t>15/08/2022</t>
  </si>
  <si>
    <t>16/08/2009</t>
  </si>
  <si>
    <t>16/08/2022</t>
  </si>
  <si>
    <t>17/08/2009</t>
  </si>
  <si>
    <t>17/08/2022</t>
  </si>
  <si>
    <t>18/08/2009</t>
  </si>
  <si>
    <t>18/08/2022</t>
  </si>
  <si>
    <t>19/08/2009</t>
  </si>
  <si>
    <t>19/08/2022</t>
  </si>
  <si>
    <t>20/08/2009</t>
  </si>
  <si>
    <t>20/08/2022</t>
  </si>
  <si>
    <t>21/08/2009</t>
  </si>
  <si>
    <t>21/08/2022</t>
  </si>
  <si>
    <t>22/08/2009</t>
  </si>
  <si>
    <t>22/08/2022</t>
  </si>
  <si>
    <t>23/08/2009</t>
  </si>
  <si>
    <t>23/08/2022</t>
  </si>
  <si>
    <t>24/08/2009</t>
  </si>
  <si>
    <t>24/08/2022</t>
  </si>
  <si>
    <t>25/08/2009</t>
  </si>
  <si>
    <t>25/08/2022</t>
  </si>
  <si>
    <t>26/08/2009</t>
  </si>
  <si>
    <t>26/08/2022</t>
  </si>
  <si>
    <t>27/08/2009</t>
  </si>
  <si>
    <t>27/08/2022</t>
  </si>
  <si>
    <t>28/08/2009</t>
  </si>
  <si>
    <t>28/08/2022</t>
  </si>
  <si>
    <t>29/08/2009</t>
  </si>
  <si>
    <t>29/08/2022</t>
  </si>
  <si>
    <t>30/08/2009</t>
  </si>
  <si>
    <t>30/08/2022</t>
  </si>
  <si>
    <t>31/08/2009</t>
  </si>
  <si>
    <t>31/08/2022</t>
  </si>
  <si>
    <t>01/09/2009</t>
  </si>
  <si>
    <t>01/09/2022</t>
  </si>
  <si>
    <t>02/09/2009</t>
  </si>
  <si>
    <t>02/09/2022</t>
  </si>
  <si>
    <t>03/09/2009</t>
  </si>
  <si>
    <t>03/09/2022</t>
  </si>
  <si>
    <t>04/09/2009</t>
  </si>
  <si>
    <t>04/09/2022</t>
  </si>
  <si>
    <t>05/09/2009</t>
  </si>
  <si>
    <t>05/09/2022</t>
  </si>
  <si>
    <t>06/09/2009</t>
  </si>
  <si>
    <t>06/09/2022</t>
  </si>
  <si>
    <t>07/09/2009</t>
  </si>
  <si>
    <t>07/09/2022</t>
  </si>
  <si>
    <t>08/09/2009</t>
  </si>
  <si>
    <t>08/09/2022</t>
  </si>
  <si>
    <t>09/09/2009</t>
  </si>
  <si>
    <t>09/09/2022</t>
  </si>
  <si>
    <t>10/09/2009</t>
  </si>
  <si>
    <t>10/09/2022</t>
  </si>
  <si>
    <t>11/09/2009</t>
  </si>
  <si>
    <t>11/09/2022</t>
  </si>
  <si>
    <t>12/09/2009</t>
  </si>
  <si>
    <t>12/09/2022</t>
  </si>
  <si>
    <t>13/09/2009</t>
  </si>
  <si>
    <t>13/09/2022</t>
  </si>
  <si>
    <t>14/09/2009</t>
  </si>
  <si>
    <t>14/09/2022</t>
  </si>
  <si>
    <t>15/09/2009</t>
  </si>
  <si>
    <t>15/09/2022</t>
  </si>
  <si>
    <t>16/09/2009</t>
  </si>
  <si>
    <t>16/09/2022</t>
  </si>
  <si>
    <t>17/09/2009</t>
  </si>
  <si>
    <t>17/09/2022</t>
  </si>
  <si>
    <t>18/09/2009</t>
  </si>
  <si>
    <t>18/09/2022</t>
  </si>
  <si>
    <t>19/09/2009</t>
  </si>
  <si>
    <t>19/09/2022</t>
  </si>
  <si>
    <t>20/09/2009</t>
  </si>
  <si>
    <t>20/09/2022</t>
  </si>
  <si>
    <t>21/09/2009</t>
  </si>
  <si>
    <t>21/09/2022</t>
  </si>
  <si>
    <t>22/09/2009</t>
  </si>
  <si>
    <t>22/09/2022</t>
  </si>
  <si>
    <t>23/09/2009</t>
  </si>
  <si>
    <t>23/09/2022</t>
  </si>
  <si>
    <t>24/09/2009</t>
  </si>
  <si>
    <t>24/09/2022</t>
  </si>
  <si>
    <t>25/09/2009</t>
  </si>
  <si>
    <t>25/09/2022</t>
  </si>
  <si>
    <t>26/09/2009</t>
  </si>
  <si>
    <t>26/09/2022</t>
  </si>
  <si>
    <t>27/09/2009</t>
  </si>
  <si>
    <t>27/09/2022</t>
  </si>
  <si>
    <t>28/09/2009</t>
  </si>
  <si>
    <t>28/09/2022</t>
  </si>
  <si>
    <t>29/09/2009</t>
  </si>
  <si>
    <t>29/09/2022</t>
  </si>
  <si>
    <t>30/09/2009</t>
  </si>
  <si>
    <t>30/09/2022</t>
  </si>
  <si>
    <t>01/10/2009</t>
  </si>
  <si>
    <t>01/10/2022</t>
  </si>
  <si>
    <t>02/10/2009</t>
  </si>
  <si>
    <t>02/10/2022</t>
  </si>
  <si>
    <t>03/10/2009</t>
  </si>
  <si>
    <t>03/10/2022</t>
  </si>
  <si>
    <t>04/10/2009</t>
  </si>
  <si>
    <t>04/10/2022</t>
  </si>
  <si>
    <t>05/10/2009</t>
  </si>
  <si>
    <t>05/10/2022</t>
  </si>
  <si>
    <t>06/10/2009</t>
  </si>
  <si>
    <t>06/10/2022</t>
  </si>
  <si>
    <t>07/10/2009</t>
  </si>
  <si>
    <t>07/10/2022</t>
  </si>
  <si>
    <t>08/10/2009</t>
  </si>
  <si>
    <t>08/10/2022</t>
  </si>
  <si>
    <t>09/10/2009</t>
  </si>
  <si>
    <t>09/10/2022</t>
  </si>
  <si>
    <t>10/10/2009</t>
  </si>
  <si>
    <t>10/10/2022</t>
  </si>
  <si>
    <t>11/10/2009</t>
  </si>
  <si>
    <t>11/10/2022</t>
  </si>
  <si>
    <t>12/10/2009</t>
  </si>
  <si>
    <t>12/10/2022</t>
  </si>
  <si>
    <t>13/10/2009</t>
  </si>
  <si>
    <t>13/10/2022</t>
  </si>
  <si>
    <t>14/10/2009</t>
  </si>
  <si>
    <t>14/10/2022</t>
  </si>
  <si>
    <t>15/10/2009</t>
  </si>
  <si>
    <t>15/10/2022</t>
  </si>
  <si>
    <t>16/10/2009</t>
  </si>
  <si>
    <t>16/10/2022</t>
  </si>
  <si>
    <t>17/10/2009</t>
  </si>
  <si>
    <t>17/10/2022</t>
  </si>
  <si>
    <t>18/10/2009</t>
  </si>
  <si>
    <t>18/10/2022</t>
  </si>
  <si>
    <t>19/10/2009</t>
  </si>
  <si>
    <t>19/10/2022</t>
  </si>
  <si>
    <t>20/10/2009</t>
  </si>
  <si>
    <t>20/10/2022</t>
  </si>
  <si>
    <t>21/10/2009</t>
  </si>
  <si>
    <t>21/10/2022</t>
  </si>
  <si>
    <t>22/10/2009</t>
  </si>
  <si>
    <t>22/10/2022</t>
  </si>
  <si>
    <t>23/10/2009</t>
  </si>
  <si>
    <t>23/10/2022</t>
  </si>
  <si>
    <t>24/10/2009</t>
  </si>
  <si>
    <t>24/10/2022</t>
  </si>
  <si>
    <t>25/10/2009</t>
  </si>
  <si>
    <t>25/10/2022</t>
  </si>
  <si>
    <t>26/10/2009</t>
  </si>
  <si>
    <t>26/10/2022</t>
  </si>
  <si>
    <t>27/10/2009</t>
  </si>
  <si>
    <t>27/10/2022</t>
  </si>
  <si>
    <t>28/10/2009</t>
  </si>
  <si>
    <t>28/10/2022</t>
  </si>
  <si>
    <t>29/10/2009</t>
  </si>
  <si>
    <t>29/10/2022</t>
  </si>
  <si>
    <t>30/10/2009</t>
  </si>
  <si>
    <t>30/10/2022</t>
  </si>
  <si>
    <t>31/10/2009</t>
  </si>
  <si>
    <t>31/10/2022</t>
  </si>
  <si>
    <t>01/11/2009</t>
  </si>
  <si>
    <t>01/11/2022</t>
  </si>
  <si>
    <t>02/11/2009</t>
  </si>
  <si>
    <t>02/11/2022</t>
  </si>
  <si>
    <t>03/11/2009</t>
  </si>
  <si>
    <t>03/11/2022</t>
  </si>
  <si>
    <t>04/11/2009</t>
  </si>
  <si>
    <t>04/11/2022</t>
  </si>
  <si>
    <t>05/11/2009</t>
  </si>
  <si>
    <t>05/11/2022</t>
  </si>
  <si>
    <t>06/11/2009</t>
  </si>
  <si>
    <t>06/11/2022</t>
  </si>
  <si>
    <t>07/11/2009</t>
  </si>
  <si>
    <t>07/11/2022</t>
  </si>
  <si>
    <t>08/11/2009</t>
  </si>
  <si>
    <t>08/11/2022</t>
  </si>
  <si>
    <t>09/11/2009</t>
  </si>
  <si>
    <t>09/11/2022</t>
  </si>
  <si>
    <t>10/11/2009</t>
  </si>
  <si>
    <t>10/11/2022</t>
  </si>
  <si>
    <t>11/11/2009</t>
  </si>
  <si>
    <t>11/11/2022</t>
  </si>
  <si>
    <t>12/11/2009</t>
  </si>
  <si>
    <t>12/11/2022</t>
  </si>
  <si>
    <t>13/11/2009</t>
  </si>
  <si>
    <t>13/11/2022</t>
  </si>
  <si>
    <t>14/11/2009</t>
  </si>
  <si>
    <t>14/11/2022</t>
  </si>
  <si>
    <t>15/11/2009</t>
  </si>
  <si>
    <t>15/11/2022</t>
  </si>
  <si>
    <t>16/11/2009</t>
  </si>
  <si>
    <t>16/11/2022</t>
  </si>
  <si>
    <t>17/11/2009</t>
  </si>
  <si>
    <t>17/11/2022</t>
  </si>
  <si>
    <t>18/11/2009</t>
  </si>
  <si>
    <t>18/11/2022</t>
  </si>
  <si>
    <t>19/11/2009</t>
  </si>
  <si>
    <t>19/11/2022</t>
  </si>
  <si>
    <t>20/11/2009</t>
  </si>
  <si>
    <t>20/11/2022</t>
  </si>
  <si>
    <t>21/11/2009</t>
  </si>
  <si>
    <t>21/11/2022</t>
  </si>
  <si>
    <t>22/11/2009</t>
  </si>
  <si>
    <t>22/11/2022</t>
  </si>
  <si>
    <t>23/11/2009</t>
  </si>
  <si>
    <t>23/11/2022</t>
  </si>
  <si>
    <t>24/11/2009</t>
  </si>
  <si>
    <t>24/11/2022</t>
  </si>
  <si>
    <t>25/11/2009</t>
  </si>
  <si>
    <t>25/11/2022</t>
  </si>
  <si>
    <t>26/11/2009</t>
  </si>
  <si>
    <t>26/11/2022</t>
  </si>
  <si>
    <t>27/11/2009</t>
  </si>
  <si>
    <t>27/11/2022</t>
  </si>
  <si>
    <t>28/11/2009</t>
  </si>
  <si>
    <t>28/11/2022</t>
  </si>
  <si>
    <t>29/11/2009</t>
  </si>
  <si>
    <t>29/11/2022</t>
  </si>
  <si>
    <t>30/11/2009</t>
  </si>
  <si>
    <t>30/11/2022</t>
  </si>
  <si>
    <t>01/12/2009</t>
  </si>
  <si>
    <t>01/12/2022</t>
  </si>
  <si>
    <t>02/12/2009</t>
  </si>
  <si>
    <t>02/12/2022</t>
  </si>
  <si>
    <t>03/12/2009</t>
  </si>
  <si>
    <t>03/12/2022</t>
  </si>
  <si>
    <t>04/12/2009</t>
  </si>
  <si>
    <t>04/12/2022</t>
  </si>
  <si>
    <t>05/12/2009</t>
  </si>
  <si>
    <t>05/12/2022</t>
  </si>
  <si>
    <t>06/12/2009</t>
  </si>
  <si>
    <t>06/12/2022</t>
  </si>
  <si>
    <t>07/12/2009</t>
  </si>
  <si>
    <t>07/12/2022</t>
  </si>
  <si>
    <t>08/12/2009</t>
  </si>
  <si>
    <t>08/12/2022</t>
  </si>
  <si>
    <t>09/12/2009</t>
  </si>
  <si>
    <t>09/12/2022</t>
  </si>
  <si>
    <t>10/12/2009</t>
  </si>
  <si>
    <t>10/12/2022</t>
  </si>
  <si>
    <t>11/12/2009</t>
  </si>
  <si>
    <t>11/12/2022</t>
  </si>
  <si>
    <t>12/12/2009</t>
  </si>
  <si>
    <t>12/12/2022</t>
  </si>
  <si>
    <t>13/12/2009</t>
  </si>
  <si>
    <t>13/12/2022</t>
  </si>
  <si>
    <t>14/12/2009</t>
  </si>
  <si>
    <t>14/12/2022</t>
  </si>
  <si>
    <t>15/12/2009</t>
  </si>
  <si>
    <t>15/12/2022</t>
  </si>
  <si>
    <t>16/12/2009</t>
  </si>
  <si>
    <t>16/12/2022</t>
  </si>
  <si>
    <t>17/12/2009</t>
  </si>
  <si>
    <t>17/12/2022</t>
  </si>
  <si>
    <t>18/12/2009</t>
  </si>
  <si>
    <t>18/12/2022</t>
  </si>
  <si>
    <t>19/12/2009</t>
  </si>
  <si>
    <t>19/12/2022</t>
  </si>
  <si>
    <t>20/12/2009</t>
  </si>
  <si>
    <t>20/12/2022</t>
  </si>
  <si>
    <t>21/12/2009</t>
  </si>
  <si>
    <t>21/12/2022</t>
  </si>
  <si>
    <t>22/12/2009</t>
  </si>
  <si>
    <t>22/12/2022</t>
  </si>
  <si>
    <t>23/12/2009</t>
  </si>
  <si>
    <t>23/12/2022</t>
  </si>
  <si>
    <t>24/12/2009</t>
  </si>
  <si>
    <t>24/12/2022</t>
  </si>
  <si>
    <t>25/12/2009</t>
  </si>
  <si>
    <t>25/12/2022</t>
  </si>
  <si>
    <t>26/12/2009</t>
  </si>
  <si>
    <t>26/12/2022</t>
  </si>
  <si>
    <t>27/12/2009</t>
  </si>
  <si>
    <t>27/12/2022</t>
  </si>
  <si>
    <t>28/12/2009</t>
  </si>
  <si>
    <t>28/12/2022</t>
  </si>
  <si>
    <t>29/12/2009</t>
  </si>
  <si>
    <t>29/12/2022</t>
  </si>
  <si>
    <t>30/12/2009</t>
  </si>
  <si>
    <t>30/12/2022</t>
  </si>
  <si>
    <t>31/12/2009</t>
  </si>
  <si>
    <t>31/12/2022</t>
  </si>
  <si>
    <t>01/01/2010</t>
  </si>
  <si>
    <t>01/01/2023</t>
  </si>
  <si>
    <t>02/01/2010</t>
  </si>
  <si>
    <t>02/01/2023</t>
  </si>
  <si>
    <t>03/01/2010</t>
  </si>
  <si>
    <t>03/01/2023</t>
  </si>
  <si>
    <t>04/01/2010</t>
  </si>
  <si>
    <t>04/01/2023</t>
  </si>
  <si>
    <t>05/01/2010</t>
  </si>
  <si>
    <t>05/01/2023</t>
  </si>
  <si>
    <t>06/01/2010</t>
  </si>
  <si>
    <t>06/01/2023</t>
  </si>
  <si>
    <t>07/01/2010</t>
  </si>
  <si>
    <t>07/01/2023</t>
  </si>
  <si>
    <t>08/01/2010</t>
  </si>
  <si>
    <t>08/01/2023</t>
  </si>
  <si>
    <t>09/01/2010</t>
  </si>
  <si>
    <t>09/01/2023</t>
  </si>
  <si>
    <t>10/01/2010</t>
  </si>
  <si>
    <t>10/01/2023</t>
  </si>
  <si>
    <t>11/01/2010</t>
  </si>
  <si>
    <t>11/01/2023</t>
  </si>
  <si>
    <t>12/01/2010</t>
  </si>
  <si>
    <t>12/01/2023</t>
  </si>
  <si>
    <t>13/01/2010</t>
  </si>
  <si>
    <t>13/01/2023</t>
  </si>
  <si>
    <t>14/01/2010</t>
  </si>
  <si>
    <t>14/01/2023</t>
  </si>
  <si>
    <t>15/01/2010</t>
  </si>
  <si>
    <t>15/01/2023</t>
  </si>
  <si>
    <t>16/01/2010</t>
  </si>
  <si>
    <t>16/01/2023</t>
  </si>
  <si>
    <t>17/01/2010</t>
  </si>
  <si>
    <t>17/01/2023</t>
  </si>
  <si>
    <t>18/01/2010</t>
  </si>
  <si>
    <t>18/01/2023</t>
  </si>
  <si>
    <t>19/01/2010</t>
  </si>
  <si>
    <t>19/01/2023</t>
  </si>
  <si>
    <t>20/01/2010</t>
  </si>
  <si>
    <t>20/01/2023</t>
  </si>
  <si>
    <t>21/01/2010</t>
  </si>
  <si>
    <t>21/01/2023</t>
  </si>
  <si>
    <t>22/01/2010</t>
  </si>
  <si>
    <t>22/01/2023</t>
  </si>
  <si>
    <t>23/01/2010</t>
  </si>
  <si>
    <t>23/01/2023</t>
  </si>
  <si>
    <t>24/01/2010</t>
  </si>
  <si>
    <t>24/01/2023</t>
  </si>
  <si>
    <t>25/01/2010</t>
  </si>
  <si>
    <t>25/01/2023</t>
  </si>
  <si>
    <t>26/01/2010</t>
  </si>
  <si>
    <t>26/01/2023</t>
  </si>
  <si>
    <t>27/01/2010</t>
  </si>
  <si>
    <t>27/01/2023</t>
  </si>
  <si>
    <t>28/01/2010</t>
  </si>
  <si>
    <t>28/01/2023</t>
  </si>
  <si>
    <t>29/01/2010</t>
  </si>
  <si>
    <t>29/01/2023</t>
  </si>
  <si>
    <t>30/01/2010</t>
  </si>
  <si>
    <t>30/01/2023</t>
  </si>
  <si>
    <t>31/01/2010</t>
  </si>
  <si>
    <t>31/01/2023</t>
  </si>
  <si>
    <t>01/02/2010</t>
  </si>
  <si>
    <t>01/02/2023</t>
  </si>
  <si>
    <t>02/02/2010</t>
  </si>
  <si>
    <t>02/02/2023</t>
  </si>
  <si>
    <t>03/02/2010</t>
  </si>
  <si>
    <t>03/02/2023</t>
  </si>
  <si>
    <t>04/02/2010</t>
  </si>
  <si>
    <t>04/02/2023</t>
  </si>
  <si>
    <t>05/02/2010</t>
  </si>
  <si>
    <t>05/02/2023</t>
  </si>
  <si>
    <t>06/02/2010</t>
  </si>
  <si>
    <t>06/02/2023</t>
  </si>
  <si>
    <t>07/02/2010</t>
  </si>
  <si>
    <t>07/02/2023</t>
  </si>
  <si>
    <t>08/02/2010</t>
  </si>
  <si>
    <t>08/02/2023</t>
  </si>
  <si>
    <t>09/02/2010</t>
  </si>
  <si>
    <t>09/02/2023</t>
  </si>
  <si>
    <t>10/02/2010</t>
  </si>
  <si>
    <t>10/02/2023</t>
  </si>
  <si>
    <t>11/02/2010</t>
  </si>
  <si>
    <t>11/02/2023</t>
  </si>
  <si>
    <t>12/02/2010</t>
  </si>
  <si>
    <t>12/02/2023</t>
  </si>
  <si>
    <t>13/02/2010</t>
  </si>
  <si>
    <t>13/02/2023</t>
  </si>
  <si>
    <t>14/02/2010</t>
  </si>
  <si>
    <t>14/02/2023</t>
  </si>
  <si>
    <t>15/02/2010</t>
  </si>
  <si>
    <t>15/02/2023</t>
  </si>
  <si>
    <t>16/02/2010</t>
  </si>
  <si>
    <t>16/02/2023</t>
  </si>
  <si>
    <t>17/02/2010</t>
  </si>
  <si>
    <t>17/02/2023</t>
  </si>
  <si>
    <t>18/02/2010</t>
  </si>
  <si>
    <t>18/02/2023</t>
  </si>
  <si>
    <t>19/02/2010</t>
  </si>
  <si>
    <t>19/02/2023</t>
  </si>
  <si>
    <t>20/02/2010</t>
  </si>
  <si>
    <t>20/02/2023</t>
  </si>
  <si>
    <t>21/02/2010</t>
  </si>
  <si>
    <t>21/02/2023</t>
  </si>
  <si>
    <t>22/02/2010</t>
  </si>
  <si>
    <t>22/02/2023</t>
  </si>
  <si>
    <t>23/02/2010</t>
  </si>
  <si>
    <t>23/02/2023</t>
  </si>
  <si>
    <t>24/02/2010</t>
  </si>
  <si>
    <t>24/02/2023</t>
  </si>
  <si>
    <t>25/02/2010</t>
  </si>
  <si>
    <t>25/02/2023</t>
  </si>
  <si>
    <t>26/02/2010</t>
  </si>
  <si>
    <t>26/02/2023</t>
  </si>
  <si>
    <t>27/02/2010</t>
  </si>
  <si>
    <t>27/02/2023</t>
  </si>
  <si>
    <t>28/02/2010</t>
  </si>
  <si>
    <t>28/02/2023</t>
  </si>
  <si>
    <t>01/03/2010</t>
  </si>
  <si>
    <t>01/03/2023</t>
  </si>
  <si>
    <t>02/03/2010</t>
  </si>
  <si>
    <t>02/03/2023</t>
  </si>
  <si>
    <t>03/03/2010</t>
  </si>
  <si>
    <t>03/03/2023</t>
  </si>
  <si>
    <t>04/03/2010</t>
  </si>
  <si>
    <t>04/03/2023</t>
  </si>
  <si>
    <t>05/03/2010</t>
  </si>
  <si>
    <t>05/03/2023</t>
  </si>
  <si>
    <t>06/03/2010</t>
  </si>
  <si>
    <t>06/03/2023</t>
  </si>
  <si>
    <t>07/03/2010</t>
  </si>
  <si>
    <t>07/03/2023</t>
  </si>
  <si>
    <t>08/03/2010</t>
  </si>
  <si>
    <t>08/03/2023</t>
  </si>
  <si>
    <t>09/03/2010</t>
  </si>
  <si>
    <t>09/03/2023</t>
  </si>
  <si>
    <t>10/03/2010</t>
  </si>
  <si>
    <t>10/03/2023</t>
  </si>
  <si>
    <t>11/03/2010</t>
  </si>
  <si>
    <t>11/03/2023</t>
  </si>
  <si>
    <t>12/03/2010</t>
  </si>
  <si>
    <t>12/03/2023</t>
  </si>
  <si>
    <t>13/03/2010</t>
  </si>
  <si>
    <t>13/03/2023</t>
  </si>
  <si>
    <t>14/03/2010</t>
  </si>
  <si>
    <t>14/03/2023</t>
  </si>
  <si>
    <t>15/03/2010</t>
  </si>
  <si>
    <t>15/03/2023</t>
  </si>
  <si>
    <t>16/03/2010</t>
  </si>
  <si>
    <t>16/03/2023</t>
  </si>
  <si>
    <t>17/03/2010</t>
  </si>
  <si>
    <t>17/03/2023</t>
  </si>
  <si>
    <t>18/03/2010</t>
  </si>
  <si>
    <t>18/03/2023</t>
  </si>
  <si>
    <t>19/03/2010</t>
  </si>
  <si>
    <t>19/03/2023</t>
  </si>
  <si>
    <t>20/03/2010</t>
  </si>
  <si>
    <t>20/03/2023</t>
  </si>
  <si>
    <t>21/03/2010</t>
  </si>
  <si>
    <t>21/03/2023</t>
  </si>
  <si>
    <t>22/03/2010</t>
  </si>
  <si>
    <t>22/03/2023</t>
  </si>
  <si>
    <t>23/03/2010</t>
  </si>
  <si>
    <t>23/03/2023</t>
  </si>
  <si>
    <t>24/03/2010</t>
  </si>
  <si>
    <t>24/03/2023</t>
  </si>
  <si>
    <t>25/03/2010</t>
  </si>
  <si>
    <t>25/03/2023</t>
  </si>
  <si>
    <t>26/03/2010</t>
  </si>
  <si>
    <t>26/03/2023</t>
  </si>
  <si>
    <t>27/03/2010</t>
  </si>
  <si>
    <t>27/03/2023</t>
  </si>
  <si>
    <t>28/03/2010</t>
  </si>
  <si>
    <t>28/03/2023</t>
  </si>
  <si>
    <t>29/03/2010</t>
  </si>
  <si>
    <t>29/03/2023</t>
  </si>
  <si>
    <t>30/03/2010</t>
  </si>
  <si>
    <t>30/03/2023</t>
  </si>
  <si>
    <t>31/03/2010</t>
  </si>
  <si>
    <t>31/03/2023</t>
  </si>
  <si>
    <t>01/04/2010</t>
  </si>
  <si>
    <t>01/04/2023</t>
  </si>
  <si>
    <t>02/04/2010</t>
  </si>
  <si>
    <t>02/04/2023</t>
  </si>
  <si>
    <t>03/04/2010</t>
  </si>
  <si>
    <t>03/04/2023</t>
  </si>
  <si>
    <t>04/04/2010</t>
  </si>
  <si>
    <t>04/04/2023</t>
  </si>
  <si>
    <t>05/04/2010</t>
  </si>
  <si>
    <t>05/04/2023</t>
  </si>
  <si>
    <t>06/04/2010</t>
  </si>
  <si>
    <t>06/04/2023</t>
  </si>
  <si>
    <t>07/04/2010</t>
  </si>
  <si>
    <t>07/04/2023</t>
  </si>
  <si>
    <t>08/04/2010</t>
  </si>
  <si>
    <t>08/04/2023</t>
  </si>
  <si>
    <t>09/04/2010</t>
  </si>
  <si>
    <t>09/04/2023</t>
  </si>
  <si>
    <t>10/04/2010</t>
  </si>
  <si>
    <t>10/04/2023</t>
  </si>
  <si>
    <t>11/04/2010</t>
  </si>
  <si>
    <t>11/04/2023</t>
  </si>
  <si>
    <t>12/04/2010</t>
  </si>
  <si>
    <t>12/04/2023</t>
  </si>
  <si>
    <t>13/04/2010</t>
  </si>
  <si>
    <t>13/04/2023</t>
  </si>
  <si>
    <t>14/04/2010</t>
  </si>
  <si>
    <t>14/04/2023</t>
  </si>
  <si>
    <t>15/04/2010</t>
  </si>
  <si>
    <t>15/04/2023</t>
  </si>
  <si>
    <t>16/04/2010</t>
  </si>
  <si>
    <t>16/04/2023</t>
  </si>
  <si>
    <t>17/04/2010</t>
  </si>
  <si>
    <t>17/04/2023</t>
  </si>
  <si>
    <t>18/04/2010</t>
  </si>
  <si>
    <t>18/04/2023</t>
  </si>
  <si>
    <t>19/04/2010</t>
  </si>
  <si>
    <t>19/04/2023</t>
  </si>
  <si>
    <t>20/04/2010</t>
  </si>
  <si>
    <t>20/04/2023</t>
  </si>
  <si>
    <t>21/04/2010</t>
  </si>
  <si>
    <t>21/04/2023</t>
  </si>
  <si>
    <t>22/04/2010</t>
  </si>
  <si>
    <t>22/04/2023</t>
  </si>
  <si>
    <t>23/04/2010</t>
  </si>
  <si>
    <t>23/04/2023</t>
  </si>
  <si>
    <t>24/04/2010</t>
  </si>
  <si>
    <t>24/04/2023</t>
  </si>
  <si>
    <t>25/04/2010</t>
  </si>
  <si>
    <t>25/04/2023</t>
  </si>
  <si>
    <t>26/04/2010</t>
  </si>
  <si>
    <t>26/04/2023</t>
  </si>
  <si>
    <t>27/04/2010</t>
  </si>
  <si>
    <t>27/04/2023</t>
  </si>
  <si>
    <t>28/04/2010</t>
  </si>
  <si>
    <t>28/04/2023</t>
  </si>
  <si>
    <t>29/04/2010</t>
  </si>
  <si>
    <t>29/04/2023</t>
  </si>
  <si>
    <t>30/04/2010</t>
  </si>
  <si>
    <t>30/04/2023</t>
  </si>
  <si>
    <t>01/05/2010</t>
  </si>
  <si>
    <t>01/05/2023</t>
  </si>
  <si>
    <t>02/05/2010</t>
  </si>
  <si>
    <t>02/05/2023</t>
  </si>
  <si>
    <t>03/05/2010</t>
  </si>
  <si>
    <t>03/05/2023</t>
  </si>
  <si>
    <t>04/05/2010</t>
  </si>
  <si>
    <t>04/05/2023</t>
  </si>
  <si>
    <t>05/05/2010</t>
  </si>
  <si>
    <t>05/05/2023</t>
  </si>
  <si>
    <t>06/05/2010</t>
  </si>
  <si>
    <t>06/05/2023</t>
  </si>
  <si>
    <t>07/05/2010</t>
  </si>
  <si>
    <t>07/05/2023</t>
  </si>
  <si>
    <t>08/05/2010</t>
  </si>
  <si>
    <t>08/05/2023</t>
  </si>
  <si>
    <t>09/05/2010</t>
  </si>
  <si>
    <t>09/05/2023</t>
  </si>
  <si>
    <t>10/05/2010</t>
  </si>
  <si>
    <t>10/05/2023</t>
  </si>
  <si>
    <t>11/05/2010</t>
  </si>
  <si>
    <t>11/05/2023</t>
  </si>
  <si>
    <t>12/05/2010</t>
  </si>
  <si>
    <t>12/05/2023</t>
  </si>
  <si>
    <t>13/05/2010</t>
  </si>
  <si>
    <t>13/05/2023</t>
  </si>
  <si>
    <t>14/05/2010</t>
  </si>
  <si>
    <t>14/05/2023</t>
  </si>
  <si>
    <t>15/05/2010</t>
  </si>
  <si>
    <t>15/05/2023</t>
  </si>
  <si>
    <t>16/05/2010</t>
  </si>
  <si>
    <t>16/05/2023</t>
  </si>
  <si>
    <t>17/05/2010</t>
  </si>
  <si>
    <t>17/05/2023</t>
  </si>
  <si>
    <t>18/05/2010</t>
  </si>
  <si>
    <t>18/05/2023</t>
  </si>
  <si>
    <t>19/05/2010</t>
  </si>
  <si>
    <t>19/05/2023</t>
  </si>
  <si>
    <t>20/05/2010</t>
  </si>
  <si>
    <t>20/05/2023</t>
  </si>
  <si>
    <t>21/05/2010</t>
  </si>
  <si>
    <t>21/05/2023</t>
  </si>
  <si>
    <t>22/05/2010</t>
  </si>
  <si>
    <t>22/05/2023</t>
  </si>
  <si>
    <t>23/05/2010</t>
  </si>
  <si>
    <t>23/05/2023</t>
  </si>
  <si>
    <t>24/05/2010</t>
  </si>
  <si>
    <t>24/05/2023</t>
  </si>
  <si>
    <t>25/05/2010</t>
  </si>
  <si>
    <t>25/05/2023</t>
  </si>
  <si>
    <t>26/05/2010</t>
  </si>
  <si>
    <t>26/05/2023</t>
  </si>
  <si>
    <t>27/05/2010</t>
  </si>
  <si>
    <t>27/05/2023</t>
  </si>
  <si>
    <t>28/05/2010</t>
  </si>
  <si>
    <t>28/05/2023</t>
  </si>
  <si>
    <t>29/05/2010</t>
  </si>
  <si>
    <t>29/05/2023</t>
  </si>
  <si>
    <t>30/05/2010</t>
  </si>
  <si>
    <t>30/05/2023</t>
  </si>
  <si>
    <t>31/05/2010</t>
  </si>
  <si>
    <t>31/05/2023</t>
  </si>
  <si>
    <t>01/06/2010</t>
  </si>
  <si>
    <t>01/06/2023</t>
  </si>
  <si>
    <t>02/06/2010</t>
  </si>
  <si>
    <t>02/06/2023</t>
  </si>
  <si>
    <t>03/06/2010</t>
  </si>
  <si>
    <t>03/06/2023</t>
  </si>
  <si>
    <t>04/06/2010</t>
  </si>
  <si>
    <t>04/06/2023</t>
  </si>
  <si>
    <t>05/06/2010</t>
  </si>
  <si>
    <t>05/06/2023</t>
  </si>
  <si>
    <t>06/06/2010</t>
  </si>
  <si>
    <t>06/06/2023</t>
  </si>
  <si>
    <t>07/06/2010</t>
  </si>
  <si>
    <t>07/06/2023</t>
  </si>
  <si>
    <t>08/06/2010</t>
  </si>
  <si>
    <t>08/06/2023</t>
  </si>
  <si>
    <t>09/06/2010</t>
  </si>
  <si>
    <t>09/06/2023</t>
  </si>
  <si>
    <t>10/06/2010</t>
  </si>
  <si>
    <t>10/06/2023</t>
  </si>
  <si>
    <t>11/06/2010</t>
  </si>
  <si>
    <t>11/06/2023</t>
  </si>
  <si>
    <t>12/06/2010</t>
  </si>
  <si>
    <t>12/06/2023</t>
  </si>
  <si>
    <t>13/06/2010</t>
  </si>
  <si>
    <t>13/06/2023</t>
  </si>
  <si>
    <t>14/06/2010</t>
  </si>
  <si>
    <t>14/06/2023</t>
  </si>
  <si>
    <t>15/06/2010</t>
  </si>
  <si>
    <t>15/06/2023</t>
  </si>
  <si>
    <t>16/06/2010</t>
  </si>
  <si>
    <t>16/06/2023</t>
  </si>
  <si>
    <t>17/06/2010</t>
  </si>
  <si>
    <t>17/06/2023</t>
  </si>
  <si>
    <t>18/06/2010</t>
  </si>
  <si>
    <t>18/06/2023</t>
  </si>
  <si>
    <t>19/06/2010</t>
  </si>
  <si>
    <t>19/06/2023</t>
  </si>
  <si>
    <t>20/06/2010</t>
  </si>
  <si>
    <t>20/06/2023</t>
  </si>
  <si>
    <t>21/06/2010</t>
  </si>
  <si>
    <t>21/06/2023</t>
  </si>
  <si>
    <t>22/06/2010</t>
  </si>
  <si>
    <t>22/06/2023</t>
  </si>
  <si>
    <t>23/06/2010</t>
  </si>
  <si>
    <t>23/06/2023</t>
  </si>
  <si>
    <t>24/06/2010</t>
  </si>
  <si>
    <t>24/06/2023</t>
  </si>
  <si>
    <t>25/06/2010</t>
  </si>
  <si>
    <t>25/06/2023</t>
  </si>
  <si>
    <t>26/06/2010</t>
  </si>
  <si>
    <t>26/06/2023</t>
  </si>
  <si>
    <t>27/06/2010</t>
  </si>
  <si>
    <t>27/06/2023</t>
  </si>
  <si>
    <t>28/06/2010</t>
  </si>
  <si>
    <t>28/06/2023</t>
  </si>
  <si>
    <t>29/06/2010</t>
  </si>
  <si>
    <t>29/06/2023</t>
  </si>
  <si>
    <t>30/06/2010</t>
  </si>
  <si>
    <t>30/06/2023</t>
  </si>
  <si>
    <t>01/07/2010</t>
  </si>
  <si>
    <t>01/07/2023</t>
  </si>
  <si>
    <t>02/07/2010</t>
  </si>
  <si>
    <t>02/07/2023</t>
  </si>
  <si>
    <t>03/07/2010</t>
  </si>
  <si>
    <t>03/07/2023</t>
  </si>
  <si>
    <t>04/07/2010</t>
  </si>
  <si>
    <t>04/07/2023</t>
  </si>
  <si>
    <t>05/07/2010</t>
  </si>
  <si>
    <t>05/07/2023</t>
  </si>
  <si>
    <t>06/07/2010</t>
  </si>
  <si>
    <t>06/07/2023</t>
  </si>
  <si>
    <t>07/07/2010</t>
  </si>
  <si>
    <t>07/07/2023</t>
  </si>
  <si>
    <t>08/07/2010</t>
  </si>
  <si>
    <t>08/07/2023</t>
  </si>
  <si>
    <t>09/07/2010</t>
  </si>
  <si>
    <t>09/07/2023</t>
  </si>
  <si>
    <t>10/07/2010</t>
  </si>
  <si>
    <t>10/07/2023</t>
  </si>
  <si>
    <t>11/07/2010</t>
  </si>
  <si>
    <t>11/07/2023</t>
  </si>
  <si>
    <t>12/07/2010</t>
  </si>
  <si>
    <t>12/07/2023</t>
  </si>
  <si>
    <t>13/07/2010</t>
  </si>
  <si>
    <t>13/07/2023</t>
  </si>
  <si>
    <t>14/07/2010</t>
  </si>
  <si>
    <t>14/07/2023</t>
  </si>
  <si>
    <t>15/07/2010</t>
  </si>
  <si>
    <t>15/07/2023</t>
  </si>
  <si>
    <t>16/07/2010</t>
  </si>
  <si>
    <t>16/07/2023</t>
  </si>
  <si>
    <t>17/07/2010</t>
  </si>
  <si>
    <t>17/07/2023</t>
  </si>
  <si>
    <t>18/07/2010</t>
  </si>
  <si>
    <t>18/07/2023</t>
  </si>
  <si>
    <t>19/07/2010</t>
  </si>
  <si>
    <t>19/07/2023</t>
  </si>
  <si>
    <t>20/07/2010</t>
  </si>
  <si>
    <t>20/07/2023</t>
  </si>
  <si>
    <t>21/07/2010</t>
  </si>
  <si>
    <t>21/07/2023</t>
  </si>
  <si>
    <t>22/07/2010</t>
  </si>
  <si>
    <t>22/07/2023</t>
  </si>
  <si>
    <t>23/07/2010</t>
  </si>
  <si>
    <t>23/07/2023</t>
  </si>
  <si>
    <t>24/07/2010</t>
  </si>
  <si>
    <t>24/07/2023</t>
  </si>
  <si>
    <t>25/07/2010</t>
  </si>
  <si>
    <t>25/07/2023</t>
  </si>
  <si>
    <t>26/07/2010</t>
  </si>
  <si>
    <t>26/07/2023</t>
  </si>
  <si>
    <t>27/07/2010</t>
  </si>
  <si>
    <t>27/07/2023</t>
  </si>
  <si>
    <t>28/07/2010</t>
  </si>
  <si>
    <t>28/07/2023</t>
  </si>
  <si>
    <t>29/07/2010</t>
  </si>
  <si>
    <t>29/07/2023</t>
  </si>
  <si>
    <t>30/07/2010</t>
  </si>
  <si>
    <t>30/07/2023</t>
  </si>
  <si>
    <t>31/07/2010</t>
  </si>
  <si>
    <t>31/07/2023</t>
  </si>
  <si>
    <t>01/08/2010</t>
  </si>
  <si>
    <t>01/08/2023</t>
  </si>
  <si>
    <t>02/08/2010</t>
  </si>
  <si>
    <t>02/08/2023</t>
  </si>
  <si>
    <t>03/08/2010</t>
  </si>
  <si>
    <t>03/08/2023</t>
  </si>
  <si>
    <t>04/08/2010</t>
  </si>
  <si>
    <t>04/08/2023</t>
  </si>
  <si>
    <t>05/08/2010</t>
  </si>
  <si>
    <t>05/08/2023</t>
  </si>
  <si>
    <t>06/08/2010</t>
  </si>
  <si>
    <t>06/08/2023</t>
  </si>
  <si>
    <t>07/08/2010</t>
  </si>
  <si>
    <t>07/08/2023</t>
  </si>
  <si>
    <t>08/08/2010</t>
  </si>
  <si>
    <t>08/08/2023</t>
  </si>
  <si>
    <t>09/08/2010</t>
  </si>
  <si>
    <t>09/08/2023</t>
  </si>
  <si>
    <t>10/08/2010</t>
  </si>
  <si>
    <t>10/08/2023</t>
  </si>
  <si>
    <t>11/08/2010</t>
  </si>
  <si>
    <t>11/08/2023</t>
  </si>
  <si>
    <t>12/08/2010</t>
  </si>
  <si>
    <t>12/08/2023</t>
  </si>
  <si>
    <t>13/08/2010</t>
  </si>
  <si>
    <t>13/08/2023</t>
  </si>
  <si>
    <t>14/08/2010</t>
  </si>
  <si>
    <t>14/08/2023</t>
  </si>
  <si>
    <t>15/08/2010</t>
  </si>
  <si>
    <t>15/08/2023</t>
  </si>
  <si>
    <t>16/08/2010</t>
  </si>
  <si>
    <t>16/08/2023</t>
  </si>
  <si>
    <t>17/08/2010</t>
  </si>
  <si>
    <t>17/08/2023</t>
  </si>
  <si>
    <t>18/08/2010</t>
  </si>
  <si>
    <t>18/08/2023</t>
  </si>
  <si>
    <t>19/08/2010</t>
  </si>
  <si>
    <t>19/08/2023</t>
  </si>
  <si>
    <t>20/08/2010</t>
  </si>
  <si>
    <t>20/08/2023</t>
  </si>
  <si>
    <t>21/08/2010</t>
  </si>
  <si>
    <t>21/08/2023</t>
  </si>
  <si>
    <t>22/08/2010</t>
  </si>
  <si>
    <t>22/08/2023</t>
  </si>
  <si>
    <t>23/08/2010</t>
  </si>
  <si>
    <t>23/08/2023</t>
  </si>
  <si>
    <t>24/08/2010</t>
  </si>
  <si>
    <t>24/08/2023</t>
  </si>
  <si>
    <t>25/08/2010</t>
  </si>
  <si>
    <t>25/08/2023</t>
  </si>
  <si>
    <t>26/08/2010</t>
  </si>
  <si>
    <t>26/08/2023</t>
  </si>
  <si>
    <t>27/08/2010</t>
  </si>
  <si>
    <t>27/08/2023</t>
  </si>
  <si>
    <t>28/08/2010</t>
  </si>
  <si>
    <t>28/08/2023</t>
  </si>
  <si>
    <t>29/08/2010</t>
  </si>
  <si>
    <t>29/08/2023</t>
  </si>
  <si>
    <t>30/08/2010</t>
  </si>
  <si>
    <t>30/08/2023</t>
  </si>
  <si>
    <t>31/08/2010</t>
  </si>
  <si>
    <t>31/08/2023</t>
  </si>
  <si>
    <t>01/09/2010</t>
  </si>
  <si>
    <t>01/09/2023</t>
  </si>
  <si>
    <t>02/09/2010</t>
  </si>
  <si>
    <t>02/09/2023</t>
  </si>
  <si>
    <t>03/09/2010</t>
  </si>
  <si>
    <t>03/09/2023</t>
  </si>
  <si>
    <t>04/09/2010</t>
  </si>
  <si>
    <t>04/09/2023</t>
  </si>
  <si>
    <t>05/09/2010</t>
  </si>
  <si>
    <t>05/09/2023</t>
  </si>
  <si>
    <t>06/09/2010</t>
  </si>
  <si>
    <t>06/09/2023</t>
  </si>
  <si>
    <t>07/09/2010</t>
  </si>
  <si>
    <t>07/09/2023</t>
  </si>
  <si>
    <t>08/09/2010</t>
  </si>
  <si>
    <t>08/09/2023</t>
  </si>
  <si>
    <t>09/09/2010</t>
  </si>
  <si>
    <t>09/09/2023</t>
  </si>
  <si>
    <t>10/09/2010</t>
  </si>
  <si>
    <t>10/09/2023</t>
  </si>
  <si>
    <t>11/09/2010</t>
  </si>
  <si>
    <t>11/09/2023</t>
  </si>
  <si>
    <t>12/09/2010</t>
  </si>
  <si>
    <t>12/09/2023</t>
  </si>
  <si>
    <t>13/09/2010</t>
  </si>
  <si>
    <t>13/09/2023</t>
  </si>
  <si>
    <t>14/09/2010</t>
  </si>
  <si>
    <t>14/09/2023</t>
  </si>
  <si>
    <t>15/09/2010</t>
  </si>
  <si>
    <t>15/09/2023</t>
  </si>
  <si>
    <t>16/09/2010</t>
  </si>
  <si>
    <t>16/09/2023</t>
  </si>
  <si>
    <t>17/09/2010</t>
  </si>
  <si>
    <t>17/09/2023</t>
  </si>
  <si>
    <t>18/09/2010</t>
  </si>
  <si>
    <t>18/09/2023</t>
  </si>
  <si>
    <t>19/09/2010</t>
  </si>
  <si>
    <t>19/09/2023</t>
  </si>
  <si>
    <t>20/09/2010</t>
  </si>
  <si>
    <t>20/09/2023</t>
  </si>
  <si>
    <t>21/09/2010</t>
  </si>
  <si>
    <t>21/09/2023</t>
  </si>
  <si>
    <t>22/09/2010</t>
  </si>
  <si>
    <t>22/09/2023</t>
  </si>
  <si>
    <t>23/09/2010</t>
  </si>
  <si>
    <t>23/09/2023</t>
  </si>
  <si>
    <t>24/09/2010</t>
  </si>
  <si>
    <t>24/09/2023</t>
  </si>
  <si>
    <t>25/09/2010</t>
  </si>
  <si>
    <t>25/09/2023</t>
  </si>
  <si>
    <t>26/09/2010</t>
  </si>
  <si>
    <t>26/09/2023</t>
  </si>
  <si>
    <t>27/09/2010</t>
  </si>
  <si>
    <t>27/09/2023</t>
  </si>
  <si>
    <t>28/09/2010</t>
  </si>
  <si>
    <t>28/09/2023</t>
  </si>
  <si>
    <t>29/09/2010</t>
  </si>
  <si>
    <t>29/09/2023</t>
  </si>
  <si>
    <t>30/09/2010</t>
  </si>
  <si>
    <t>30/09/2023</t>
  </si>
  <si>
    <t>01/10/2010</t>
  </si>
  <si>
    <t>01/10/2023</t>
  </si>
  <si>
    <t>02/10/2010</t>
  </si>
  <si>
    <t>02/10/2023</t>
  </si>
  <si>
    <t>03/10/2010</t>
  </si>
  <si>
    <t>03/10/2023</t>
  </si>
  <si>
    <t>04/10/2010</t>
  </si>
  <si>
    <t>04/10/2023</t>
  </si>
  <si>
    <t>05/10/2010</t>
  </si>
  <si>
    <t>05/10/2023</t>
  </si>
  <si>
    <t>06/10/2010</t>
  </si>
  <si>
    <t>06/10/2023</t>
  </si>
  <si>
    <t>07/10/2010</t>
  </si>
  <si>
    <t>07/10/2023</t>
  </si>
  <si>
    <t>08/10/2010</t>
  </si>
  <si>
    <t>08/10/2023</t>
  </si>
  <si>
    <t>09/10/2010</t>
  </si>
  <si>
    <t>09/10/2023</t>
  </si>
  <si>
    <t>10/10/2010</t>
  </si>
  <si>
    <t>10/10/2023</t>
  </si>
  <si>
    <t>11/10/2010</t>
  </si>
  <si>
    <t>11/10/2023</t>
  </si>
  <si>
    <t>12/10/2010</t>
  </si>
  <si>
    <t>12/10/2023</t>
  </si>
  <si>
    <t>13/10/2010</t>
  </si>
  <si>
    <t>13/10/2023</t>
  </si>
  <si>
    <t>14/10/2010</t>
  </si>
  <si>
    <t>14/10/2023</t>
  </si>
  <si>
    <t>15/10/2010</t>
  </si>
  <si>
    <t>15/10/2023</t>
  </si>
  <si>
    <t>16/10/2010</t>
  </si>
  <si>
    <t>16/10/2023</t>
  </si>
  <si>
    <t>17/10/2010</t>
  </si>
  <si>
    <t>17/10/2023</t>
  </si>
  <si>
    <t>18/10/2010</t>
  </si>
  <si>
    <t>18/10/2023</t>
  </si>
  <si>
    <t>19/10/2010</t>
  </si>
  <si>
    <t>19/10/2023</t>
  </si>
  <si>
    <t>20/10/2010</t>
  </si>
  <si>
    <t>20/10/2023</t>
  </si>
  <si>
    <t>21/10/2010</t>
  </si>
  <si>
    <t>21/10/2023</t>
  </si>
  <si>
    <t>22/10/2010</t>
  </si>
  <si>
    <t>22/10/2023</t>
  </si>
  <si>
    <t>23/10/2010</t>
  </si>
  <si>
    <t>23/10/2023</t>
  </si>
  <si>
    <t>24/10/2010</t>
  </si>
  <si>
    <t>24/10/2023</t>
  </si>
  <si>
    <t>25/10/2010</t>
  </si>
  <si>
    <t>25/10/2023</t>
  </si>
  <si>
    <t>26/10/2010</t>
  </si>
  <si>
    <t>26/10/2023</t>
  </si>
  <si>
    <t>27/10/2010</t>
  </si>
  <si>
    <t>27/10/2023</t>
  </si>
  <si>
    <t>28/10/2010</t>
  </si>
  <si>
    <t>28/10/2023</t>
  </si>
  <si>
    <t>29/10/2010</t>
  </si>
  <si>
    <t>29/10/2023</t>
  </si>
  <si>
    <t>30/10/2010</t>
  </si>
  <si>
    <t>30/10/2023</t>
  </si>
  <si>
    <t>31/10/2010</t>
  </si>
  <si>
    <t>31/10/2023</t>
  </si>
  <si>
    <t>01/11/2010</t>
  </si>
  <si>
    <t>01/11/2023</t>
  </si>
  <si>
    <t>02/11/2010</t>
  </si>
  <si>
    <t>02/11/2023</t>
  </si>
  <si>
    <t>03/11/2010</t>
  </si>
  <si>
    <t>03/11/2023</t>
  </si>
  <si>
    <t>04/11/2010</t>
  </si>
  <si>
    <t>04/11/2023</t>
  </si>
  <si>
    <t>05/11/2010</t>
  </si>
  <si>
    <t>05/11/2023</t>
  </si>
  <si>
    <t>06/11/2010</t>
  </si>
  <si>
    <t>06/11/2023</t>
  </si>
  <si>
    <t>07/11/2010</t>
  </si>
  <si>
    <t>07/11/2023</t>
  </si>
  <si>
    <t>08/11/2010</t>
  </si>
  <si>
    <t>08/11/2023</t>
  </si>
  <si>
    <t>09/11/2010</t>
  </si>
  <si>
    <t>09/11/2023</t>
  </si>
  <si>
    <t>10/11/2010</t>
  </si>
  <si>
    <t>10/11/2023</t>
  </si>
  <si>
    <t>11/11/2010</t>
  </si>
  <si>
    <t>11/11/2023</t>
  </si>
  <si>
    <t>12/11/2010</t>
  </si>
  <si>
    <t>12/11/2023</t>
  </si>
  <si>
    <t>13/11/2010</t>
  </si>
  <si>
    <t>13/11/2023</t>
  </si>
  <si>
    <t>14/11/2010</t>
  </si>
  <si>
    <t>14/11/2023</t>
  </si>
  <si>
    <t>15/11/2010</t>
  </si>
  <si>
    <t>15/11/2023</t>
  </si>
  <si>
    <t>16/11/2010</t>
  </si>
  <si>
    <t>16/11/2023</t>
  </si>
  <si>
    <t>17/11/2010</t>
  </si>
  <si>
    <t>17/11/2023</t>
  </si>
  <si>
    <t>18/11/2010</t>
  </si>
  <si>
    <t>18/11/2023</t>
  </si>
  <si>
    <t>19/11/2010</t>
  </si>
  <si>
    <t>19/11/2023</t>
  </si>
  <si>
    <t>20/11/2010</t>
  </si>
  <si>
    <t>20/11/2023</t>
  </si>
  <si>
    <t>21/11/2010</t>
  </si>
  <si>
    <t>21/11/2023</t>
  </si>
  <si>
    <t>22/11/2010</t>
  </si>
  <si>
    <t>22/11/2023</t>
  </si>
  <si>
    <t>23/11/2010</t>
  </si>
  <si>
    <t>23/11/2023</t>
  </si>
  <si>
    <t>24/11/2010</t>
  </si>
  <si>
    <t>24/11/2023</t>
  </si>
  <si>
    <t>25/11/2010</t>
  </si>
  <si>
    <t>25/11/2023</t>
  </si>
  <si>
    <t>26/11/2010</t>
  </si>
  <si>
    <t>26/11/2023</t>
  </si>
  <si>
    <t>27/11/2010</t>
  </si>
  <si>
    <t>27/11/2023</t>
  </si>
  <si>
    <t>28/11/2010</t>
  </si>
  <si>
    <t>28/11/2023</t>
  </si>
  <si>
    <t>29/11/2010</t>
  </si>
  <si>
    <t>29/11/2023</t>
  </si>
  <si>
    <t>30/11/2010</t>
  </si>
  <si>
    <t>30/11/2023</t>
  </si>
  <si>
    <t>01/12/2010</t>
  </si>
  <si>
    <t>01/12/2023</t>
  </si>
  <si>
    <t>02/12/2010</t>
  </si>
  <si>
    <t>02/12/2023</t>
  </si>
  <si>
    <t>03/12/2010</t>
  </si>
  <si>
    <t>03/12/2023</t>
  </si>
  <si>
    <t>04/12/2010</t>
  </si>
  <si>
    <t>04/12/2023</t>
  </si>
  <si>
    <t>05/12/2010</t>
  </si>
  <si>
    <t>05/12/2023</t>
  </si>
  <si>
    <t>06/12/2010</t>
  </si>
  <si>
    <t>06/12/2023</t>
  </si>
  <si>
    <t>07/12/2010</t>
  </si>
  <si>
    <t>07/12/2023</t>
  </si>
  <si>
    <t>08/12/2010</t>
  </si>
  <si>
    <t>08/12/2023</t>
  </si>
  <si>
    <t>09/12/2010</t>
  </si>
  <si>
    <t>09/12/2023</t>
  </si>
  <si>
    <t>10/12/2010</t>
  </si>
  <si>
    <t>10/12/2023</t>
  </si>
  <si>
    <t>11/12/2010</t>
  </si>
  <si>
    <t>11/12/2023</t>
  </si>
  <si>
    <t>12/12/2010</t>
  </si>
  <si>
    <t>12/12/2023</t>
  </si>
  <si>
    <t>13/12/2010</t>
  </si>
  <si>
    <t>13/12/2023</t>
  </si>
  <si>
    <t>14/12/2010</t>
  </si>
  <si>
    <t>14/12/2023</t>
  </si>
  <si>
    <t>15/12/2010</t>
  </si>
  <si>
    <t>15/12/2023</t>
  </si>
  <si>
    <t>16/12/2010</t>
  </si>
  <si>
    <t>16/12/2023</t>
  </si>
  <si>
    <t>17/12/2010</t>
  </si>
  <si>
    <t>17/12/2023</t>
  </si>
  <si>
    <t>18/12/2010</t>
  </si>
  <si>
    <t>18/12/2023</t>
  </si>
  <si>
    <t>19/12/2010</t>
  </si>
  <si>
    <t>19/12/2023</t>
  </si>
  <si>
    <t>20/12/2010</t>
  </si>
  <si>
    <t>20/12/2023</t>
  </si>
  <si>
    <t>21/12/2010</t>
  </si>
  <si>
    <t>21/12/2023</t>
  </si>
  <si>
    <t>22/12/2010</t>
  </si>
  <si>
    <t>22/12/2023</t>
  </si>
  <si>
    <t>23/12/2010</t>
  </si>
  <si>
    <t>23/12/2023</t>
  </si>
  <si>
    <t>24/12/2010</t>
  </si>
  <si>
    <t>24/12/2023</t>
  </si>
  <si>
    <t>25/12/2010</t>
  </si>
  <si>
    <t>25/12/2023</t>
  </si>
  <si>
    <t>26/12/2010</t>
  </si>
  <si>
    <t>26/12/2023</t>
  </si>
  <si>
    <t>27/12/2010</t>
  </si>
  <si>
    <t>27/12/2023</t>
  </si>
  <si>
    <t>28/12/2010</t>
  </si>
  <si>
    <t>28/12/2023</t>
  </si>
  <si>
    <t>29/12/2010</t>
  </si>
  <si>
    <t>29/12/2023</t>
  </si>
  <si>
    <t>30/12/2010</t>
  </si>
  <si>
    <t>30/12/2023</t>
  </si>
  <si>
    <t>31/12/2010</t>
  </si>
  <si>
    <t>31/12/2023</t>
  </si>
  <si>
    <t>01/01/2011</t>
  </si>
  <si>
    <t>01/01/2024</t>
  </si>
  <si>
    <t>02/01/2011</t>
  </si>
  <si>
    <t>02/01/2024</t>
  </si>
  <si>
    <t>03/01/2011</t>
  </si>
  <si>
    <t>03/01/2024</t>
  </si>
  <si>
    <t>04/01/2011</t>
  </si>
  <si>
    <t>04/01/2024</t>
  </si>
  <si>
    <t>05/01/2011</t>
  </si>
  <si>
    <t>05/01/2024</t>
  </si>
  <si>
    <t>06/01/2011</t>
  </si>
  <si>
    <t>06/01/2024</t>
  </si>
  <si>
    <t>07/01/2011</t>
  </si>
  <si>
    <t>07/01/2024</t>
  </si>
  <si>
    <t>08/01/2011</t>
  </si>
  <si>
    <t>08/01/2024</t>
  </si>
  <si>
    <t>09/01/2011</t>
  </si>
  <si>
    <t>09/01/2024</t>
  </si>
  <si>
    <t>10/01/2011</t>
  </si>
  <si>
    <t>10/01/2024</t>
  </si>
  <si>
    <t>11/01/2011</t>
  </si>
  <si>
    <t>11/01/2024</t>
  </si>
  <si>
    <t>12/01/2011</t>
  </si>
  <si>
    <t>12/01/2024</t>
  </si>
  <si>
    <t>13/01/2011</t>
  </si>
  <si>
    <t>13/01/2024</t>
  </si>
  <si>
    <t>14/01/2011</t>
  </si>
  <si>
    <t>14/01/2024</t>
  </si>
  <si>
    <t>15/01/2011</t>
  </si>
  <si>
    <t>15/01/2024</t>
  </si>
  <si>
    <t>16/01/2011</t>
  </si>
  <si>
    <t>16/01/2024</t>
  </si>
  <si>
    <t>17/01/2011</t>
  </si>
  <si>
    <t>17/01/2024</t>
  </si>
  <si>
    <t>18/01/2011</t>
  </si>
  <si>
    <t>18/01/2024</t>
  </si>
  <si>
    <t>19/01/2011</t>
  </si>
  <si>
    <t>19/01/2024</t>
  </si>
  <si>
    <t>20/01/2011</t>
  </si>
  <si>
    <t>20/01/2024</t>
  </si>
  <si>
    <t>21/01/2011</t>
  </si>
  <si>
    <t>21/01/2024</t>
  </si>
  <si>
    <t>22/01/2011</t>
  </si>
  <si>
    <t>22/01/2024</t>
  </si>
  <si>
    <t>23/01/2011</t>
  </si>
  <si>
    <t>23/01/2024</t>
  </si>
  <si>
    <t>24/01/2011</t>
  </si>
  <si>
    <t>24/01/2024</t>
  </si>
  <si>
    <t>25/01/2011</t>
  </si>
  <si>
    <t>25/01/2024</t>
  </si>
  <si>
    <t>26/01/2011</t>
  </si>
  <si>
    <t>26/01/2024</t>
  </si>
  <si>
    <t>27/01/2011</t>
  </si>
  <si>
    <t>27/01/2024</t>
  </si>
  <si>
    <t>28/01/2011</t>
  </si>
  <si>
    <t>28/01/2024</t>
  </si>
  <si>
    <t>29/01/2011</t>
  </si>
  <si>
    <t>29/01/2024</t>
  </si>
  <si>
    <t>30/01/2011</t>
  </si>
  <si>
    <t>30/01/2024</t>
  </si>
  <si>
    <t>31/01/2011</t>
  </si>
  <si>
    <t>31/01/2024</t>
  </si>
  <si>
    <t>01/02/2011</t>
  </si>
  <si>
    <t>01/02/2024</t>
  </si>
  <si>
    <t>02/02/2011</t>
  </si>
  <si>
    <t>02/02/2024</t>
  </si>
  <si>
    <t>03/02/2011</t>
  </si>
  <si>
    <t>03/02/2024</t>
  </si>
  <si>
    <t>04/02/2011</t>
  </si>
  <si>
    <t>04/02/2024</t>
  </si>
  <si>
    <t>05/02/2011</t>
  </si>
  <si>
    <t>05/02/2024</t>
  </si>
  <si>
    <t>06/02/2011</t>
  </si>
  <si>
    <t>06/02/2024</t>
  </si>
  <si>
    <t>07/02/2011</t>
  </si>
  <si>
    <t>07/02/2024</t>
  </si>
  <si>
    <t>08/02/2011</t>
  </si>
  <si>
    <t>08/02/2024</t>
  </si>
  <si>
    <t>09/02/2011</t>
  </si>
  <si>
    <t>09/02/2024</t>
  </si>
  <si>
    <t>10/02/2011</t>
  </si>
  <si>
    <t>10/02/2024</t>
  </si>
  <si>
    <t>11/02/2011</t>
  </si>
  <si>
    <t>11/02/2024</t>
  </si>
  <si>
    <t>12/02/2011</t>
  </si>
  <si>
    <t>12/02/2024</t>
  </si>
  <si>
    <t>13/02/2011</t>
  </si>
  <si>
    <t>13/02/2024</t>
  </si>
  <si>
    <t>14/02/2011</t>
  </si>
  <si>
    <t>14/02/2024</t>
  </si>
  <si>
    <t>15/02/2011</t>
  </si>
  <si>
    <t>15/02/2024</t>
  </si>
  <si>
    <t>16/02/2011</t>
  </si>
  <si>
    <t>16/02/2024</t>
  </si>
  <si>
    <t>17/02/2011</t>
  </si>
  <si>
    <t>17/02/2024</t>
  </si>
  <si>
    <t>18/02/2011</t>
  </si>
  <si>
    <t>18/02/2024</t>
  </si>
  <si>
    <t>19/02/2011</t>
  </si>
  <si>
    <t>19/02/2024</t>
  </si>
  <si>
    <t>20/02/2011</t>
  </si>
  <si>
    <t>20/02/2024</t>
  </si>
  <si>
    <t>21/02/2011</t>
  </si>
  <si>
    <t>21/02/2024</t>
  </si>
  <si>
    <t>22/02/2011</t>
  </si>
  <si>
    <t>22/02/2024</t>
  </si>
  <si>
    <t>23/02/2011</t>
  </si>
  <si>
    <t>23/02/2024</t>
  </si>
  <si>
    <t>24/02/2011</t>
  </si>
  <si>
    <t>24/02/2024</t>
  </si>
  <si>
    <t>25/02/2011</t>
  </si>
  <si>
    <t>25/02/2024</t>
  </si>
  <si>
    <t>26/02/2011</t>
  </si>
  <si>
    <t>26/02/2024</t>
  </si>
  <si>
    <t>27/02/2011</t>
  </si>
  <si>
    <t>27/02/2024</t>
  </si>
  <si>
    <t>28/02/2011</t>
  </si>
  <si>
    <t>28/02/2024</t>
  </si>
  <si>
    <t>01/03/2011</t>
  </si>
  <si>
    <t>29/02/2024</t>
  </si>
  <si>
    <t>02/03/2011</t>
  </si>
  <si>
    <t>01/03/2024</t>
  </si>
  <si>
    <t>03/03/2011</t>
  </si>
  <si>
    <t>02/03/2024</t>
  </si>
  <si>
    <t>04/03/2011</t>
  </si>
  <si>
    <t>03/03/2024</t>
  </si>
  <si>
    <t>05/03/2011</t>
  </si>
  <si>
    <t>04/03/2024</t>
  </si>
  <si>
    <t>06/03/2011</t>
  </si>
  <si>
    <t>05/03/2024</t>
  </si>
  <si>
    <t>07/03/2011</t>
  </si>
  <si>
    <t>06/03/2024</t>
  </si>
  <si>
    <t>08/03/2011</t>
  </si>
  <si>
    <t>07/03/2024</t>
  </si>
  <si>
    <t>09/03/2011</t>
  </si>
  <si>
    <t>08/03/2024</t>
  </si>
  <si>
    <t>10/03/2011</t>
  </si>
  <si>
    <t>09/03/2024</t>
  </si>
  <si>
    <t>11/03/2011</t>
  </si>
  <si>
    <t>10/03/2024</t>
  </si>
  <si>
    <t>12/03/2011</t>
  </si>
  <si>
    <t>11/03/2024</t>
  </si>
  <si>
    <t>13/03/2011</t>
  </si>
  <si>
    <t>12/03/2024</t>
  </si>
  <si>
    <t>14/03/2011</t>
  </si>
  <si>
    <t>13/03/2024</t>
  </si>
  <si>
    <t>15/03/2011</t>
  </si>
  <si>
    <t>14/03/2024</t>
  </si>
  <si>
    <t>16/03/2011</t>
  </si>
  <si>
    <t>15/03/2024</t>
  </si>
  <si>
    <t>17/03/2011</t>
  </si>
  <si>
    <t>16/03/2024</t>
  </si>
  <si>
    <t>18/03/2011</t>
  </si>
  <si>
    <t>17/03/2024</t>
  </si>
  <si>
    <t>19/03/2011</t>
  </si>
  <si>
    <t>18/03/2024</t>
  </si>
  <si>
    <t>20/03/2011</t>
  </si>
  <si>
    <t>19/03/2024</t>
  </si>
  <si>
    <t>21/03/2011</t>
  </si>
  <si>
    <t>20/03/2024</t>
  </si>
  <si>
    <t>22/03/2011</t>
  </si>
  <si>
    <t>21/03/2024</t>
  </si>
  <si>
    <t>23/03/2011</t>
  </si>
  <si>
    <t>22/03/2024</t>
  </si>
  <si>
    <t>24/03/2011</t>
  </si>
  <si>
    <t>23/03/2024</t>
  </si>
  <si>
    <t>25/03/2011</t>
  </si>
  <si>
    <t>24/03/2024</t>
  </si>
  <si>
    <t>26/03/2011</t>
  </si>
  <si>
    <t>25/03/2024</t>
  </si>
  <si>
    <t>27/03/2011</t>
  </si>
  <si>
    <t>26/03/2024</t>
  </si>
  <si>
    <t>28/03/2011</t>
  </si>
  <si>
    <t>27/03/2024</t>
  </si>
  <si>
    <t>29/03/2011</t>
  </si>
  <si>
    <t>28/03/2024</t>
  </si>
  <si>
    <t>30/03/2011</t>
  </si>
  <si>
    <t>29/03/2024</t>
  </si>
  <si>
    <t>31/03/2011</t>
  </si>
  <si>
    <t>30/03/2024</t>
  </si>
  <si>
    <t>01/04/2011</t>
  </si>
  <si>
    <t>31/03/2024</t>
  </si>
  <si>
    <t>02/04/2011</t>
  </si>
  <si>
    <t>01/04/2024</t>
  </si>
  <si>
    <t>03/04/2011</t>
  </si>
  <si>
    <t>02/04/2024</t>
  </si>
  <si>
    <t>04/04/2011</t>
  </si>
  <si>
    <t>03/04/2024</t>
  </si>
  <si>
    <t>05/04/2011</t>
  </si>
  <si>
    <t>04/04/2024</t>
  </si>
  <si>
    <t>06/04/2011</t>
  </si>
  <si>
    <t>05/04/2024</t>
  </si>
  <si>
    <t>07/04/2011</t>
  </si>
  <si>
    <t>06/04/2024</t>
  </si>
  <si>
    <t>08/04/2011</t>
  </si>
  <si>
    <t>07/04/2024</t>
  </si>
  <si>
    <t>09/04/2011</t>
  </si>
  <si>
    <t>08/04/2024</t>
  </si>
  <si>
    <t>10/04/2011</t>
  </si>
  <si>
    <t>09/04/2024</t>
  </si>
  <si>
    <t>11/04/2011</t>
  </si>
  <si>
    <t>10/04/2024</t>
  </si>
  <si>
    <t>12/04/2011</t>
  </si>
  <si>
    <t>11/04/2024</t>
  </si>
  <si>
    <t>13/04/2011</t>
  </si>
  <si>
    <t>12/04/2024</t>
  </si>
  <si>
    <t>14/04/2011</t>
  </si>
  <si>
    <t>13/04/2024</t>
  </si>
  <si>
    <t>15/04/2011</t>
  </si>
  <si>
    <t>14/04/2024</t>
  </si>
  <si>
    <t>16/04/2011</t>
  </si>
  <si>
    <t>15/04/2024</t>
  </si>
  <si>
    <t>17/04/2011</t>
  </si>
  <si>
    <t>16/04/2024</t>
  </si>
  <si>
    <t>18/04/2011</t>
  </si>
  <si>
    <t>17/04/2024</t>
  </si>
  <si>
    <t>19/04/2011</t>
  </si>
  <si>
    <t>18/04/2024</t>
  </si>
  <si>
    <t>20/04/2011</t>
  </si>
  <si>
    <t>19/04/2024</t>
  </si>
  <si>
    <t>21/04/2011</t>
  </si>
  <si>
    <t>20/04/2024</t>
  </si>
  <si>
    <t>22/04/2011</t>
  </si>
  <si>
    <t>21/04/2024</t>
  </si>
  <si>
    <t>23/04/2011</t>
  </si>
  <si>
    <t>22/04/2024</t>
  </si>
  <si>
    <t>24/04/2011</t>
  </si>
  <si>
    <t>23/04/2024</t>
  </si>
  <si>
    <t>25/04/2011</t>
  </si>
  <si>
    <t>24/04/2024</t>
  </si>
  <si>
    <t>26/04/2011</t>
  </si>
  <si>
    <t>25/04/2024</t>
  </si>
  <si>
    <t>27/04/2011</t>
  </si>
  <si>
    <t>26/04/2024</t>
  </si>
  <si>
    <t>28/04/2011</t>
  </si>
  <si>
    <t>27/04/2024</t>
  </si>
  <si>
    <t>29/04/2011</t>
  </si>
  <si>
    <t>28/04/2024</t>
  </si>
  <si>
    <t>30/04/2011</t>
  </si>
  <si>
    <t>29/04/2024</t>
  </si>
  <si>
    <t>01/05/2011</t>
  </si>
  <si>
    <t>30/04/2024</t>
  </si>
  <si>
    <t>02/05/2011</t>
  </si>
  <si>
    <t>01/05/2024</t>
  </si>
  <si>
    <t>03/05/2011</t>
  </si>
  <si>
    <t>02/05/2024</t>
  </si>
  <si>
    <t>04/05/2011</t>
  </si>
  <si>
    <t>03/05/2024</t>
  </si>
  <si>
    <t>05/05/2011</t>
  </si>
  <si>
    <t>04/05/2024</t>
  </si>
  <si>
    <t>06/05/2011</t>
  </si>
  <si>
    <t>05/05/2024</t>
  </si>
  <si>
    <t>07/05/2011</t>
  </si>
  <si>
    <t>06/05/2024</t>
  </si>
  <si>
    <t>08/05/2011</t>
  </si>
  <si>
    <t>07/05/2024</t>
  </si>
  <si>
    <t>09/05/2011</t>
  </si>
  <si>
    <t>08/05/2024</t>
  </si>
  <si>
    <t>10/05/2011</t>
  </si>
  <si>
    <t>09/05/2024</t>
  </si>
  <si>
    <t>11/05/2011</t>
  </si>
  <si>
    <t>10/05/2024</t>
  </si>
  <si>
    <t>12/05/2011</t>
  </si>
  <si>
    <t>11/05/2024</t>
  </si>
  <si>
    <t>13/05/2011</t>
  </si>
  <si>
    <t>12/05/2024</t>
  </si>
  <si>
    <t>14/05/2011</t>
  </si>
  <si>
    <t>13/05/2024</t>
  </si>
  <si>
    <t>15/05/2011</t>
  </si>
  <si>
    <t>14/05/2024</t>
  </si>
  <si>
    <t>16/05/2011</t>
  </si>
  <si>
    <t>15/05/2024</t>
  </si>
  <si>
    <t>17/05/2011</t>
  </si>
  <si>
    <t>16/05/2024</t>
  </si>
  <si>
    <t>18/05/2011</t>
  </si>
  <si>
    <t>17/05/2024</t>
  </si>
  <si>
    <t>19/05/2011</t>
  </si>
  <si>
    <t>18/05/2024</t>
  </si>
  <si>
    <t>20/05/2011</t>
  </si>
  <si>
    <t>19/05/2024</t>
  </si>
  <si>
    <t>21/05/2011</t>
  </si>
  <si>
    <t>20/05/2024</t>
  </si>
  <si>
    <t>22/05/2011</t>
  </si>
  <si>
    <t>21/05/2024</t>
  </si>
  <si>
    <t>23/05/2011</t>
  </si>
  <si>
    <t>22/05/2024</t>
  </si>
  <si>
    <t>24/05/2011</t>
  </si>
  <si>
    <t>23/05/2024</t>
  </si>
  <si>
    <t>25/05/2011</t>
  </si>
  <si>
    <t>24/05/2024</t>
  </si>
  <si>
    <t>26/05/2011</t>
  </si>
  <si>
    <t>25/05/2024</t>
  </si>
  <si>
    <t>27/05/2011</t>
  </si>
  <si>
    <t>26/05/2024</t>
  </si>
  <si>
    <t>28/05/2011</t>
  </si>
  <si>
    <t>27/05/2024</t>
  </si>
  <si>
    <t>29/05/2011</t>
  </si>
  <si>
    <t>28/05/2024</t>
  </si>
  <si>
    <t>30/05/2011</t>
  </si>
  <si>
    <t>29/05/2024</t>
  </si>
  <si>
    <t>31/05/2011</t>
  </si>
  <si>
    <t>30/05/2024</t>
  </si>
  <si>
    <t>01/06/2011</t>
  </si>
  <si>
    <t>31/05/2024</t>
  </si>
  <si>
    <t>02/06/2011</t>
  </si>
  <si>
    <t>01/06/2024</t>
  </si>
  <si>
    <t>03/06/2011</t>
  </si>
  <si>
    <t>02/06/2024</t>
  </si>
  <si>
    <t>04/06/2011</t>
  </si>
  <si>
    <t>03/06/2024</t>
  </si>
  <si>
    <t>05/06/2011</t>
  </si>
  <si>
    <t>04/06/2024</t>
  </si>
  <si>
    <t>06/06/2011</t>
  </si>
  <si>
    <t>05/06/2024</t>
  </si>
  <si>
    <t>07/06/2011</t>
  </si>
  <si>
    <t>06/06/2024</t>
  </si>
  <si>
    <t>08/06/2011</t>
  </si>
  <si>
    <t>07/06/2024</t>
  </si>
  <si>
    <t>09/06/2011</t>
  </si>
  <si>
    <t>08/06/2024</t>
  </si>
  <si>
    <t>10/06/2011</t>
  </si>
  <si>
    <t>09/06/2024</t>
  </si>
  <si>
    <t>11/06/2011</t>
  </si>
  <si>
    <t>10/06/2024</t>
  </si>
  <si>
    <t>12/06/2011</t>
  </si>
  <si>
    <t>11/06/2024</t>
  </si>
  <si>
    <t>13/06/2011</t>
  </si>
  <si>
    <t>12/06/2024</t>
  </si>
  <si>
    <t>14/06/2011</t>
  </si>
  <si>
    <t>13/06/2024</t>
  </si>
  <si>
    <t>15/06/2011</t>
  </si>
  <si>
    <t>14/06/2024</t>
  </si>
  <si>
    <t>16/06/2011</t>
  </si>
  <si>
    <t>15/06/2024</t>
  </si>
  <si>
    <t>17/06/2011</t>
  </si>
  <si>
    <t>16/06/2024</t>
  </si>
  <si>
    <t>18/06/2011</t>
  </si>
  <si>
    <t>17/06/2024</t>
  </si>
  <si>
    <t>19/06/2011</t>
  </si>
  <si>
    <t>18/06/2024</t>
  </si>
  <si>
    <t>20/06/2011</t>
  </si>
  <si>
    <t>19/06/2024</t>
  </si>
  <si>
    <t>21/06/2011</t>
  </si>
  <si>
    <t>20/06/2024</t>
  </si>
  <si>
    <t>22/06/2011</t>
  </si>
  <si>
    <t>21/06/2024</t>
  </si>
  <si>
    <t>23/06/2011</t>
  </si>
  <si>
    <t>22/06/2024</t>
  </si>
  <si>
    <t>24/06/2011</t>
  </si>
  <si>
    <t>23/06/2024</t>
  </si>
  <si>
    <t>25/06/2011</t>
  </si>
  <si>
    <t>24/06/2024</t>
  </si>
  <si>
    <t>26/06/2011</t>
  </si>
  <si>
    <t>25/06/2024</t>
  </si>
  <si>
    <t>27/06/2011</t>
  </si>
  <si>
    <t>26/06/2024</t>
  </si>
  <si>
    <t>28/06/2011</t>
  </si>
  <si>
    <t>27/06/2024</t>
  </si>
  <si>
    <t>29/06/2011</t>
  </si>
  <si>
    <t>28/06/2024</t>
  </si>
  <si>
    <t>30/06/2011</t>
  </si>
  <si>
    <t>29/06/2024</t>
  </si>
  <si>
    <t>01/07/2011</t>
  </si>
  <si>
    <t>30/06/2024</t>
  </si>
  <si>
    <t>02/07/2011</t>
  </si>
  <si>
    <t>01/07/2024</t>
  </si>
  <si>
    <t>03/07/2011</t>
  </si>
  <si>
    <t>02/07/2024</t>
  </si>
  <si>
    <t>04/07/2011</t>
  </si>
  <si>
    <t>03/07/2024</t>
  </si>
  <si>
    <t>05/07/2011</t>
  </si>
  <si>
    <t>04/07/2024</t>
  </si>
  <si>
    <t>06/07/2011</t>
  </si>
  <si>
    <t>05/07/2024</t>
  </si>
  <si>
    <t>07/07/2011</t>
  </si>
  <si>
    <t>06/07/2024</t>
  </si>
  <si>
    <t>08/07/2011</t>
  </si>
  <si>
    <t>07/07/2024</t>
  </si>
  <si>
    <t>09/07/2011</t>
  </si>
  <si>
    <t>08/07/2024</t>
  </si>
  <si>
    <t>10/07/2011</t>
  </si>
  <si>
    <t>09/07/2024</t>
  </si>
  <si>
    <t>11/07/2011</t>
  </si>
  <si>
    <t>10/07/2024</t>
  </si>
  <si>
    <t>12/07/2011</t>
  </si>
  <si>
    <t>11/07/2024</t>
  </si>
  <si>
    <t>13/07/2011</t>
  </si>
  <si>
    <t>12/07/2024</t>
  </si>
  <si>
    <t>14/07/2011</t>
  </si>
  <si>
    <t>13/07/2024</t>
  </si>
  <si>
    <t>15/07/2011</t>
  </si>
  <si>
    <t>14/07/2024</t>
  </si>
  <si>
    <t>16/07/2011</t>
  </si>
  <si>
    <t>15/07/2024</t>
  </si>
  <si>
    <t>17/07/2011</t>
  </si>
  <si>
    <t>16/07/2024</t>
  </si>
  <si>
    <t>18/07/2011</t>
  </si>
  <si>
    <t>17/07/2024</t>
  </si>
  <si>
    <t>19/07/2011</t>
  </si>
  <si>
    <t>18/07/2024</t>
  </si>
  <si>
    <t>20/07/2011</t>
  </si>
  <si>
    <t>19/07/2024</t>
  </si>
  <si>
    <t>21/07/2011</t>
  </si>
  <si>
    <t>20/07/2024</t>
  </si>
  <si>
    <t>22/07/2011</t>
  </si>
  <si>
    <t>21/07/2024</t>
  </si>
  <si>
    <t>23/07/2011</t>
  </si>
  <si>
    <t>22/07/2024</t>
  </si>
  <si>
    <t>24/07/2011</t>
  </si>
  <si>
    <t>23/07/2024</t>
  </si>
  <si>
    <t>25/07/2011</t>
  </si>
  <si>
    <t>24/07/2024</t>
  </si>
  <si>
    <t>26/07/2011</t>
  </si>
  <si>
    <t>25/07/2024</t>
  </si>
  <si>
    <t>27/07/2011</t>
  </si>
  <si>
    <t>26/07/2024</t>
  </si>
  <si>
    <t>28/07/2011</t>
  </si>
  <si>
    <t>27/07/2024</t>
  </si>
  <si>
    <t>29/07/2011</t>
  </si>
  <si>
    <t>28/07/2024</t>
  </si>
  <si>
    <t>30/07/2011</t>
  </si>
  <si>
    <t>29/07/2024</t>
  </si>
  <si>
    <t>31/07/2011</t>
  </si>
  <si>
    <t>30/07/2024</t>
  </si>
  <si>
    <t>01/08/2011</t>
  </si>
  <si>
    <t>31/07/2024</t>
  </si>
  <si>
    <t>02/08/2011</t>
  </si>
  <si>
    <t>01/08/2024</t>
  </si>
  <si>
    <t>03/08/2011</t>
  </si>
  <si>
    <t>02/08/2024</t>
  </si>
  <si>
    <t>04/08/2011</t>
  </si>
  <si>
    <t>03/08/2024</t>
  </si>
  <si>
    <t>05/08/2011</t>
  </si>
  <si>
    <t>04/08/2024</t>
  </si>
  <si>
    <t>06/08/2011</t>
  </si>
  <si>
    <t>05/08/2024</t>
  </si>
  <si>
    <t>07/08/2011</t>
  </si>
  <si>
    <t>06/08/2024</t>
  </si>
  <si>
    <t>08/08/2011</t>
  </si>
  <si>
    <t>07/08/2024</t>
  </si>
  <si>
    <t>09/08/2011</t>
  </si>
  <si>
    <t>08/08/2024</t>
  </si>
  <si>
    <t>10/08/2011</t>
  </si>
  <si>
    <t>09/08/2024</t>
  </si>
  <si>
    <t>11/08/2011</t>
  </si>
  <si>
    <t>10/08/2024</t>
  </si>
  <si>
    <t>12/08/2011</t>
  </si>
  <si>
    <t>11/08/2024</t>
  </si>
  <si>
    <t>13/08/2011</t>
  </si>
  <si>
    <t>12/08/2024</t>
  </si>
  <si>
    <t>14/08/2011</t>
  </si>
  <si>
    <t>13/08/2024</t>
  </si>
  <si>
    <t>15/08/2011</t>
  </si>
  <si>
    <t>14/08/2024</t>
  </si>
  <si>
    <t>16/08/2011</t>
  </si>
  <si>
    <t>15/08/2024</t>
  </si>
  <si>
    <t>17/08/2011</t>
  </si>
  <si>
    <t>16/08/2024</t>
  </si>
  <si>
    <t>18/08/2011</t>
  </si>
  <si>
    <t>17/08/2024</t>
  </si>
  <si>
    <t>19/08/2011</t>
  </si>
  <si>
    <t>18/08/2024</t>
  </si>
  <si>
    <t>20/08/2011</t>
  </si>
  <si>
    <t>19/08/2024</t>
  </si>
  <si>
    <t>21/08/2011</t>
  </si>
  <si>
    <t>20/08/2024</t>
  </si>
  <si>
    <t>22/08/2011</t>
  </si>
  <si>
    <t>21/08/2024</t>
  </si>
  <si>
    <t>23/08/2011</t>
  </si>
  <si>
    <t>22/08/2024</t>
  </si>
  <si>
    <t>24/08/2011</t>
  </si>
  <si>
    <t>23/08/2024</t>
  </si>
  <si>
    <t>25/08/2011</t>
  </si>
  <si>
    <t>24/08/2024</t>
  </si>
  <si>
    <t>26/08/2011</t>
  </si>
  <si>
    <t>25/08/2024</t>
  </si>
  <si>
    <t>27/08/2011</t>
  </si>
  <si>
    <t>26/08/2024</t>
  </si>
  <si>
    <t>28/08/2011</t>
  </si>
  <si>
    <t>27/08/2024</t>
  </si>
  <si>
    <t>29/08/2011</t>
  </si>
  <si>
    <t>28/08/2024</t>
  </si>
  <si>
    <t>30/08/2011</t>
  </si>
  <si>
    <t>29/08/2024</t>
  </si>
  <si>
    <t>31/08/2011</t>
  </si>
  <si>
    <t>30/08/2024</t>
  </si>
  <si>
    <t>01/09/2011</t>
  </si>
  <si>
    <t>31/08/2024</t>
  </si>
  <si>
    <t>02/09/2011</t>
  </si>
  <si>
    <t>01/09/2024</t>
  </si>
  <si>
    <t>03/09/2011</t>
  </si>
  <si>
    <t>02/09/2024</t>
  </si>
  <si>
    <t>04/09/2011</t>
  </si>
  <si>
    <t>03/09/2024</t>
  </si>
  <si>
    <t>05/09/2011</t>
  </si>
  <si>
    <t>04/09/2024</t>
  </si>
  <si>
    <t>06/09/2011</t>
  </si>
  <si>
    <t>05/09/2024</t>
  </si>
  <si>
    <t>07/09/2011</t>
  </si>
  <si>
    <t>06/09/2024</t>
  </si>
  <si>
    <t>08/09/2011</t>
  </si>
  <si>
    <t>07/09/2024</t>
  </si>
  <si>
    <t>09/09/2011</t>
  </si>
  <si>
    <t>08/09/2024</t>
  </si>
  <si>
    <t>10/09/2011</t>
  </si>
  <si>
    <t>09/09/2024</t>
  </si>
  <si>
    <t>11/09/2011</t>
  </si>
  <si>
    <t>10/09/2024</t>
  </si>
  <si>
    <t>12/09/2011</t>
  </si>
  <si>
    <t>11/09/2024</t>
  </si>
  <si>
    <t>13/09/2011</t>
  </si>
  <si>
    <t>12/09/2024</t>
  </si>
  <si>
    <t>14/09/2011</t>
  </si>
  <si>
    <t>13/09/2024</t>
  </si>
  <si>
    <t>15/09/2011</t>
  </si>
  <si>
    <t>14/09/2024</t>
  </si>
  <si>
    <t>16/09/2011</t>
  </si>
  <si>
    <t>15/09/2024</t>
  </si>
  <si>
    <t>17/09/2011</t>
  </si>
  <si>
    <t>16/09/2024</t>
  </si>
  <si>
    <t>18/09/2011</t>
  </si>
  <si>
    <t>17/09/2024</t>
  </si>
  <si>
    <t>19/09/2011</t>
  </si>
  <si>
    <t>18/09/2024</t>
  </si>
  <si>
    <t>20/09/2011</t>
  </si>
  <si>
    <t>19/09/2024</t>
  </si>
  <si>
    <t>21/09/2011</t>
  </si>
  <si>
    <t>20/09/2024</t>
  </si>
  <si>
    <t>22/09/2011</t>
  </si>
  <si>
    <t>21/09/2024</t>
  </si>
  <si>
    <t>23/09/2011</t>
  </si>
  <si>
    <t>22/09/2024</t>
  </si>
  <si>
    <t>24/09/2011</t>
  </si>
  <si>
    <t>23/09/2024</t>
  </si>
  <si>
    <t>25/09/2011</t>
  </si>
  <si>
    <t>24/09/2024</t>
  </si>
  <si>
    <t>26/09/2011</t>
  </si>
  <si>
    <t>25/09/2024</t>
  </si>
  <si>
    <t>27/09/2011</t>
  </si>
  <si>
    <t>26/09/2024</t>
  </si>
  <si>
    <t>28/09/2011</t>
  </si>
  <si>
    <t>27/09/2024</t>
  </si>
  <si>
    <t>29/09/2011</t>
  </si>
  <si>
    <t>28/09/2024</t>
  </si>
  <si>
    <t>30/09/2011</t>
  </si>
  <si>
    <t>29/09/2024</t>
  </si>
  <si>
    <t>01/10/2011</t>
  </si>
  <si>
    <t>30/09/2024</t>
  </si>
  <si>
    <t>02/10/2011</t>
  </si>
  <si>
    <t>01/10/2024</t>
  </si>
  <si>
    <t>03/10/2011</t>
  </si>
  <si>
    <t>02/10/2024</t>
  </si>
  <si>
    <t>04/10/2011</t>
  </si>
  <si>
    <t>03/10/2024</t>
  </si>
  <si>
    <t>05/10/2011</t>
  </si>
  <si>
    <t>04/10/2024</t>
  </si>
  <si>
    <t>06/10/2011</t>
  </si>
  <si>
    <t>05/10/2024</t>
  </si>
  <si>
    <t>07/10/2011</t>
  </si>
  <si>
    <t>06/10/2024</t>
  </si>
  <si>
    <t>08/10/2011</t>
  </si>
  <si>
    <t>07/10/2024</t>
  </si>
  <si>
    <t>09/10/2011</t>
  </si>
  <si>
    <t>08/10/2024</t>
  </si>
  <si>
    <t>10/10/2011</t>
  </si>
  <si>
    <t>09/10/2024</t>
  </si>
  <si>
    <t>11/10/2011</t>
  </si>
  <si>
    <t>10/10/2024</t>
  </si>
  <si>
    <t>12/10/2011</t>
  </si>
  <si>
    <t>11/10/2024</t>
  </si>
  <si>
    <t>13/10/2011</t>
  </si>
  <si>
    <t>12/10/2024</t>
  </si>
  <si>
    <t>14/10/2011</t>
  </si>
  <si>
    <t>13/10/2024</t>
  </si>
  <si>
    <t>15/10/2011</t>
  </si>
  <si>
    <t>14/10/2024</t>
  </si>
  <si>
    <t>16/10/2011</t>
  </si>
  <si>
    <t>15/10/2024</t>
  </si>
  <si>
    <t>17/10/2011</t>
  </si>
  <si>
    <t>16/10/2024</t>
  </si>
  <si>
    <t>18/10/2011</t>
  </si>
  <si>
    <t>17/10/2024</t>
  </si>
  <si>
    <t>19/10/2011</t>
  </si>
  <si>
    <t>18/10/2024</t>
  </si>
  <si>
    <t>20/10/2011</t>
  </si>
  <si>
    <t>19/10/2024</t>
  </si>
  <si>
    <t>21/10/2011</t>
  </si>
  <si>
    <t>20/10/2024</t>
  </si>
  <si>
    <t>22/10/2011</t>
  </si>
  <si>
    <t>21/10/2024</t>
  </si>
  <si>
    <t>23/10/2011</t>
  </si>
  <si>
    <t>22/10/2024</t>
  </si>
  <si>
    <t>24/10/2011</t>
  </si>
  <si>
    <t>23/10/2024</t>
  </si>
  <si>
    <t>25/10/2011</t>
  </si>
  <si>
    <t>24/10/2024</t>
  </si>
  <si>
    <t>26/10/2011</t>
  </si>
  <si>
    <t>25/10/2024</t>
  </si>
  <si>
    <t>27/10/2011</t>
  </si>
  <si>
    <t>26/10/2024</t>
  </si>
  <si>
    <t>28/10/2011</t>
  </si>
  <si>
    <t>27/10/2024</t>
  </si>
  <si>
    <t>29/10/2011</t>
  </si>
  <si>
    <t>28/10/2024</t>
  </si>
  <si>
    <t>30/10/2011</t>
  </si>
  <si>
    <t>29/10/2024</t>
  </si>
  <si>
    <t>31/10/2011</t>
  </si>
  <si>
    <t>30/10/2024</t>
  </si>
  <si>
    <t>01/11/2011</t>
  </si>
  <si>
    <t>31/10/2024</t>
  </si>
  <si>
    <t>02/11/2011</t>
  </si>
  <si>
    <t>01/11/2024</t>
  </si>
  <si>
    <t>03/11/2011</t>
  </si>
  <si>
    <t>02/11/2024</t>
  </si>
  <si>
    <t>04/11/2011</t>
  </si>
  <si>
    <t>03/11/2024</t>
  </si>
  <si>
    <t>05/11/2011</t>
  </si>
  <si>
    <t>04/11/2024</t>
  </si>
  <si>
    <t>06/11/2011</t>
  </si>
  <si>
    <t>05/11/2024</t>
  </si>
  <si>
    <t>07/11/2011</t>
  </si>
  <si>
    <t>06/11/2024</t>
  </si>
  <si>
    <t>08/11/2011</t>
  </si>
  <si>
    <t>07/11/2024</t>
  </si>
  <si>
    <t>09/11/2011</t>
  </si>
  <si>
    <t>08/11/2024</t>
  </si>
  <si>
    <t>10/11/2011</t>
  </si>
  <si>
    <t>09/11/2024</t>
  </si>
  <si>
    <t>11/11/2011</t>
  </si>
  <si>
    <t>10/11/2024</t>
  </si>
  <si>
    <t>12/11/2011</t>
  </si>
  <si>
    <t>11/11/2024</t>
  </si>
  <si>
    <t>13/11/2011</t>
  </si>
  <si>
    <t>12/11/2024</t>
  </si>
  <si>
    <t>14/11/2011</t>
  </si>
  <si>
    <t>13/11/2024</t>
  </si>
  <si>
    <t>15/11/2011</t>
  </si>
  <si>
    <t>14/11/2024</t>
  </si>
  <si>
    <t>16/11/2011</t>
  </si>
  <si>
    <t>15/11/2024</t>
  </si>
  <si>
    <t>17/11/2011</t>
  </si>
  <si>
    <t>16/11/2024</t>
  </si>
  <si>
    <t>18/11/2011</t>
  </si>
  <si>
    <t>17/11/2024</t>
  </si>
  <si>
    <t>19/11/2011</t>
  </si>
  <si>
    <t>18/11/2024</t>
  </si>
  <si>
    <t>20/11/2011</t>
  </si>
  <si>
    <t>19/11/2024</t>
  </si>
  <si>
    <t>21/11/2011</t>
  </si>
  <si>
    <t>20/11/2024</t>
  </si>
  <si>
    <t>22/11/2011</t>
  </si>
  <si>
    <t>21/11/2024</t>
  </si>
  <si>
    <t>23/11/2011</t>
  </si>
  <si>
    <t>22/11/2024</t>
  </si>
  <si>
    <t>24/11/2011</t>
  </si>
  <si>
    <t>23/11/2024</t>
  </si>
  <si>
    <t>25/11/2011</t>
  </si>
  <si>
    <t>24/11/2024</t>
  </si>
  <si>
    <t>26/11/2011</t>
  </si>
  <si>
    <t>25/11/2024</t>
  </si>
  <si>
    <t>27/11/2011</t>
  </si>
  <si>
    <t>26/11/2024</t>
  </si>
  <si>
    <t>28/11/2011</t>
  </si>
  <si>
    <t>27/11/2024</t>
  </si>
  <si>
    <t>29/11/2011</t>
  </si>
  <si>
    <t>28/11/2024</t>
  </si>
  <si>
    <t>30/11/2011</t>
  </si>
  <si>
    <t>29/11/2024</t>
  </si>
  <si>
    <t>01/12/2011</t>
  </si>
  <si>
    <t>30/11/2024</t>
  </si>
  <si>
    <t>02/12/2011</t>
  </si>
  <si>
    <t>01/12/2024</t>
  </si>
  <si>
    <t>03/12/2011</t>
  </si>
  <si>
    <t>02/12/2024</t>
  </si>
  <si>
    <t>04/12/2011</t>
  </si>
  <si>
    <t>03/12/2024</t>
  </si>
  <si>
    <t>05/12/2011</t>
  </si>
  <si>
    <t>04/12/2024</t>
  </si>
  <si>
    <t>06/12/2011</t>
  </si>
  <si>
    <t>05/12/2024</t>
  </si>
  <si>
    <t>07/12/2011</t>
  </si>
  <si>
    <t>06/12/2024</t>
  </si>
  <si>
    <t>08/12/2011</t>
  </si>
  <si>
    <t>07/12/2024</t>
  </si>
  <si>
    <t>09/12/2011</t>
  </si>
  <si>
    <t>08/12/2024</t>
  </si>
  <si>
    <t>10/12/2011</t>
  </si>
  <si>
    <t>09/12/2024</t>
  </si>
  <si>
    <t>11/12/2011</t>
  </si>
  <si>
    <t>10/12/2024</t>
  </si>
  <si>
    <t>12/12/2011</t>
  </si>
  <si>
    <t>11/12/2024</t>
  </si>
  <si>
    <t>13/12/2011</t>
  </si>
  <si>
    <t>12/12/2024</t>
  </si>
  <si>
    <t>14/12/2011</t>
  </si>
  <si>
    <t>13/12/2024</t>
  </si>
  <si>
    <t>15/12/2011</t>
  </si>
  <si>
    <t>14/12/2024</t>
  </si>
  <si>
    <t>16/12/2011</t>
  </si>
  <si>
    <t>15/12/2024</t>
  </si>
  <si>
    <t>17/12/2011</t>
  </si>
  <si>
    <t>16/12/2024</t>
  </si>
  <si>
    <t>18/12/2011</t>
  </si>
  <si>
    <t>17/12/2024</t>
  </si>
  <si>
    <t>19/12/2011</t>
  </si>
  <si>
    <t>18/12/2024</t>
  </si>
  <si>
    <t>20/12/2011</t>
  </si>
  <si>
    <t>19/12/2024</t>
  </si>
  <si>
    <t>21/12/2011</t>
  </si>
  <si>
    <t>20/12/2024</t>
  </si>
  <si>
    <t>22/12/2011</t>
  </si>
  <si>
    <t>21/12/2024</t>
  </si>
  <si>
    <t>23/12/2011</t>
  </si>
  <si>
    <t>22/12/2024</t>
  </si>
  <si>
    <t>24/12/2011</t>
  </si>
  <si>
    <t>23/12/2024</t>
  </si>
  <si>
    <t>25/12/2011</t>
  </si>
  <si>
    <t>24/12/2024</t>
  </si>
  <si>
    <t>26/12/2011</t>
  </si>
  <si>
    <t>25/12/2024</t>
  </si>
  <si>
    <t>27/12/2011</t>
  </si>
  <si>
    <t>26/12/2024</t>
  </si>
  <si>
    <t>28/12/2011</t>
  </si>
  <si>
    <t>27/12/2024</t>
  </si>
  <si>
    <t>29/12/2011</t>
  </si>
  <si>
    <t>28/12/2024</t>
  </si>
  <si>
    <t>30/12/2011</t>
  </si>
  <si>
    <t>29/12/2024</t>
  </si>
  <si>
    <t>31/12/2011</t>
  </si>
  <si>
    <t>30/12/2024</t>
  </si>
  <si>
    <t>01/01/2012</t>
  </si>
  <si>
    <t>31/12/2024</t>
  </si>
  <si>
    <t>02/01/2012</t>
  </si>
  <si>
    <t>01/01/2025</t>
  </si>
  <si>
    <t>03/01/2012</t>
  </si>
  <si>
    <t>02/01/2025</t>
  </si>
  <si>
    <t>04/01/2012</t>
  </si>
  <si>
    <t>03/01/2025</t>
  </si>
  <si>
    <t>05/01/2012</t>
  </si>
  <si>
    <t>04/01/2025</t>
  </si>
  <si>
    <t>06/01/2012</t>
  </si>
  <si>
    <t>05/01/2025</t>
  </si>
  <si>
    <t>07/01/2012</t>
  </si>
  <si>
    <t>06/01/2025</t>
  </si>
  <si>
    <t>08/01/2012</t>
  </si>
  <si>
    <t>07/01/2025</t>
  </si>
  <si>
    <t>09/01/2012</t>
  </si>
  <si>
    <t>08/01/2025</t>
  </si>
  <si>
    <t>10/01/2012</t>
  </si>
  <si>
    <t>09/01/2025</t>
  </si>
  <si>
    <t>11/01/2012</t>
  </si>
  <si>
    <t>10/01/2025</t>
  </si>
  <si>
    <t>12/01/2012</t>
  </si>
  <si>
    <t>11/01/2025</t>
  </si>
  <si>
    <t>13/01/2012</t>
  </si>
  <si>
    <t>12/01/2025</t>
  </si>
  <si>
    <t>14/01/2012</t>
  </si>
  <si>
    <t>13/01/2025</t>
  </si>
  <si>
    <t>15/01/2012</t>
  </si>
  <si>
    <t>14/01/2025</t>
  </si>
  <si>
    <t>16/01/2012</t>
  </si>
  <si>
    <t>15/01/2025</t>
  </si>
  <si>
    <t>17/01/2012</t>
  </si>
  <si>
    <t>16/01/2025</t>
  </si>
  <si>
    <t>18/01/2012</t>
  </si>
  <si>
    <t>17/01/2025</t>
  </si>
  <si>
    <t>19/01/2012</t>
  </si>
  <si>
    <t>18/01/2025</t>
  </si>
  <si>
    <t>20/01/2012</t>
  </si>
  <si>
    <t>19/01/2025</t>
  </si>
  <si>
    <t>21/01/2012</t>
  </si>
  <si>
    <t>20/01/2025</t>
  </si>
  <si>
    <t>22/01/2012</t>
  </si>
  <si>
    <t>21/01/2025</t>
  </si>
  <si>
    <t>23/01/2012</t>
  </si>
  <si>
    <t>22/01/2025</t>
  </si>
  <si>
    <t>24/01/2012</t>
  </si>
  <si>
    <t>23/01/2025</t>
  </si>
  <si>
    <t>25/01/2012</t>
  </si>
  <si>
    <t>24/01/2025</t>
  </si>
  <si>
    <t>26/01/2012</t>
  </si>
  <si>
    <t>25/01/2025</t>
  </si>
  <si>
    <t>27/01/2012</t>
  </si>
  <si>
    <t>26/01/2025</t>
  </si>
  <si>
    <t>28/01/2012</t>
  </si>
  <si>
    <t>27/01/2025</t>
  </si>
  <si>
    <t>29/01/2012</t>
  </si>
  <si>
    <t>28/01/2025</t>
  </si>
  <si>
    <t>30/01/2012</t>
  </si>
  <si>
    <t>29/01/2025</t>
  </si>
  <si>
    <t>31/01/2012</t>
  </si>
  <si>
    <t>30/01/2025</t>
  </si>
  <si>
    <t>01/02/2012</t>
  </si>
  <si>
    <t>31/01/2025</t>
  </si>
  <si>
    <t>02/02/2012</t>
  </si>
  <si>
    <t>01/02/2025</t>
  </si>
  <si>
    <t>03/02/2012</t>
  </si>
  <si>
    <t>02/02/2025</t>
  </si>
  <si>
    <t>04/02/2012</t>
  </si>
  <si>
    <t>03/02/2025</t>
  </si>
  <si>
    <t>05/02/2012</t>
  </si>
  <si>
    <t>04/02/2025</t>
  </si>
  <si>
    <t>06/02/2012</t>
  </si>
  <si>
    <t>05/02/2025</t>
  </si>
  <si>
    <t>07/02/2012</t>
  </si>
  <si>
    <t>06/02/2025</t>
  </si>
  <si>
    <t>08/02/2012</t>
  </si>
  <si>
    <t>07/02/2025</t>
  </si>
  <si>
    <t>09/02/2012</t>
  </si>
  <si>
    <t>08/02/2025</t>
  </si>
  <si>
    <t>10/02/2012</t>
  </si>
  <si>
    <t>09/02/2025</t>
  </si>
  <si>
    <t>11/02/2012</t>
  </si>
  <si>
    <t>10/02/2025</t>
  </si>
  <si>
    <t>12/02/2012</t>
  </si>
  <si>
    <t>11/02/2025</t>
  </si>
  <si>
    <t>13/02/2012</t>
  </si>
  <si>
    <t>12/02/2025</t>
  </si>
  <si>
    <t>14/02/2012</t>
  </si>
  <si>
    <t>13/02/2025</t>
  </si>
  <si>
    <t>15/02/2012</t>
  </si>
  <si>
    <t>14/02/2025</t>
  </si>
  <si>
    <t>16/02/2012</t>
  </si>
  <si>
    <t>15/02/2025</t>
  </si>
  <si>
    <t>17/02/2012</t>
  </si>
  <si>
    <t>16/02/2025</t>
  </si>
  <si>
    <t>18/02/2012</t>
  </si>
  <si>
    <t>17/02/2025</t>
  </si>
  <si>
    <t>19/02/2012</t>
  </si>
  <si>
    <t>18/02/2025</t>
  </si>
  <si>
    <t>20/02/2012</t>
  </si>
  <si>
    <t>19/02/2025</t>
  </si>
  <si>
    <t>21/02/2012</t>
  </si>
  <si>
    <t>20/02/2025</t>
  </si>
  <si>
    <t>22/02/2012</t>
  </si>
  <si>
    <t>21/02/2025</t>
  </si>
  <si>
    <t>23/02/2012</t>
  </si>
  <si>
    <t>22/02/2025</t>
  </si>
  <si>
    <t>24/02/2012</t>
  </si>
  <si>
    <t>23/02/2025</t>
  </si>
  <si>
    <t>25/02/2012</t>
  </si>
  <si>
    <t>24/02/2025</t>
  </si>
  <si>
    <t>26/02/2012</t>
  </si>
  <si>
    <t>25/02/2025</t>
  </si>
  <si>
    <t>27/02/2012</t>
  </si>
  <si>
    <t>28/02/2012</t>
  </si>
  <si>
    <t>29/02/2012</t>
  </si>
  <si>
    <t>01/03/2012</t>
  </si>
  <si>
    <t>02/03/2012</t>
  </si>
  <si>
    <t>03/03/2012</t>
  </si>
  <si>
    <t>04/03/2012</t>
  </si>
  <si>
    <t>05/03/2012</t>
  </si>
  <si>
    <t>06/03/2012</t>
  </si>
  <si>
    <t>07/03/2012</t>
  </si>
  <si>
    <t>08/03/2012</t>
  </si>
  <si>
    <t>09/03/2012</t>
  </si>
  <si>
    <t>10/03/2012</t>
  </si>
  <si>
    <t>11/03/2012</t>
  </si>
  <si>
    <t>12/03/2012</t>
  </si>
  <si>
    <t>13/03/2012</t>
  </si>
  <si>
    <t>14/03/2012</t>
  </si>
  <si>
    <t>15/03/2012</t>
  </si>
  <si>
    <t>16/03/2012</t>
  </si>
  <si>
    <t>17/03/2012</t>
  </si>
  <si>
    <t>18/03/2012</t>
  </si>
  <si>
    <t>19/03/2012</t>
  </si>
  <si>
    <t>20/03/2012</t>
  </si>
  <si>
    <t>21/03/2012</t>
  </si>
  <si>
    <t>22/03/2012</t>
  </si>
  <si>
    <t>23/03/2012</t>
  </si>
  <si>
    <t>24/03/2012</t>
  </si>
  <si>
    <t>25/03/2012</t>
  </si>
  <si>
    <t>26/03/2012</t>
  </si>
  <si>
    <t>27/03/2012</t>
  </si>
  <si>
    <t>28/03/2012</t>
  </si>
  <si>
    <t>29/03/2012</t>
  </si>
  <si>
    <t>30/03/2012</t>
  </si>
  <si>
    <t>31/03/2012</t>
  </si>
  <si>
    <t>01/04/2012</t>
  </si>
  <si>
    <t>02/04/2012</t>
  </si>
  <si>
    <t>03/04/2012</t>
  </si>
  <si>
    <t>04/04/2012</t>
  </si>
  <si>
    <t>05/04/2012</t>
  </si>
  <si>
    <t>06/04/2012</t>
  </si>
  <si>
    <t>07/04/2012</t>
  </si>
  <si>
    <t>08/04/2012</t>
  </si>
  <si>
    <t>09/04/2012</t>
  </si>
  <si>
    <t>10/04/2012</t>
  </si>
  <si>
    <t>11/04/2012</t>
  </si>
  <si>
    <t>12/04/2012</t>
  </si>
  <si>
    <t>13/04/2012</t>
  </si>
  <si>
    <t>14/04/2012</t>
  </si>
  <si>
    <t>15/04/2012</t>
  </si>
  <si>
    <t>16/04/2012</t>
  </si>
  <si>
    <t>17/04/2012</t>
  </si>
  <si>
    <t>18/04/2012</t>
  </si>
  <si>
    <t>19/04/2012</t>
  </si>
  <si>
    <t>20/04/2012</t>
  </si>
  <si>
    <t>21/04/2012</t>
  </si>
  <si>
    <t>22/04/2012</t>
  </si>
  <si>
    <t>23/04/2012</t>
  </si>
  <si>
    <t>24/04/2012</t>
  </si>
  <si>
    <t>25/04/2012</t>
  </si>
  <si>
    <t>26/04/2012</t>
  </si>
  <si>
    <t>27/04/2012</t>
  </si>
  <si>
    <t>28/04/2012</t>
  </si>
  <si>
    <t>29/04/2012</t>
  </si>
  <si>
    <t>30/04/2012</t>
  </si>
  <si>
    <t>01/05/2012</t>
  </si>
  <si>
    <t>02/05/2012</t>
  </si>
  <si>
    <t>03/05/2012</t>
  </si>
  <si>
    <t>04/05/2012</t>
  </si>
  <si>
    <t>05/05/2012</t>
  </si>
  <si>
    <t>06/05/2012</t>
  </si>
  <si>
    <t>07/05/2012</t>
  </si>
  <si>
    <t>08/05/2012</t>
  </si>
  <si>
    <t>09/05/2012</t>
  </si>
  <si>
    <t>10/05/2012</t>
  </si>
  <si>
    <t>11/05/2012</t>
  </si>
  <si>
    <t>12/05/2012</t>
  </si>
  <si>
    <t>13/05/2012</t>
  </si>
  <si>
    <t>14/05/2012</t>
  </si>
  <si>
    <t>15/05/2012</t>
  </si>
  <si>
    <t>16/05/2012</t>
  </si>
  <si>
    <t>17/05/2012</t>
  </si>
  <si>
    <t>18/05/2012</t>
  </si>
  <si>
    <t>19/05/2012</t>
  </si>
  <si>
    <t>20/05/2012</t>
  </si>
  <si>
    <t>21/05/2012</t>
  </si>
  <si>
    <t>22/05/2012</t>
  </si>
  <si>
    <t>23/05/2012</t>
  </si>
  <si>
    <t>24/05/2012</t>
  </si>
  <si>
    <t>25/05/2012</t>
  </si>
  <si>
    <t>26/05/2012</t>
  </si>
  <si>
    <t>27/05/2012</t>
  </si>
  <si>
    <t>28/05/2012</t>
  </si>
  <si>
    <t>29/05/2012</t>
  </si>
  <si>
    <t>30/05/2012</t>
  </si>
  <si>
    <t>31/05/2012</t>
  </si>
  <si>
    <t>01/06/2012</t>
  </si>
  <si>
    <t>02/06/2012</t>
  </si>
  <si>
    <t>03/06/2012</t>
  </si>
  <si>
    <t>04/06/2012</t>
  </si>
  <si>
    <t>05/06/2012</t>
  </si>
  <si>
    <t>06/06/2012</t>
  </si>
  <si>
    <t>07/06/2012</t>
  </si>
  <si>
    <t>08/06/2012</t>
  </si>
  <si>
    <t>09/06/2012</t>
  </si>
  <si>
    <t>10/06/2012</t>
  </si>
  <si>
    <t>11/06/2012</t>
  </si>
  <si>
    <t>12/06/2012</t>
  </si>
  <si>
    <t>13/06/2012</t>
  </si>
  <si>
    <t>14/06/2012</t>
  </si>
  <si>
    <t>15/06/2012</t>
  </si>
  <si>
    <t>16/06/2012</t>
  </si>
  <si>
    <t>17/06/2012</t>
  </si>
  <si>
    <t>18/06/2012</t>
  </si>
  <si>
    <t>19/06/2012</t>
  </si>
  <si>
    <t>20/06/2012</t>
  </si>
  <si>
    <t>21/06/2012</t>
  </si>
  <si>
    <t>22/06/2012</t>
  </si>
  <si>
    <t>23/06/2012</t>
  </si>
  <si>
    <t>24/06/2012</t>
  </si>
  <si>
    <t>25/06/2012</t>
  </si>
  <si>
    <t>26/06/2012</t>
  </si>
  <si>
    <t>27/06/2012</t>
  </si>
  <si>
    <t>28/06/2012</t>
  </si>
  <si>
    <t>29/06/2012</t>
  </si>
  <si>
    <t>30/06/2012</t>
  </si>
  <si>
    <t>01/07/2012</t>
  </si>
  <si>
    <t>02/07/2012</t>
  </si>
  <si>
    <t>03/07/2012</t>
  </si>
  <si>
    <t>04/07/2012</t>
  </si>
  <si>
    <t>05/07/2012</t>
  </si>
  <si>
    <t>06/07/2012</t>
  </si>
  <si>
    <t>07/07/2012</t>
  </si>
  <si>
    <t>08/07/2012</t>
  </si>
  <si>
    <t>09/07/2012</t>
  </si>
  <si>
    <t>10/07/2012</t>
  </si>
  <si>
    <t>11/07/2012</t>
  </si>
  <si>
    <t>12/07/2012</t>
  </si>
  <si>
    <t>13/07/2012</t>
  </si>
  <si>
    <t>14/07/2012</t>
  </si>
  <si>
    <t>15/07/2012</t>
  </si>
  <si>
    <t>16/07/2012</t>
  </si>
  <si>
    <t>17/07/2012</t>
  </si>
  <si>
    <t>18/07/2012</t>
  </si>
  <si>
    <t>19/07/2012</t>
  </si>
  <si>
    <t>20/07/2012</t>
  </si>
  <si>
    <t>21/07/2012</t>
  </si>
  <si>
    <t>22/07/2012</t>
  </si>
  <si>
    <t>23/07/2012</t>
  </si>
  <si>
    <t>24/07/2012</t>
  </si>
  <si>
    <t>25/07/2012</t>
  </si>
  <si>
    <t>26/07/2012</t>
  </si>
  <si>
    <t>27/07/2012</t>
  </si>
  <si>
    <t>28/07/2012</t>
  </si>
  <si>
    <t>29/07/2012</t>
  </si>
  <si>
    <t>30/07/2012</t>
  </si>
  <si>
    <t>31/07/2012</t>
  </si>
  <si>
    <t>01/08/2012</t>
  </si>
  <si>
    <t>02/08/2012</t>
  </si>
  <si>
    <t>03/08/2012</t>
  </si>
  <si>
    <t>04/08/2012</t>
  </si>
  <si>
    <t>05/08/2012</t>
  </si>
  <si>
    <t>06/08/2012</t>
  </si>
  <si>
    <t>07/08/2012</t>
  </si>
  <si>
    <t>08/08/2012</t>
  </si>
  <si>
    <t>09/08/2012</t>
  </si>
  <si>
    <t>10/08/2012</t>
  </si>
  <si>
    <t>11/08/2012</t>
  </si>
  <si>
    <t>12/08/2012</t>
  </si>
  <si>
    <t>13/08/2012</t>
  </si>
  <si>
    <t>14/08/2012</t>
  </si>
  <si>
    <t>15/08/2012</t>
  </si>
  <si>
    <t>16/08/2012</t>
  </si>
  <si>
    <t>17/08/2012</t>
  </si>
  <si>
    <t>18/08/2012</t>
  </si>
  <si>
    <t>19/08/2012</t>
  </si>
  <si>
    <t>20/08/2012</t>
  </si>
  <si>
    <t>21/08/2012</t>
  </si>
  <si>
    <t>22/08/2012</t>
  </si>
  <si>
    <t>23/08/2012</t>
  </si>
  <si>
    <t>24/08/2012</t>
  </si>
  <si>
    <t>25/08/2012</t>
  </si>
  <si>
    <t>26/08/2012</t>
  </si>
  <si>
    <t>27/08/2012</t>
  </si>
  <si>
    <t>28/08/2012</t>
  </si>
  <si>
    <t>29/08/2012</t>
  </si>
  <si>
    <t>30/08/2012</t>
  </si>
  <si>
    <t>31/08/2012</t>
  </si>
  <si>
    <t>01/09/2012</t>
  </si>
  <si>
    <t>02/09/2012</t>
  </si>
  <si>
    <t>03/09/2012</t>
  </si>
  <si>
    <t>04/09/2012</t>
  </si>
  <si>
    <t>05/09/2012</t>
  </si>
  <si>
    <t>06/09/2012</t>
  </si>
  <si>
    <t>07/09/2012</t>
  </si>
  <si>
    <t>08/09/2012</t>
  </si>
  <si>
    <t>09/09/2012</t>
  </si>
  <si>
    <t>10/09/2012</t>
  </si>
  <si>
    <t>11/09/2012</t>
  </si>
  <si>
    <t>12/09/2012</t>
  </si>
  <si>
    <t>13/09/2012</t>
  </si>
  <si>
    <t>14/09/2012</t>
  </si>
  <si>
    <t>15/09/2012</t>
  </si>
  <si>
    <t>16/09/2012</t>
  </si>
  <si>
    <t>17/09/2012</t>
  </si>
  <si>
    <t>18/09/2012</t>
  </si>
  <si>
    <t>19/09/2012</t>
  </si>
  <si>
    <t>20/09/2012</t>
  </si>
  <si>
    <t>21/09/2012</t>
  </si>
  <si>
    <t>22/09/2012</t>
  </si>
  <si>
    <t>23/09/2012</t>
  </si>
  <si>
    <t>24/09/2012</t>
  </si>
  <si>
    <t>25/09/2012</t>
  </si>
  <si>
    <t>26/09/2012</t>
  </si>
  <si>
    <t>27/09/2012</t>
  </si>
  <si>
    <t>28/09/2012</t>
  </si>
  <si>
    <t>29/09/2012</t>
  </si>
  <si>
    <t>30/09/2012</t>
  </si>
  <si>
    <t>01/10/2012</t>
  </si>
  <si>
    <t>02/10/2012</t>
  </si>
  <si>
    <t>03/10/2012</t>
  </si>
  <si>
    <t>04/10/2012</t>
  </si>
  <si>
    <t>05/10/2012</t>
  </si>
  <si>
    <t>06/10/2012</t>
  </si>
  <si>
    <t>07/10/2012</t>
  </si>
  <si>
    <t>08/10/2012</t>
  </si>
  <si>
    <t>09/10/2012</t>
  </si>
  <si>
    <t>10/10/2012</t>
  </si>
  <si>
    <t>11/10/2012</t>
  </si>
  <si>
    <t>12/10/2012</t>
  </si>
  <si>
    <t>13/10/2012</t>
  </si>
  <si>
    <t>14/10/2012</t>
  </si>
  <si>
    <t>15/10/2012</t>
  </si>
  <si>
    <t>16/10/2012</t>
  </si>
  <si>
    <t>17/10/2012</t>
  </si>
  <si>
    <t>18/10/2012</t>
  </si>
  <si>
    <t>19/10/2012</t>
  </si>
  <si>
    <t>20/10/2012</t>
  </si>
  <si>
    <t>21/10/2012</t>
  </si>
  <si>
    <t>22/10/2012</t>
  </si>
  <si>
    <t>23/10/2012</t>
  </si>
  <si>
    <t>24/10/2012</t>
  </si>
  <si>
    <t>25/10/2012</t>
  </si>
  <si>
    <t>26/10/2012</t>
  </si>
  <si>
    <t>27/10/2012</t>
  </si>
  <si>
    <t>28/10/2012</t>
  </si>
  <si>
    <t>29/10/2012</t>
  </si>
  <si>
    <t>30/10/2012</t>
  </si>
  <si>
    <t>31/10/2012</t>
  </si>
  <si>
    <t>01/11/2012</t>
  </si>
  <si>
    <t>02/11/2012</t>
  </si>
  <si>
    <t>03/11/2012</t>
  </si>
  <si>
    <t>04/11/2012</t>
  </si>
  <si>
    <t>05/11/2012</t>
  </si>
  <si>
    <t>06/11/2012</t>
  </si>
  <si>
    <t>07/11/2012</t>
  </si>
  <si>
    <t>08/11/2012</t>
  </si>
  <si>
    <t>09/11/2012</t>
  </si>
  <si>
    <t>10/11/2012</t>
  </si>
  <si>
    <t>11/11/2012</t>
  </si>
  <si>
    <t>12/11/2012</t>
  </si>
  <si>
    <t>13/11/2012</t>
  </si>
  <si>
    <t>14/11/2012</t>
  </si>
  <si>
    <t>15/11/2012</t>
  </si>
  <si>
    <t>16/11/2012</t>
  </si>
  <si>
    <t>17/11/2012</t>
  </si>
  <si>
    <t>18/11/2012</t>
  </si>
  <si>
    <t>19/11/2012</t>
  </si>
  <si>
    <t>20/11/2012</t>
  </si>
  <si>
    <t>21/11/2012</t>
  </si>
  <si>
    <t>22/11/2012</t>
  </si>
  <si>
    <t>23/11/2012</t>
  </si>
  <si>
    <t>24/11/2012</t>
  </si>
  <si>
    <t>25/11/2012</t>
  </si>
  <si>
    <t>26/11/2012</t>
  </si>
  <si>
    <t>27/11/2012</t>
  </si>
  <si>
    <t>28/11/2012</t>
  </si>
  <si>
    <t>29/11/2012</t>
  </si>
  <si>
    <t>30/11/2012</t>
  </si>
  <si>
    <t>01/12/2012</t>
  </si>
  <si>
    <t>02/12/2012</t>
  </si>
  <si>
    <t>03/12/2012</t>
  </si>
  <si>
    <t>04/12/2012</t>
  </si>
  <si>
    <t>05/12/2012</t>
  </si>
  <si>
    <t>06/12/2012</t>
  </si>
  <si>
    <t>07/12/2012</t>
  </si>
  <si>
    <t>08/12/2012</t>
  </si>
  <si>
    <t>09/12/2012</t>
  </si>
  <si>
    <t>10/12/2012</t>
  </si>
  <si>
    <t>11/12/2012</t>
  </si>
  <si>
    <t>12/12/2012</t>
  </si>
  <si>
    <t>13/12/2012</t>
  </si>
  <si>
    <t>14/12/2012</t>
  </si>
  <si>
    <t>15/12/2012</t>
  </si>
  <si>
    <t>16/12/2012</t>
  </si>
  <si>
    <t>17/12/2012</t>
  </si>
  <si>
    <t>18/12/2012</t>
  </si>
  <si>
    <t>19/12/2012</t>
  </si>
  <si>
    <t>20/12/2012</t>
  </si>
  <si>
    <t>21/12/2012</t>
  </si>
  <si>
    <t>22/12/2012</t>
  </si>
  <si>
    <t>23/12/2012</t>
  </si>
  <si>
    <t>24/12/2012</t>
  </si>
  <si>
    <t>25/12/2012</t>
  </si>
  <si>
    <t>26/12/2012</t>
  </si>
  <si>
    <t>27/12/2012</t>
  </si>
  <si>
    <t>28/12/2012</t>
  </si>
  <si>
    <t>29/12/2012</t>
  </si>
  <si>
    <t>30/12/2012</t>
  </si>
  <si>
    <t>31/12/2012</t>
  </si>
  <si>
    <t>01/01/2013</t>
  </si>
  <si>
    <t>02/01/2013</t>
  </si>
  <si>
    <t>03/01/2013</t>
  </si>
  <si>
    <t>04/01/2013</t>
  </si>
  <si>
    <t>05/01/2013</t>
  </si>
  <si>
    <t>06/01/2013</t>
  </si>
  <si>
    <t>07/01/2013</t>
  </si>
  <si>
    <t>08/01/2013</t>
  </si>
  <si>
    <t>09/01/2013</t>
  </si>
  <si>
    <t>10/01/2013</t>
  </si>
  <si>
    <t>11/01/2013</t>
  </si>
  <si>
    <t>12/01/2013</t>
  </si>
  <si>
    <t>13/01/2013</t>
  </si>
  <si>
    <t>14/01/2013</t>
  </si>
  <si>
    <t>15/01/2013</t>
  </si>
  <si>
    <t>16/01/2013</t>
  </si>
  <si>
    <t>17/01/2013</t>
  </si>
  <si>
    <t>18/01/2013</t>
  </si>
  <si>
    <t>19/01/2013</t>
  </si>
  <si>
    <t>20/01/2013</t>
  </si>
  <si>
    <t>21/01/2013</t>
  </si>
  <si>
    <t>22/01/2013</t>
  </si>
  <si>
    <t>23/01/2013</t>
  </si>
  <si>
    <t>24/01/2013</t>
  </si>
  <si>
    <t>25/01/2013</t>
  </si>
  <si>
    <t>26/01/2013</t>
  </si>
  <si>
    <t>27/01/2013</t>
  </si>
  <si>
    <t>28/01/2013</t>
  </si>
  <si>
    <t>29/01/2013</t>
  </si>
  <si>
    <t>30/01/2013</t>
  </si>
  <si>
    <t>31/01/2013</t>
  </si>
  <si>
    <t>01/02/2013</t>
  </si>
  <si>
    <t>02/02/2013</t>
  </si>
  <si>
    <t>03/02/2013</t>
  </si>
  <si>
    <t>04/02/2013</t>
  </si>
  <si>
    <t>05/02/2013</t>
  </si>
  <si>
    <t>06/02/2013</t>
  </si>
  <si>
    <t>07/02/2013</t>
  </si>
  <si>
    <t>08/02/2013</t>
  </si>
  <si>
    <t>09/02/2013</t>
  </si>
  <si>
    <t>10/02/2013</t>
  </si>
  <si>
    <t>11/02/2013</t>
  </si>
  <si>
    <t>12/02/2013</t>
  </si>
  <si>
    <t>13/02/2013</t>
  </si>
  <si>
    <t>14/02/2013</t>
  </si>
  <si>
    <t>15/02/2013</t>
  </si>
  <si>
    <t>16/02/2013</t>
  </si>
  <si>
    <t>17/02/2013</t>
  </si>
  <si>
    <t>18/02/2013</t>
  </si>
  <si>
    <t>19/02/2013</t>
  </si>
  <si>
    <t>20/02/2013</t>
  </si>
  <si>
    <t>21/02/2013</t>
  </si>
  <si>
    <t>22/02/2013</t>
  </si>
  <si>
    <t>23/02/2013</t>
  </si>
  <si>
    <t>24/02/2013</t>
  </si>
  <si>
    <t>25/02/2013</t>
  </si>
  <si>
    <t>26/02/2013</t>
  </si>
  <si>
    <t>27/02/2013</t>
  </si>
  <si>
    <t>28/02/2013</t>
  </si>
  <si>
    <t>01/03/2013</t>
  </si>
  <si>
    <t>02/03/2013</t>
  </si>
  <si>
    <t>03/03/2013</t>
  </si>
  <si>
    <t>04/03/2013</t>
  </si>
  <si>
    <t>05/03/2013</t>
  </si>
  <si>
    <t>06/03/2013</t>
  </si>
  <si>
    <t>07/03/2013</t>
  </si>
  <si>
    <t>08/03/2013</t>
  </si>
  <si>
    <t>09/03/2013</t>
  </si>
  <si>
    <t>10/03/2013</t>
  </si>
  <si>
    <t>11/03/2013</t>
  </si>
  <si>
    <t>12/03/2013</t>
  </si>
  <si>
    <t>13/03/2013</t>
  </si>
  <si>
    <t>14/03/2013</t>
  </si>
  <si>
    <t>15/03/2013</t>
  </si>
  <si>
    <t>16/03/2013</t>
  </si>
  <si>
    <t>17/03/2013</t>
  </si>
  <si>
    <t>18/03/2013</t>
  </si>
  <si>
    <t>19/03/2013</t>
  </si>
  <si>
    <t>20/03/2013</t>
  </si>
  <si>
    <t>21/03/2013</t>
  </si>
  <si>
    <t>22/03/2013</t>
  </si>
  <si>
    <t>23/03/2013</t>
  </si>
  <si>
    <t>24/03/2013</t>
  </si>
  <si>
    <t>25/03/2013</t>
  </si>
  <si>
    <t>26/03/2013</t>
  </si>
  <si>
    <t>27/03/2013</t>
  </si>
  <si>
    <t>28/03/2013</t>
  </si>
  <si>
    <t>29/03/2013</t>
  </si>
  <si>
    <t>30/03/2013</t>
  </si>
  <si>
    <t>31/03/2013</t>
  </si>
  <si>
    <t>01/04/2013</t>
  </si>
  <si>
    <t>02/04/2013</t>
  </si>
  <si>
    <t>03/04/2013</t>
  </si>
  <si>
    <t>04/04/2013</t>
  </si>
  <si>
    <t>05/04/2013</t>
  </si>
  <si>
    <t>06/04/2013</t>
  </si>
  <si>
    <t>07/04/2013</t>
  </si>
  <si>
    <t>08/04/2013</t>
  </si>
  <si>
    <t>09/04/2013</t>
  </si>
  <si>
    <t>10/04/2013</t>
  </si>
  <si>
    <t>11/04/2013</t>
  </si>
  <si>
    <t>12/04/2013</t>
  </si>
  <si>
    <t>13/04/2013</t>
  </si>
  <si>
    <t>14/04/2013</t>
  </si>
  <si>
    <t>15/04/2013</t>
  </si>
  <si>
    <t>16/04/2013</t>
  </si>
  <si>
    <t>17/04/2013</t>
  </si>
  <si>
    <t>18/04/2013</t>
  </si>
  <si>
    <t>19/04/2013</t>
  </si>
  <si>
    <t>20/04/2013</t>
  </si>
  <si>
    <t>21/04/2013</t>
  </si>
  <si>
    <t>22/04/2013</t>
  </si>
  <si>
    <t>23/04/2013</t>
  </si>
  <si>
    <t>24/04/2013</t>
  </si>
  <si>
    <t>25/04/2013</t>
  </si>
  <si>
    <t>26/04/2013</t>
  </si>
  <si>
    <t>27/04/2013</t>
  </si>
  <si>
    <t>28/04/2013</t>
  </si>
  <si>
    <t>29/04/2013</t>
  </si>
  <si>
    <t>30/04/2013</t>
  </si>
  <si>
    <t>01/05/2013</t>
  </si>
  <si>
    <t>02/05/2013</t>
  </si>
  <si>
    <t>03/05/2013</t>
  </si>
  <si>
    <t>04/05/2013</t>
  </si>
  <si>
    <t>05/05/2013</t>
  </si>
  <si>
    <t>06/05/2013</t>
  </si>
  <si>
    <t>07/05/2013</t>
  </si>
  <si>
    <t>08/05/2013</t>
  </si>
  <si>
    <t>09/05/2013</t>
  </si>
  <si>
    <t>10/05/2013</t>
  </si>
  <si>
    <t>11/05/2013</t>
  </si>
  <si>
    <t>12/05/2013</t>
  </si>
  <si>
    <t>13/05/2013</t>
  </si>
  <si>
    <t>14/05/2013</t>
  </si>
  <si>
    <t>15/05/2013</t>
  </si>
  <si>
    <t>16/05/2013</t>
  </si>
  <si>
    <t>17/05/2013</t>
  </si>
  <si>
    <t>18/05/2013</t>
  </si>
  <si>
    <t>19/05/2013</t>
  </si>
  <si>
    <t>20/05/2013</t>
  </si>
  <si>
    <t>21/05/2013</t>
  </si>
  <si>
    <t>22/05/2013</t>
  </si>
  <si>
    <t>23/05/2013</t>
  </si>
  <si>
    <t>24/05/2013</t>
  </si>
  <si>
    <t>25/05/2013</t>
  </si>
  <si>
    <t>26/05/2013</t>
  </si>
  <si>
    <t>27/05/2013</t>
  </si>
  <si>
    <t>28/05/2013</t>
  </si>
  <si>
    <t>29/05/2013</t>
  </si>
  <si>
    <t>30/05/2013</t>
  </si>
  <si>
    <t>31/05/2013</t>
  </si>
  <si>
    <t>01/06/2013</t>
  </si>
  <si>
    <t>02/06/2013</t>
  </si>
  <si>
    <t>03/06/2013</t>
  </si>
  <si>
    <t>04/06/2013</t>
  </si>
  <si>
    <t>05/06/2013</t>
  </si>
  <si>
    <t>06/06/2013</t>
  </si>
  <si>
    <t>07/06/2013</t>
  </si>
  <si>
    <t>08/06/2013</t>
  </si>
  <si>
    <t>09/06/2013</t>
  </si>
  <si>
    <t>10/06/2013</t>
  </si>
  <si>
    <t>11/06/2013</t>
  </si>
  <si>
    <t>12/06/2013</t>
  </si>
  <si>
    <t>13/06/2013</t>
  </si>
  <si>
    <t>14/06/2013</t>
  </si>
  <si>
    <t>15/06/2013</t>
  </si>
  <si>
    <t>16/06/2013</t>
  </si>
  <si>
    <t>17/06/2013</t>
  </si>
  <si>
    <t>18/06/2013</t>
  </si>
  <si>
    <t>19/06/2013</t>
  </si>
  <si>
    <t>20/06/2013</t>
  </si>
  <si>
    <t>21/06/2013</t>
  </si>
  <si>
    <t>22/06/2013</t>
  </si>
  <si>
    <t>23/06/2013</t>
  </si>
  <si>
    <t>24/06/2013</t>
  </si>
  <si>
    <t>25/06/2013</t>
  </si>
  <si>
    <t>26/06/2013</t>
  </si>
  <si>
    <t>27/06/2013</t>
  </si>
  <si>
    <t>28/06/2013</t>
  </si>
  <si>
    <t>29/06/2013</t>
  </si>
  <si>
    <t>30/06/2013</t>
  </si>
  <si>
    <t>01/07/2013</t>
  </si>
  <si>
    <t>02/07/2013</t>
  </si>
  <si>
    <t>03/07/2013</t>
  </si>
  <si>
    <t>04/07/2013</t>
  </si>
  <si>
    <t>05/07/2013</t>
  </si>
  <si>
    <t>06/07/2013</t>
  </si>
  <si>
    <t>07/07/2013</t>
  </si>
  <si>
    <t>08/07/2013</t>
  </si>
  <si>
    <t>09/07/2013</t>
  </si>
  <si>
    <t>10/07/2013</t>
  </si>
  <si>
    <t>11/07/2013</t>
  </si>
  <si>
    <t>12/07/2013</t>
  </si>
  <si>
    <t>13/07/2013</t>
  </si>
  <si>
    <t>14/07/2013</t>
  </si>
  <si>
    <t>15/07/2013</t>
  </si>
  <si>
    <t>16/07/2013</t>
  </si>
  <si>
    <t>17/07/2013</t>
  </si>
  <si>
    <t>18/07/2013</t>
  </si>
  <si>
    <t>19/07/2013</t>
  </si>
  <si>
    <t>20/07/2013</t>
  </si>
  <si>
    <t>21/07/2013</t>
  </si>
  <si>
    <t>22/07/2013</t>
  </si>
  <si>
    <t>23/07/2013</t>
  </si>
  <si>
    <t>24/07/2013</t>
  </si>
  <si>
    <t>25/07/2013</t>
  </si>
  <si>
    <t>26/07/2013</t>
  </si>
  <si>
    <t>27/07/2013</t>
  </si>
  <si>
    <t>28/07/2013</t>
  </si>
  <si>
    <t>29/07/2013</t>
  </si>
  <si>
    <t>30/07/2013</t>
  </si>
  <si>
    <t>31/07/2013</t>
  </si>
  <si>
    <t>01/08/2013</t>
  </si>
  <si>
    <t>02/08/2013</t>
  </si>
  <si>
    <t>03/08/2013</t>
  </si>
  <si>
    <t>04/08/2013</t>
  </si>
  <si>
    <t>05/08/2013</t>
  </si>
  <si>
    <t>06/08/2013</t>
  </si>
  <si>
    <t>07/08/2013</t>
  </si>
  <si>
    <t>08/08/2013</t>
  </si>
  <si>
    <t>09/08/2013</t>
  </si>
  <si>
    <t>10/08/2013</t>
  </si>
  <si>
    <t>11/08/2013</t>
  </si>
  <si>
    <t>12/08/2013</t>
  </si>
  <si>
    <t>13/08/2013</t>
  </si>
  <si>
    <t>14/08/2013</t>
  </si>
  <si>
    <t>15/08/2013</t>
  </si>
  <si>
    <t>16/08/2013</t>
  </si>
  <si>
    <t>17/08/2013</t>
  </si>
  <si>
    <t>18/08/2013</t>
  </si>
  <si>
    <t>19/08/2013</t>
  </si>
  <si>
    <t>20/08/2013</t>
  </si>
  <si>
    <t>21/08/2013</t>
  </si>
  <si>
    <t>22/08/2013</t>
  </si>
  <si>
    <t>23/08/2013</t>
  </si>
  <si>
    <t>24/08/2013</t>
  </si>
  <si>
    <t>25/08/2013</t>
  </si>
  <si>
    <t>26/08/2013</t>
  </si>
  <si>
    <t>27/08/2013</t>
  </si>
  <si>
    <t>28/08/2013</t>
  </si>
  <si>
    <t>29/08/2013</t>
  </si>
  <si>
    <t>30/08/2013</t>
  </si>
  <si>
    <t>31/08/2013</t>
  </si>
  <si>
    <t>01/09/2013</t>
  </si>
  <si>
    <t>02/09/2013</t>
  </si>
  <si>
    <t>03/09/2013</t>
  </si>
  <si>
    <t>04/09/2013</t>
  </si>
  <si>
    <t>05/09/2013</t>
  </si>
  <si>
    <t>06/09/2013</t>
  </si>
  <si>
    <t>07/09/2013</t>
  </si>
  <si>
    <t>08/09/2013</t>
  </si>
  <si>
    <t>09/09/2013</t>
  </si>
  <si>
    <t>10/09/2013</t>
  </si>
  <si>
    <t>11/09/2013</t>
  </si>
  <si>
    <t>12/09/2013</t>
  </si>
  <si>
    <t>13/09/2013</t>
  </si>
  <si>
    <t>14/09/2013</t>
  </si>
  <si>
    <t>15/09/2013</t>
  </si>
  <si>
    <t>16/09/2013</t>
  </si>
  <si>
    <t>17/09/2013</t>
  </si>
  <si>
    <t>18/09/2013</t>
  </si>
  <si>
    <t>19/09/2013</t>
  </si>
  <si>
    <t>20/09/2013</t>
  </si>
  <si>
    <t>21/09/2013</t>
  </si>
  <si>
    <t>22/09/2013</t>
  </si>
  <si>
    <t>23/09/2013</t>
  </si>
  <si>
    <t>24/09/2013</t>
  </si>
  <si>
    <t>25/09/2013</t>
  </si>
  <si>
    <t>26/09/2013</t>
  </si>
  <si>
    <t>27/09/2013</t>
  </si>
  <si>
    <t>28/09/2013</t>
  </si>
  <si>
    <t>29/09/2013</t>
  </si>
  <si>
    <t>30/09/2013</t>
  </si>
  <si>
    <t>01/10/2013</t>
  </si>
  <si>
    <t>02/10/2013</t>
  </si>
  <si>
    <t>03/10/2013</t>
  </si>
  <si>
    <t>04/10/2013</t>
  </si>
  <si>
    <t>05/10/2013</t>
  </si>
  <si>
    <t>06/10/2013</t>
  </si>
  <si>
    <t>07/10/2013</t>
  </si>
  <si>
    <t>08/10/2013</t>
  </si>
  <si>
    <t>09/10/2013</t>
  </si>
  <si>
    <t>10/10/2013</t>
  </si>
  <si>
    <t>11/10/2013</t>
  </si>
  <si>
    <t>12/10/2013</t>
  </si>
  <si>
    <t>13/10/2013</t>
  </si>
  <si>
    <t>14/10/2013</t>
  </si>
  <si>
    <t>15/10/2013</t>
  </si>
  <si>
    <t>16/10/2013</t>
  </si>
  <si>
    <t>17/10/2013</t>
  </si>
  <si>
    <t>18/10/2013</t>
  </si>
  <si>
    <t>19/10/2013</t>
  </si>
  <si>
    <t>20/10/2013</t>
  </si>
  <si>
    <t>21/10/2013</t>
  </si>
  <si>
    <t>22/10/2013</t>
  </si>
  <si>
    <t>23/10/2013</t>
  </si>
  <si>
    <t>24/10/2013</t>
  </si>
  <si>
    <t>25/10/2013</t>
  </si>
  <si>
    <t>26/10/2013</t>
  </si>
  <si>
    <t>27/10/2013</t>
  </si>
  <si>
    <t>28/10/2013</t>
  </si>
  <si>
    <t>29/10/2013</t>
  </si>
  <si>
    <t>30/10/2013</t>
  </si>
  <si>
    <t>31/10/2013</t>
  </si>
  <si>
    <t>01/11/2013</t>
  </si>
  <si>
    <t>02/11/2013</t>
  </si>
  <si>
    <t>03/11/2013</t>
  </si>
  <si>
    <t>04/11/2013</t>
  </si>
  <si>
    <t>05/11/2013</t>
  </si>
  <si>
    <t>06/11/2013</t>
  </si>
  <si>
    <t>07/11/2013</t>
  </si>
  <si>
    <t>08/11/2013</t>
  </si>
  <si>
    <t>09/11/2013</t>
  </si>
  <si>
    <t>10/11/2013</t>
  </si>
  <si>
    <t>11/11/2013</t>
  </si>
  <si>
    <t>12/11/2013</t>
  </si>
  <si>
    <t>13/11/2013</t>
  </si>
  <si>
    <t>14/11/2013</t>
  </si>
  <si>
    <t>15/11/2013</t>
  </si>
  <si>
    <t>16/11/2013</t>
  </si>
  <si>
    <t>17/11/2013</t>
  </si>
  <si>
    <t>18/11/2013</t>
  </si>
  <si>
    <t>19/11/2013</t>
  </si>
  <si>
    <t>20/11/2013</t>
  </si>
  <si>
    <t>21/11/2013</t>
  </si>
  <si>
    <t>22/11/2013</t>
  </si>
  <si>
    <t>23/11/2013</t>
  </si>
  <si>
    <t>24/11/2013</t>
  </si>
  <si>
    <t>25/11/2013</t>
  </si>
  <si>
    <t>26/11/2013</t>
  </si>
  <si>
    <t>27/11/2013</t>
  </si>
  <si>
    <t>28/11/2013</t>
  </si>
  <si>
    <t>29/11/2013</t>
  </si>
  <si>
    <t>30/11/2013</t>
  </si>
  <si>
    <t>01/12/2013</t>
  </si>
  <si>
    <t>02/12/2013</t>
  </si>
  <si>
    <t>03/12/2013</t>
  </si>
  <si>
    <t>04/12/2013</t>
  </si>
  <si>
    <t>05/12/2013</t>
  </si>
  <si>
    <t>06/12/2013</t>
  </si>
  <si>
    <t>07/12/2013</t>
  </si>
  <si>
    <t>08/12/2013</t>
  </si>
  <si>
    <t>09/12/2013</t>
  </si>
  <si>
    <t>10/12/2013</t>
  </si>
  <si>
    <t>11/12/2013</t>
  </si>
  <si>
    <t>12/12/2013</t>
  </si>
  <si>
    <t>13/12/2013</t>
  </si>
  <si>
    <t>14/12/2013</t>
  </si>
  <si>
    <t>15/12/2013</t>
  </si>
  <si>
    <t>16/12/2013</t>
  </si>
  <si>
    <t>17/12/2013</t>
  </si>
  <si>
    <t>18/12/2013</t>
  </si>
  <si>
    <t>19/12/2013</t>
  </si>
  <si>
    <t>20/12/2013</t>
  </si>
  <si>
    <t>21/12/2013</t>
  </si>
  <si>
    <t>22/12/2013</t>
  </si>
  <si>
    <t>23/12/2013</t>
  </si>
  <si>
    <t>24/12/2013</t>
  </si>
  <si>
    <t>25/12/2013</t>
  </si>
  <si>
    <t>26/12/2013</t>
  </si>
  <si>
    <t>27/12/2013</t>
  </si>
  <si>
    <t>28/12/2013</t>
  </si>
  <si>
    <t>29/12/2013</t>
  </si>
  <si>
    <t>30/12/2013</t>
  </si>
  <si>
    <t>31/12/2013</t>
  </si>
  <si>
    <t>01/01/2014</t>
  </si>
  <si>
    <t>02/01/2014</t>
  </si>
  <si>
    <t>03/01/2014</t>
  </si>
  <si>
    <t>04/01/2014</t>
  </si>
  <si>
    <t>05/01/2014</t>
  </si>
  <si>
    <t>06/01/2014</t>
  </si>
  <si>
    <t>07/01/2014</t>
  </si>
  <si>
    <t>08/01/2014</t>
  </si>
  <si>
    <t>09/01/2014</t>
  </si>
  <si>
    <t>10/01/2014</t>
  </si>
  <si>
    <t>11/01/2014</t>
  </si>
  <si>
    <t>12/01/2014</t>
  </si>
  <si>
    <t>13/01/2014</t>
  </si>
  <si>
    <t>14/01/2014</t>
  </si>
  <si>
    <t>15/01/2014</t>
  </si>
  <si>
    <t>16/01/2014</t>
  </si>
  <si>
    <t>17/01/2014</t>
  </si>
  <si>
    <t>18/01/2014</t>
  </si>
  <si>
    <t>19/01/2014</t>
  </si>
  <si>
    <t>20/01/2014</t>
  </si>
  <si>
    <t>21/01/2014</t>
  </si>
  <si>
    <t>22/01/2014</t>
  </si>
  <si>
    <t>23/01/2014</t>
  </si>
  <si>
    <t>24/01/2014</t>
  </si>
  <si>
    <t>25/01/2014</t>
  </si>
  <si>
    <t>26/01/2014</t>
  </si>
  <si>
    <t>27/01/2014</t>
  </si>
  <si>
    <t>28/01/2014</t>
  </si>
  <si>
    <t>29/01/2014</t>
  </si>
  <si>
    <t>30/01/2014</t>
  </si>
  <si>
    <t>31/01/2014</t>
  </si>
  <si>
    <t>01/02/2014</t>
  </si>
  <si>
    <t>02/02/2014</t>
  </si>
  <si>
    <t>03/02/2014</t>
  </si>
  <si>
    <t>04/02/2014</t>
  </si>
  <si>
    <t>05/02/2014</t>
  </si>
  <si>
    <t>06/02/2014</t>
  </si>
  <si>
    <t>07/02/2014</t>
  </si>
  <si>
    <t>08/02/2014</t>
  </si>
  <si>
    <t>09/02/2014</t>
  </si>
  <si>
    <t>10/02/2014</t>
  </si>
  <si>
    <t>11/02/2014</t>
  </si>
  <si>
    <t>12/02/2014</t>
  </si>
  <si>
    <t>13/02/2014</t>
  </si>
  <si>
    <t>14/02/2014</t>
  </si>
  <si>
    <t>15/02/2014</t>
  </si>
  <si>
    <t>16/02/2014</t>
  </si>
  <si>
    <t>17/02/2014</t>
  </si>
  <si>
    <t>18/02/2014</t>
  </si>
  <si>
    <t>19/02/2014</t>
  </si>
  <si>
    <t>20/02/2014</t>
  </si>
  <si>
    <t>21/02/2014</t>
  </si>
  <si>
    <t>22/02/2014</t>
  </si>
  <si>
    <t>23/02/2014</t>
  </si>
  <si>
    <t>24/02/2014</t>
  </si>
  <si>
    <t>25/02/2014</t>
  </si>
  <si>
    <t>26/02/2014</t>
  </si>
  <si>
    <t>27/02/2014</t>
  </si>
  <si>
    <t>28/02/2014</t>
  </si>
  <si>
    <t>01/03/2014</t>
  </si>
  <si>
    <t>02/03/2014</t>
  </si>
  <si>
    <t>03/03/2014</t>
  </si>
  <si>
    <t>04/03/2014</t>
  </si>
  <si>
    <t>05/03/2014</t>
  </si>
  <si>
    <t>06/03/2014</t>
  </si>
  <si>
    <t>07/03/2014</t>
  </si>
  <si>
    <t>08/03/2014</t>
  </si>
  <si>
    <t>09/03/2014</t>
  </si>
  <si>
    <t>10/03/2014</t>
  </si>
  <si>
    <t>11/03/2014</t>
  </si>
  <si>
    <t>12/03/2014</t>
  </si>
  <si>
    <t>13/03/2014</t>
  </si>
  <si>
    <t>14/03/2014</t>
  </si>
  <si>
    <t>15/03/2014</t>
  </si>
  <si>
    <t>16/03/2014</t>
  </si>
  <si>
    <t>17/03/2014</t>
  </si>
  <si>
    <t>18/03/2014</t>
  </si>
  <si>
    <t>19/03/2014</t>
  </si>
  <si>
    <t>20/03/2014</t>
  </si>
  <si>
    <t>21/03/2014</t>
  </si>
  <si>
    <t>22/03/2014</t>
  </si>
  <si>
    <t>23/03/2014</t>
  </si>
  <si>
    <t>24/03/2014</t>
  </si>
  <si>
    <t>25/03/2014</t>
  </si>
  <si>
    <t>26/03/2014</t>
  </si>
  <si>
    <t>27/03/2014</t>
  </si>
  <si>
    <t>28/03/2014</t>
  </si>
  <si>
    <t>29/03/2014</t>
  </si>
  <si>
    <t>30/03/2014</t>
  </si>
  <si>
    <t>31/03/2014</t>
  </si>
  <si>
    <t>01/04/2014</t>
  </si>
  <si>
    <t>02/04/2014</t>
  </si>
  <si>
    <t>03/04/2014</t>
  </si>
  <si>
    <t>04/04/2014</t>
  </si>
  <si>
    <t>05/04/2014</t>
  </si>
  <si>
    <t>06/04/2014</t>
  </si>
  <si>
    <t>07/04/2014</t>
  </si>
  <si>
    <t>08/04/2014</t>
  </si>
  <si>
    <t>09/04/2014</t>
  </si>
  <si>
    <t>10/04/2014</t>
  </si>
  <si>
    <t>11/04/2014</t>
  </si>
  <si>
    <t>12/04/2014</t>
  </si>
  <si>
    <t>13/04/2014</t>
  </si>
  <si>
    <t>14/04/2014</t>
  </si>
  <si>
    <t>15/04/2014</t>
  </si>
  <si>
    <t>16/04/2014</t>
  </si>
  <si>
    <t>17/04/2014</t>
  </si>
  <si>
    <t>18/04/2014</t>
  </si>
  <si>
    <t>19/04/2014</t>
  </si>
  <si>
    <t>20/04/2014</t>
  </si>
  <si>
    <t>21/04/2014</t>
  </si>
  <si>
    <t>22/04/2014</t>
  </si>
  <si>
    <t>23/04/2014</t>
  </si>
  <si>
    <t>24/04/2014</t>
  </si>
  <si>
    <t>25/04/2014</t>
  </si>
  <si>
    <t>26/04/2014</t>
  </si>
  <si>
    <t>27/04/2014</t>
  </si>
  <si>
    <t>28/04/2014</t>
  </si>
  <si>
    <t>29/04/2014</t>
  </si>
  <si>
    <t>30/04/2014</t>
  </si>
  <si>
    <t>01/05/2014</t>
  </si>
  <si>
    <t>02/05/2014</t>
  </si>
  <si>
    <t>03/05/2014</t>
  </si>
  <si>
    <t>04/05/2014</t>
  </si>
  <si>
    <t>05/05/2014</t>
  </si>
  <si>
    <t>06/05/2014</t>
  </si>
  <si>
    <t>07/05/2014</t>
  </si>
  <si>
    <t>08/05/2014</t>
  </si>
  <si>
    <t>09/05/2014</t>
  </si>
  <si>
    <t>10/05/2014</t>
  </si>
  <si>
    <t>11/05/2014</t>
  </si>
  <si>
    <t>12/05/2014</t>
  </si>
  <si>
    <t>13/05/2014</t>
  </si>
  <si>
    <t>14/05/2014</t>
  </si>
  <si>
    <t>15/05/2014</t>
  </si>
  <si>
    <t>16/05/2014</t>
  </si>
  <si>
    <t>17/05/2014</t>
  </si>
  <si>
    <t>18/05/2014</t>
  </si>
  <si>
    <t>19/05/2014</t>
  </si>
  <si>
    <t>20/05/2014</t>
  </si>
  <si>
    <t>21/05/2014</t>
  </si>
  <si>
    <t>22/05/2014</t>
  </si>
  <si>
    <t>23/05/2014</t>
  </si>
  <si>
    <t>24/05/2014</t>
  </si>
  <si>
    <t>25/05/2014</t>
  </si>
  <si>
    <t>26/05/2014</t>
  </si>
  <si>
    <t>27/05/2014</t>
  </si>
  <si>
    <t>28/05/2014</t>
  </si>
  <si>
    <t>29/05/2014</t>
  </si>
  <si>
    <t>30/05/2014</t>
  </si>
  <si>
    <t>31/05/2014</t>
  </si>
  <si>
    <t>01/06/2014</t>
  </si>
  <si>
    <t>02/06/2014</t>
  </si>
  <si>
    <t>03/06/2014</t>
  </si>
  <si>
    <t>04/06/2014</t>
  </si>
  <si>
    <t>05/06/2014</t>
  </si>
  <si>
    <t>06/06/2014</t>
  </si>
  <si>
    <t>07/06/2014</t>
  </si>
  <si>
    <t>08/06/2014</t>
  </si>
  <si>
    <t>09/06/2014</t>
  </si>
  <si>
    <t>10/06/2014</t>
  </si>
  <si>
    <t>11/06/2014</t>
  </si>
  <si>
    <t>12/06/2014</t>
  </si>
  <si>
    <t>13/06/2014</t>
  </si>
  <si>
    <t>14/06/2014</t>
  </si>
  <si>
    <t>15/06/2014</t>
  </si>
  <si>
    <t>16/06/2014</t>
  </si>
  <si>
    <t>17/06/2014</t>
  </si>
  <si>
    <t>18/06/2014</t>
  </si>
  <si>
    <t>19/06/2014</t>
  </si>
  <si>
    <t>20/06/2014</t>
  </si>
  <si>
    <t>21/06/2014</t>
  </si>
  <si>
    <t>22/06/2014</t>
  </si>
  <si>
    <t>23/06/2014</t>
  </si>
  <si>
    <t>24/06/2014</t>
  </si>
  <si>
    <t>25/06/2014</t>
  </si>
  <si>
    <t>26/06/2014</t>
  </si>
  <si>
    <t>27/06/2014</t>
  </si>
  <si>
    <t>28/06/2014</t>
  </si>
  <si>
    <t>29/06/2014</t>
  </si>
  <si>
    <t>30/06/2014</t>
  </si>
  <si>
    <t>01/07/2014</t>
  </si>
  <si>
    <t>02/07/2014</t>
  </si>
  <si>
    <t>03/07/2014</t>
  </si>
  <si>
    <t>04/07/2014</t>
  </si>
  <si>
    <t>05/07/2014</t>
  </si>
  <si>
    <t>06/07/2014</t>
  </si>
  <si>
    <t>07/07/2014</t>
  </si>
  <si>
    <t>08/07/2014</t>
  </si>
  <si>
    <t>09/07/2014</t>
  </si>
  <si>
    <t>10/07/2014</t>
  </si>
  <si>
    <t>11/07/2014</t>
  </si>
  <si>
    <t>12/07/2014</t>
  </si>
  <si>
    <t>13/07/2014</t>
  </si>
  <si>
    <t>14/07/2014</t>
  </si>
  <si>
    <t>15/07/2014</t>
  </si>
  <si>
    <t>16/07/2014</t>
  </si>
  <si>
    <t>17/07/2014</t>
  </si>
  <si>
    <t>18/07/2014</t>
  </si>
  <si>
    <t>19/07/2014</t>
  </si>
  <si>
    <t>20/07/2014</t>
  </si>
  <si>
    <t>21/07/2014</t>
  </si>
  <si>
    <t>22/07/2014</t>
  </si>
  <si>
    <t>23/07/2014</t>
  </si>
  <si>
    <t>24/07/2014</t>
  </si>
  <si>
    <t>25/07/2014</t>
  </si>
  <si>
    <t>26/07/2014</t>
  </si>
  <si>
    <t>27/07/2014</t>
  </si>
  <si>
    <t>28/07/2014</t>
  </si>
  <si>
    <t>29/07/2014</t>
  </si>
  <si>
    <t>30/07/2014</t>
  </si>
  <si>
    <t>31/07/2014</t>
  </si>
  <si>
    <t>01/08/2014</t>
  </si>
  <si>
    <t>02/08/2014</t>
  </si>
  <si>
    <t>03/08/2014</t>
  </si>
  <si>
    <t>04/08/2014</t>
  </si>
  <si>
    <t>05/08/2014</t>
  </si>
  <si>
    <t>06/08/2014</t>
  </si>
  <si>
    <t>07/08/2014</t>
  </si>
  <si>
    <t>08/08/2014</t>
  </si>
  <si>
    <t>09/08/2014</t>
  </si>
  <si>
    <t>10/08/2014</t>
  </si>
  <si>
    <t>11/08/2014</t>
  </si>
  <si>
    <t>12/08/2014</t>
  </si>
  <si>
    <t>13/08/2014</t>
  </si>
  <si>
    <t>14/08/2014</t>
  </si>
  <si>
    <t>15/08/2014</t>
  </si>
  <si>
    <t>16/08/2014</t>
  </si>
  <si>
    <t>17/08/2014</t>
  </si>
  <si>
    <t>18/08/2014</t>
  </si>
  <si>
    <t>19/08/2014</t>
  </si>
  <si>
    <t>20/08/2014</t>
  </si>
  <si>
    <t>21/08/2014</t>
  </si>
  <si>
    <t>22/08/2014</t>
  </si>
  <si>
    <t>23/08/2014</t>
  </si>
  <si>
    <t>24/08/2014</t>
  </si>
  <si>
    <t>25/08/2014</t>
  </si>
  <si>
    <t>26/08/2014</t>
  </si>
  <si>
    <t>27/08/2014</t>
  </si>
  <si>
    <t>28/08/2014</t>
  </si>
  <si>
    <t>29/08/2014</t>
  </si>
  <si>
    <t>30/08/2014</t>
  </si>
  <si>
    <t>31/08/2014</t>
  </si>
  <si>
    <t>01/09/2014</t>
  </si>
  <si>
    <t>02/09/2014</t>
  </si>
  <si>
    <t>03/09/2014</t>
  </si>
  <si>
    <t>04/09/2014</t>
  </si>
  <si>
    <t>05/09/2014</t>
  </si>
  <si>
    <t>06/09/2014</t>
  </si>
  <si>
    <t>07/09/2014</t>
  </si>
  <si>
    <t>08/09/2014</t>
  </si>
  <si>
    <t>09/09/2014</t>
  </si>
  <si>
    <t>10/09/2014</t>
  </si>
  <si>
    <t>11/09/2014</t>
  </si>
  <si>
    <t>12/09/2014</t>
  </si>
  <si>
    <t>13/09/2014</t>
  </si>
  <si>
    <t>14/09/2014</t>
  </si>
  <si>
    <t>15/09/2014</t>
  </si>
  <si>
    <t>16/09/2014</t>
  </si>
  <si>
    <t>17/09/2014</t>
  </si>
  <si>
    <t>18/09/2014</t>
  </si>
  <si>
    <t>19/09/2014</t>
  </si>
  <si>
    <t>20/09/2014</t>
  </si>
  <si>
    <t>21/09/2014</t>
  </si>
  <si>
    <t>22/09/2014</t>
  </si>
  <si>
    <t>23/09/2014</t>
  </si>
  <si>
    <t>24/09/2014</t>
  </si>
  <si>
    <t>25/09/2014</t>
  </si>
  <si>
    <t>26/09/2014</t>
  </si>
  <si>
    <t>27/09/2014</t>
  </si>
  <si>
    <t>28/09/2014</t>
  </si>
  <si>
    <t>29/09/2014</t>
  </si>
  <si>
    <t>30/09/2014</t>
  </si>
  <si>
    <t>01/10/2014</t>
  </si>
  <si>
    <t>02/10/2014</t>
  </si>
  <si>
    <t>03/10/2014</t>
  </si>
  <si>
    <t>04/10/2014</t>
  </si>
  <si>
    <t>05/10/2014</t>
  </si>
  <si>
    <t>06/10/2014</t>
  </si>
  <si>
    <t>07/10/2014</t>
  </si>
  <si>
    <t>08/10/2014</t>
  </si>
  <si>
    <t>09/10/2014</t>
  </si>
  <si>
    <t>10/10/2014</t>
  </si>
  <si>
    <t>11/10/2014</t>
  </si>
  <si>
    <t>12/10/2014</t>
  </si>
  <si>
    <t>13/10/2014</t>
  </si>
  <si>
    <t>14/10/2014</t>
  </si>
  <si>
    <t>15/10/2014</t>
  </si>
  <si>
    <t>16/10/2014</t>
  </si>
  <si>
    <t>17/10/2014</t>
  </si>
  <si>
    <t>18/10/2014</t>
  </si>
  <si>
    <t>19/10/2014</t>
  </si>
  <si>
    <t>20/10/2014</t>
  </si>
  <si>
    <t>21/10/2014</t>
  </si>
  <si>
    <t>22/10/2014</t>
  </si>
  <si>
    <t>23/10/2014</t>
  </si>
  <si>
    <t>24/10/2014</t>
  </si>
  <si>
    <t>25/10/2014</t>
  </si>
  <si>
    <t>26/10/2014</t>
  </si>
  <si>
    <t>27/10/2014</t>
  </si>
  <si>
    <t>28/10/2014</t>
  </si>
  <si>
    <t>29/10/2014</t>
  </si>
  <si>
    <t>30/10/2014</t>
  </si>
  <si>
    <t>31/10/2014</t>
  </si>
  <si>
    <t>01/11/2014</t>
  </si>
  <si>
    <t>02/11/2014</t>
  </si>
  <si>
    <t>03/11/2014</t>
  </si>
  <si>
    <t>04/11/2014</t>
  </si>
  <si>
    <t>05/11/2014</t>
  </si>
  <si>
    <t>06/11/2014</t>
  </si>
  <si>
    <t>07/11/2014</t>
  </si>
  <si>
    <t>08/11/2014</t>
  </si>
  <si>
    <t>09/11/2014</t>
  </si>
  <si>
    <t>10/11/2014</t>
  </si>
  <si>
    <t>11/11/2014</t>
  </si>
  <si>
    <t>12/11/2014</t>
  </si>
  <si>
    <t>13/11/2014</t>
  </si>
  <si>
    <t>14/11/2014</t>
  </si>
  <si>
    <t>15/11/2014</t>
  </si>
  <si>
    <t>16/11/2014</t>
  </si>
  <si>
    <t>17/11/2014</t>
  </si>
  <si>
    <t>18/11/2014</t>
  </si>
  <si>
    <t>19/11/2014</t>
  </si>
  <si>
    <t>20/11/2014</t>
  </si>
  <si>
    <t>21/11/2014</t>
  </si>
  <si>
    <t>22/11/2014</t>
  </si>
  <si>
    <t>23/11/2014</t>
  </si>
  <si>
    <t>24/11/2014</t>
  </si>
  <si>
    <t>25/11/2014</t>
  </si>
  <si>
    <t>26/11/2014</t>
  </si>
  <si>
    <t>27/11/2014</t>
  </si>
  <si>
    <t>28/11/2014</t>
  </si>
  <si>
    <t>29/11/2014</t>
  </si>
  <si>
    <t>30/11/2014</t>
  </si>
  <si>
    <t>01/12/2014</t>
  </si>
  <si>
    <t>02/12/2014</t>
  </si>
  <si>
    <t>03/12/2014</t>
  </si>
  <si>
    <t>04/12/2014</t>
  </si>
  <si>
    <t>05/12/2014</t>
  </si>
  <si>
    <t>06/12/2014</t>
  </si>
  <si>
    <t>07/12/2014</t>
  </si>
  <si>
    <t>08/12/2014</t>
  </si>
  <si>
    <t>09/12/2014</t>
  </si>
  <si>
    <t>10/12/2014</t>
  </si>
  <si>
    <t>11/12/2014</t>
  </si>
  <si>
    <t>12/12/2014</t>
  </si>
  <si>
    <t>13/12/2014</t>
  </si>
  <si>
    <t>14/12/2014</t>
  </si>
  <si>
    <t>15/12/2014</t>
  </si>
  <si>
    <t>16/12/2014</t>
  </si>
  <si>
    <t>17/12/2014</t>
  </si>
  <si>
    <t>18/12/2014</t>
  </si>
  <si>
    <t>19/12/2014</t>
  </si>
  <si>
    <t>20/12/2014</t>
  </si>
  <si>
    <t>21/12/2014</t>
  </si>
  <si>
    <t>22/12/2014</t>
  </si>
  <si>
    <t>23/12/2014</t>
  </si>
  <si>
    <t>24/12/2014</t>
  </si>
  <si>
    <t>25/12/2014</t>
  </si>
  <si>
    <t>26/12/2014</t>
  </si>
  <si>
    <t>27/12/2014</t>
  </si>
  <si>
    <t>28/12/2014</t>
  </si>
  <si>
    <t>29/12/2014</t>
  </si>
  <si>
    <t>30/12/2014</t>
  </si>
  <si>
    <t>31/12/2014</t>
  </si>
  <si>
    <t>01/01/2015</t>
  </si>
  <si>
    <t>02/01/2015</t>
  </si>
  <si>
    <t>03/01/2015</t>
  </si>
  <si>
    <t>04/01/2015</t>
  </si>
  <si>
    <t>05/01/2015</t>
  </si>
  <si>
    <t>06/01/2015</t>
  </si>
  <si>
    <t>07/01/2015</t>
  </si>
  <si>
    <t>08/01/2015</t>
  </si>
  <si>
    <t>09/01/2015</t>
  </si>
  <si>
    <t>10/01/2015</t>
  </si>
  <si>
    <t>11/01/2015</t>
  </si>
  <si>
    <t>12/01/2015</t>
  </si>
  <si>
    <t>13/01/2015</t>
  </si>
  <si>
    <t>14/01/2015</t>
  </si>
  <si>
    <t>15/01/2015</t>
  </si>
  <si>
    <t>16/01/2015</t>
  </si>
  <si>
    <t>17/01/2015</t>
  </si>
  <si>
    <t>18/01/2015</t>
  </si>
  <si>
    <t>19/01/2015</t>
  </si>
  <si>
    <t>20/01/2015</t>
  </si>
  <si>
    <t>21/01/2015</t>
  </si>
  <si>
    <t>22/01/2015</t>
  </si>
  <si>
    <t>23/01/2015</t>
  </si>
  <si>
    <t>24/01/2015</t>
  </si>
  <si>
    <t>25/01/2015</t>
  </si>
  <si>
    <t>26/01/2015</t>
  </si>
  <si>
    <t>27/01/2015</t>
  </si>
  <si>
    <t>28/01/2015</t>
  </si>
  <si>
    <t>29/01/2015</t>
  </si>
  <si>
    <t>30/01/2015</t>
  </si>
  <si>
    <t>31/01/2015</t>
  </si>
  <si>
    <t>01/02/2015</t>
  </si>
  <si>
    <t>02/02/2015</t>
  </si>
  <si>
    <t>03/02/2015</t>
  </si>
  <si>
    <t>04/02/2015</t>
  </si>
  <si>
    <t>05/02/2015</t>
  </si>
  <si>
    <t>06/02/2015</t>
  </si>
  <si>
    <t>07/02/2015</t>
  </si>
  <si>
    <t>08/02/2015</t>
  </si>
  <si>
    <t>09/02/2015</t>
  </si>
  <si>
    <t>10/02/2015</t>
  </si>
  <si>
    <t>11/02/2015</t>
  </si>
  <si>
    <t>12/02/2015</t>
  </si>
  <si>
    <t>13/02/2015</t>
  </si>
  <si>
    <t>14/02/2015</t>
  </si>
  <si>
    <t>15/02/2015</t>
  </si>
  <si>
    <t>16/02/2015</t>
  </si>
  <si>
    <t>17/02/2015</t>
  </si>
  <si>
    <t>18/02/2015</t>
  </si>
  <si>
    <t>19/02/2015</t>
  </si>
  <si>
    <t>20/02/2015</t>
  </si>
  <si>
    <t>21/02/2015</t>
  </si>
  <si>
    <t>22/02/2015</t>
  </si>
  <si>
    <t>23/02/2015</t>
  </si>
  <si>
    <t>24/02/2015</t>
  </si>
  <si>
    <t>25/02/2015</t>
  </si>
  <si>
    <t>26/02/2015</t>
  </si>
  <si>
    <t>27/02/2015</t>
  </si>
  <si>
    <t>28/02/2015</t>
  </si>
  <si>
    <t>01/03/2015</t>
  </si>
  <si>
    <t>02/03/2015</t>
  </si>
  <si>
    <t>03/03/2015</t>
  </si>
  <si>
    <t>04/03/2015</t>
  </si>
  <si>
    <t>05/03/2015</t>
  </si>
  <si>
    <t>06/03/2015</t>
  </si>
  <si>
    <t>07/03/2015</t>
  </si>
  <si>
    <t>08/03/2015</t>
  </si>
  <si>
    <t>09/03/2015</t>
  </si>
  <si>
    <t>10/03/2015</t>
  </si>
  <si>
    <t>11/03/2015</t>
  </si>
  <si>
    <t>12/03/2015</t>
  </si>
  <si>
    <t>13/03/2015</t>
  </si>
  <si>
    <t>14/03/2015</t>
  </si>
  <si>
    <t>15/03/2015</t>
  </si>
  <si>
    <t>16/03/2015</t>
  </si>
  <si>
    <t>17/03/2015</t>
  </si>
  <si>
    <t>18/03/2015</t>
  </si>
  <si>
    <t>19/03/2015</t>
  </si>
  <si>
    <t>20/03/2015</t>
  </si>
  <si>
    <t>21/03/2015</t>
  </si>
  <si>
    <t>22/03/2015</t>
  </si>
  <si>
    <t>23/03/2015</t>
  </si>
  <si>
    <t>24/03/2015</t>
  </si>
  <si>
    <t>25/03/2015</t>
  </si>
  <si>
    <t>26/03/2015</t>
  </si>
  <si>
    <t>27/03/2015</t>
  </si>
  <si>
    <t>28/03/2015</t>
  </si>
  <si>
    <t>29/03/2015</t>
  </si>
  <si>
    <t>30/03/2015</t>
  </si>
  <si>
    <t>31/03/2015</t>
  </si>
  <si>
    <t>01/04/2015</t>
  </si>
  <si>
    <t>02/04/2015</t>
  </si>
  <si>
    <t>03/04/2015</t>
  </si>
  <si>
    <t>04/04/2015</t>
  </si>
  <si>
    <t>05/04/2015</t>
  </si>
  <si>
    <t>06/04/2015</t>
  </si>
  <si>
    <t>07/04/2015</t>
  </si>
  <si>
    <t>08/04/2015</t>
  </si>
  <si>
    <t>09/04/2015</t>
  </si>
  <si>
    <t>10/04/2015</t>
  </si>
  <si>
    <t>11/04/2015</t>
  </si>
  <si>
    <t>12/04/2015</t>
  </si>
  <si>
    <t>13/04/2015</t>
  </si>
  <si>
    <t>14/04/2015</t>
  </si>
  <si>
    <t>15/04/2015</t>
  </si>
  <si>
    <t>16/04/2015</t>
  </si>
  <si>
    <t>17/04/2015</t>
  </si>
  <si>
    <t>18/04/2015</t>
  </si>
  <si>
    <t>19/04/2015</t>
  </si>
  <si>
    <t>20/04/2015</t>
  </si>
  <si>
    <t>21/04/2015</t>
  </si>
  <si>
    <t>22/04/2015</t>
  </si>
  <si>
    <t>23/04/2015</t>
  </si>
  <si>
    <t>24/04/2015</t>
  </si>
  <si>
    <t>25/04/2015</t>
  </si>
  <si>
    <t>26/04/2015</t>
  </si>
  <si>
    <t>27/04/2015</t>
  </si>
  <si>
    <t>28/04/2015</t>
  </si>
  <si>
    <t>29/04/2015</t>
  </si>
  <si>
    <t>30/04/2015</t>
  </si>
  <si>
    <t>01/05/2015</t>
  </si>
  <si>
    <t>02/05/2015</t>
  </si>
  <si>
    <t>03/05/2015</t>
  </si>
  <si>
    <t>04/05/2015</t>
  </si>
  <si>
    <t>05/05/2015</t>
  </si>
  <si>
    <t>06/05/2015</t>
  </si>
  <si>
    <t>07/05/2015</t>
  </si>
  <si>
    <t>08/05/2015</t>
  </si>
  <si>
    <t>09/05/2015</t>
  </si>
  <si>
    <t>10/05/2015</t>
  </si>
  <si>
    <t>11/05/2015</t>
  </si>
  <si>
    <t>12/05/2015</t>
  </si>
  <si>
    <t>13/05/2015</t>
  </si>
  <si>
    <t>14/05/2015</t>
  </si>
  <si>
    <t>15/05/2015</t>
  </si>
  <si>
    <t>16/05/2015</t>
  </si>
  <si>
    <t>17/05/2015</t>
  </si>
  <si>
    <t>18/05/2015</t>
  </si>
  <si>
    <t>19/05/2015</t>
  </si>
  <si>
    <t>20/05/2015</t>
  </si>
  <si>
    <t>21/05/2015</t>
  </si>
  <si>
    <t>22/05/2015</t>
  </si>
  <si>
    <t>23/05/2015</t>
  </si>
  <si>
    <t>24/05/2015</t>
  </si>
  <si>
    <t>25/05/2015</t>
  </si>
  <si>
    <t>26/05/2015</t>
  </si>
  <si>
    <t>27/05/2015</t>
  </si>
  <si>
    <t>28/05/2015</t>
  </si>
  <si>
    <t>29/05/2015</t>
  </si>
  <si>
    <t>30/05/2015</t>
  </si>
  <si>
    <t>31/05/2015</t>
  </si>
  <si>
    <t>01/06/2015</t>
  </si>
  <si>
    <t>02/06/2015</t>
  </si>
  <si>
    <t>03/06/2015</t>
  </si>
  <si>
    <t>04/06/2015</t>
  </si>
  <si>
    <t>05/06/2015</t>
  </si>
  <si>
    <t>06/06/2015</t>
  </si>
  <si>
    <t>07/06/2015</t>
  </si>
  <si>
    <t>08/06/2015</t>
  </si>
  <si>
    <t>09/06/2015</t>
  </si>
  <si>
    <t>10/06/2015</t>
  </si>
  <si>
    <t>11/06/2015</t>
  </si>
  <si>
    <t>12/06/2015</t>
  </si>
  <si>
    <t>13/06/2015</t>
  </si>
  <si>
    <t>14/06/2015</t>
  </si>
  <si>
    <t>15/06/2015</t>
  </si>
  <si>
    <t>16/06/2015</t>
  </si>
  <si>
    <t>17/06/2015</t>
  </si>
  <si>
    <t>18/06/2015</t>
  </si>
  <si>
    <t>19/06/2015</t>
  </si>
  <si>
    <t>20/06/2015</t>
  </si>
  <si>
    <t>21/06/2015</t>
  </si>
  <si>
    <t>22/06/2015</t>
  </si>
  <si>
    <t>23/06/2015</t>
  </si>
  <si>
    <t>24/06/2015</t>
  </si>
  <si>
    <t>25/06/2015</t>
  </si>
  <si>
    <t>26/06/2015</t>
  </si>
  <si>
    <t>27/06/2015</t>
  </si>
  <si>
    <t>28/06/2015</t>
  </si>
  <si>
    <t>29/06/2015</t>
  </si>
  <si>
    <t>30/06/2015</t>
  </si>
  <si>
    <t>01/07/2015</t>
  </si>
  <si>
    <t>02/07/2015</t>
  </si>
  <si>
    <t>03/07/2015</t>
  </si>
  <si>
    <t>04/07/2015</t>
  </si>
  <si>
    <t>05/07/2015</t>
  </si>
  <si>
    <t>06/07/2015</t>
  </si>
  <si>
    <t>07/07/2015</t>
  </si>
  <si>
    <t>08/07/2015</t>
  </si>
  <si>
    <t>09/07/2015</t>
  </si>
  <si>
    <t>10/07/2015</t>
  </si>
  <si>
    <t>11/07/2015</t>
  </si>
  <si>
    <t>12/07/2015</t>
  </si>
  <si>
    <t>13/07/2015</t>
  </si>
  <si>
    <t>14/07/2015</t>
  </si>
  <si>
    <t>15/07/2015</t>
  </si>
  <si>
    <t>16/07/2015</t>
  </si>
  <si>
    <t>17/07/2015</t>
  </si>
  <si>
    <t>18/07/2015</t>
  </si>
  <si>
    <t>19/07/2015</t>
  </si>
  <si>
    <t>20/07/2015</t>
  </si>
  <si>
    <t>21/07/2015</t>
  </si>
  <si>
    <t>22/07/2015</t>
  </si>
  <si>
    <t>23/07/2015</t>
  </si>
  <si>
    <t>24/07/2015</t>
  </si>
  <si>
    <t>25/07/2015</t>
  </si>
  <si>
    <t>26/07/2015</t>
  </si>
  <si>
    <t>27/07/2015</t>
  </si>
  <si>
    <t>28/07/2015</t>
  </si>
  <si>
    <t>29/07/2015</t>
  </si>
  <si>
    <t>30/07/2015</t>
  </si>
  <si>
    <t>31/07/2015</t>
  </si>
  <si>
    <t>01/08/2015</t>
  </si>
  <si>
    <t>02/08/2015</t>
  </si>
  <si>
    <t>03/08/2015</t>
  </si>
  <si>
    <t>04/08/2015</t>
  </si>
  <si>
    <t>05/08/2015</t>
  </si>
  <si>
    <t>06/08/2015</t>
  </si>
  <si>
    <t>07/08/2015</t>
  </si>
  <si>
    <t>08/08/2015</t>
  </si>
  <si>
    <t>09/08/2015</t>
  </si>
  <si>
    <t>10/08/2015</t>
  </si>
  <si>
    <t>11/08/2015</t>
  </si>
  <si>
    <t>12/08/2015</t>
  </si>
  <si>
    <t>13/08/2015</t>
  </si>
  <si>
    <t>14/08/2015</t>
  </si>
  <si>
    <t>15/08/2015</t>
  </si>
  <si>
    <t>16/08/2015</t>
  </si>
  <si>
    <t>17/08/2015</t>
  </si>
  <si>
    <t>18/08/2015</t>
  </si>
  <si>
    <t>19/08/2015</t>
  </si>
  <si>
    <t>20/08/2015</t>
  </si>
  <si>
    <t>21/08/2015</t>
  </si>
  <si>
    <t>22/08/2015</t>
  </si>
  <si>
    <t>23/08/2015</t>
  </si>
  <si>
    <t>24/08/2015</t>
  </si>
  <si>
    <t>25/08/2015</t>
  </si>
  <si>
    <t>26/08/2015</t>
  </si>
  <si>
    <t>27/08/2015</t>
  </si>
  <si>
    <t>28/08/2015</t>
  </si>
  <si>
    <t>29/08/2015</t>
  </si>
  <si>
    <t>30/08/2015</t>
  </si>
  <si>
    <t>31/08/2015</t>
  </si>
  <si>
    <t>01/09/2015</t>
  </si>
  <si>
    <t>02/09/2015</t>
  </si>
  <si>
    <t>03/09/2015</t>
  </si>
  <si>
    <t>04/09/2015</t>
  </si>
  <si>
    <t>05/09/2015</t>
  </si>
  <si>
    <t>06/09/2015</t>
  </si>
  <si>
    <t>07/09/2015</t>
  </si>
  <si>
    <t>08/09/2015</t>
  </si>
  <si>
    <t>09/09/2015</t>
  </si>
  <si>
    <t>10/09/2015</t>
  </si>
  <si>
    <t>11/09/2015</t>
  </si>
  <si>
    <t>12/09/2015</t>
  </si>
  <si>
    <t>13/09/2015</t>
  </si>
  <si>
    <t>14/09/2015</t>
  </si>
  <si>
    <t>15/09/2015</t>
  </si>
  <si>
    <t>16/09/2015</t>
  </si>
  <si>
    <t>17/09/2015</t>
  </si>
  <si>
    <t>18/09/2015</t>
  </si>
  <si>
    <t>19/09/2015</t>
  </si>
  <si>
    <t>20/09/2015</t>
  </si>
  <si>
    <t>21/09/2015</t>
  </si>
  <si>
    <t>22/09/2015</t>
  </si>
  <si>
    <t>23/09/2015</t>
  </si>
  <si>
    <t>24/09/2015</t>
  </si>
  <si>
    <t>25/09/2015</t>
  </si>
  <si>
    <t>26/09/2015</t>
  </si>
  <si>
    <t>27/09/2015</t>
  </si>
  <si>
    <t>28/09/2015</t>
  </si>
  <si>
    <t>29/09/2015</t>
  </si>
  <si>
    <t>30/09/2015</t>
  </si>
  <si>
    <t>01/10/2015</t>
  </si>
  <si>
    <t>02/10/2015</t>
  </si>
  <si>
    <t>03/10/2015</t>
  </si>
  <si>
    <t>04/10/2015</t>
  </si>
  <si>
    <t>05/10/2015</t>
  </si>
  <si>
    <t>06/10/2015</t>
  </si>
  <si>
    <t>07/10/2015</t>
  </si>
  <si>
    <t>08/10/2015</t>
  </si>
  <si>
    <t>09/10/2015</t>
  </si>
  <si>
    <t>10/10/2015</t>
  </si>
  <si>
    <t>11/10/2015</t>
  </si>
  <si>
    <t>12/10/2015</t>
  </si>
  <si>
    <t>13/10/2015</t>
  </si>
  <si>
    <t>14/10/2015</t>
  </si>
  <si>
    <t>15/10/2015</t>
  </si>
  <si>
    <t>16/10/2015</t>
  </si>
  <si>
    <t>17/10/2015</t>
  </si>
  <si>
    <t>18/10/2015</t>
  </si>
  <si>
    <t>19/10/2015</t>
  </si>
  <si>
    <t>20/10/2015</t>
  </si>
  <si>
    <t>21/10/2015</t>
  </si>
  <si>
    <t>22/10/2015</t>
  </si>
  <si>
    <t>23/10/2015</t>
  </si>
  <si>
    <t>24/10/2015</t>
  </si>
  <si>
    <t>25/10/2015</t>
  </si>
  <si>
    <t>26/10/2015</t>
  </si>
  <si>
    <t>27/10/2015</t>
  </si>
  <si>
    <t>28/10/2015</t>
  </si>
  <si>
    <t>29/10/2015</t>
  </si>
  <si>
    <t>30/10/2015</t>
  </si>
  <si>
    <t>31/10/2015</t>
  </si>
  <si>
    <t>01/11/2015</t>
  </si>
  <si>
    <t>02/11/2015</t>
  </si>
  <si>
    <t>03/11/2015</t>
  </si>
  <si>
    <t>04/11/2015</t>
  </si>
  <si>
    <t>05/11/2015</t>
  </si>
  <si>
    <t>06/11/2015</t>
  </si>
  <si>
    <t>07/11/2015</t>
  </si>
  <si>
    <t>08/11/2015</t>
  </si>
  <si>
    <t>09/11/2015</t>
  </si>
  <si>
    <t>10/11/2015</t>
  </si>
  <si>
    <t>11/11/2015</t>
  </si>
  <si>
    <t>12/11/2015</t>
  </si>
  <si>
    <t>13/11/2015</t>
  </si>
  <si>
    <t>14/11/2015</t>
  </si>
  <si>
    <t>15/11/2015</t>
  </si>
  <si>
    <t>16/11/2015</t>
  </si>
  <si>
    <t>17/11/2015</t>
  </si>
  <si>
    <t>18/11/2015</t>
  </si>
  <si>
    <t>19/11/2015</t>
  </si>
  <si>
    <t>20/11/2015</t>
  </si>
  <si>
    <t>21/11/2015</t>
  </si>
  <si>
    <t>22/11/2015</t>
  </si>
  <si>
    <t>23/11/2015</t>
  </si>
  <si>
    <t>24/11/2015</t>
  </si>
  <si>
    <t>25/11/2015</t>
  </si>
  <si>
    <t>26/11/2015</t>
  </si>
  <si>
    <t>27/11/2015</t>
  </si>
  <si>
    <t>28/11/2015</t>
  </si>
  <si>
    <t>29/11/2015</t>
  </si>
  <si>
    <t>30/11/2015</t>
  </si>
  <si>
    <t>01/12/2015</t>
  </si>
  <si>
    <t>02/12/2015</t>
  </si>
  <si>
    <t>03/12/2015</t>
  </si>
  <si>
    <t>04/12/2015</t>
  </si>
  <si>
    <t>05/12/2015</t>
  </si>
  <si>
    <t>06/12/2015</t>
  </si>
  <si>
    <t>07/12/2015</t>
  </si>
  <si>
    <t>08/12/2015</t>
  </si>
  <si>
    <t>09/12/2015</t>
  </si>
  <si>
    <t>10/12/2015</t>
  </si>
  <si>
    <t>11/12/2015</t>
  </si>
  <si>
    <t>12/12/2015</t>
  </si>
  <si>
    <t>13/12/2015</t>
  </si>
  <si>
    <t>14/12/2015</t>
  </si>
  <si>
    <t>15/12/2015</t>
  </si>
  <si>
    <t>16/12/2015</t>
  </si>
  <si>
    <t>17/12/2015</t>
  </si>
  <si>
    <t>18/12/2015</t>
  </si>
  <si>
    <t>19/12/2015</t>
  </si>
  <si>
    <t>20/12/2015</t>
  </si>
  <si>
    <t>21/12/2015</t>
  </si>
  <si>
    <t>22/12/2015</t>
  </si>
  <si>
    <t>23/12/2015</t>
  </si>
  <si>
    <t>24/12/2015</t>
  </si>
  <si>
    <t>25/12/2015</t>
  </si>
  <si>
    <t>26/12/2015</t>
  </si>
  <si>
    <t>27/12/2015</t>
  </si>
  <si>
    <t>28/12/2015</t>
  </si>
  <si>
    <t>29/12/2015</t>
  </si>
  <si>
    <t>30/12/2015</t>
  </si>
  <si>
    <t>31/12/2015</t>
  </si>
  <si>
    <t>01/01/2016</t>
  </si>
  <si>
    <t>02/01/2016</t>
  </si>
  <si>
    <t>03/01/2016</t>
  </si>
  <si>
    <t>04/01/2016</t>
  </si>
  <si>
    <t>05/01/2016</t>
  </si>
  <si>
    <t>06/01/2016</t>
  </si>
  <si>
    <t>07/01/2016</t>
  </si>
  <si>
    <t>08/01/2016</t>
  </si>
  <si>
    <t>09/01/2016</t>
  </si>
  <si>
    <t>10/01/2016</t>
  </si>
  <si>
    <t>11/01/2016</t>
  </si>
  <si>
    <t>12/01/2016</t>
  </si>
  <si>
    <t>13/01/2016</t>
  </si>
  <si>
    <t>14/01/2016</t>
  </si>
  <si>
    <t>15/01/2016</t>
  </si>
  <si>
    <t>16/01/2016</t>
  </si>
  <si>
    <t>17/01/2016</t>
  </si>
  <si>
    <t>18/01/2016</t>
  </si>
  <si>
    <t>19/01/2016</t>
  </si>
  <si>
    <t>20/01/2016</t>
  </si>
  <si>
    <t>21/01/2016</t>
  </si>
  <si>
    <t>22/01/2016</t>
  </si>
  <si>
    <t>23/01/2016</t>
  </si>
  <si>
    <t>24/01/2016</t>
  </si>
  <si>
    <t>25/01/2016</t>
  </si>
  <si>
    <t>26/01/2016</t>
  </si>
  <si>
    <t>27/01/2016</t>
  </si>
  <si>
    <t>28/01/2016</t>
  </si>
  <si>
    <t>29/01/2016</t>
  </si>
  <si>
    <t>30/01/2016</t>
  </si>
  <si>
    <t>31/01/2016</t>
  </si>
  <si>
    <t>01/02/2016</t>
  </si>
  <si>
    <t>02/02/2016</t>
  </si>
  <si>
    <t>03/02/2016</t>
  </si>
  <si>
    <t>04/02/2016</t>
  </si>
  <si>
    <t>05/02/2016</t>
  </si>
  <si>
    <t>06/02/2016</t>
  </si>
  <si>
    <t>07/02/2016</t>
  </si>
  <si>
    <t>08/02/2016</t>
  </si>
  <si>
    <t>09/02/2016</t>
  </si>
  <si>
    <t>10/02/2016</t>
  </si>
  <si>
    <t>11/02/2016</t>
  </si>
  <si>
    <t>12/02/2016</t>
  </si>
  <si>
    <t>13/02/2016</t>
  </si>
  <si>
    <t>14/02/2016</t>
  </si>
  <si>
    <t>15/02/2016</t>
  </si>
  <si>
    <t>16/02/2016</t>
  </si>
  <si>
    <t>17/02/2016</t>
  </si>
  <si>
    <t>18/02/2016</t>
  </si>
  <si>
    <t>19/02/2016</t>
  </si>
  <si>
    <t>20/02/2016</t>
  </si>
  <si>
    <t>21/02/2016</t>
  </si>
  <si>
    <t>22/02/2016</t>
  </si>
  <si>
    <t>23/02/2016</t>
  </si>
  <si>
    <t>24/02/2016</t>
  </si>
  <si>
    <t>25/02/2016</t>
  </si>
  <si>
    <t>26/02/2016</t>
  </si>
  <si>
    <t>27/02/2016</t>
  </si>
  <si>
    <t>28/02/2016</t>
  </si>
  <si>
    <t>29/02/2016</t>
  </si>
  <si>
    <t>01/03/2016</t>
  </si>
  <si>
    <t>02/03/2016</t>
  </si>
  <si>
    <t>03/03/2016</t>
  </si>
  <si>
    <t>04/03/2016</t>
  </si>
  <si>
    <t>05/03/2016</t>
  </si>
  <si>
    <t>06/03/2016</t>
  </si>
  <si>
    <t>07/03/2016</t>
  </si>
  <si>
    <t>08/03/2016</t>
  </si>
  <si>
    <t>09/03/2016</t>
  </si>
  <si>
    <t>10/03/2016</t>
  </si>
  <si>
    <t>11/03/2016</t>
  </si>
  <si>
    <t>12/03/2016</t>
  </si>
  <si>
    <t>13/03/2016</t>
  </si>
  <si>
    <t>14/03/2016</t>
  </si>
  <si>
    <t>15/03/2016</t>
  </si>
  <si>
    <t>16/03/2016</t>
  </si>
  <si>
    <t>17/03/2016</t>
  </si>
  <si>
    <t>18/03/2016</t>
  </si>
  <si>
    <t>19/03/2016</t>
  </si>
  <si>
    <t>20/03/2016</t>
  </si>
  <si>
    <t>21/03/2016</t>
  </si>
  <si>
    <t>22/03/2016</t>
  </si>
  <si>
    <t>23/03/2016</t>
  </si>
  <si>
    <t>24/03/2016</t>
  </si>
  <si>
    <t>25/03/2016</t>
  </si>
  <si>
    <t>26/03/2016</t>
  </si>
  <si>
    <t>27/03/2016</t>
  </si>
  <si>
    <t>28/03/2016</t>
  </si>
  <si>
    <t>29/03/2016</t>
  </si>
  <si>
    <t>30/03/2016</t>
  </si>
  <si>
    <t>31/03/2016</t>
  </si>
  <si>
    <t>01/04/2016</t>
  </si>
  <si>
    <t>02/04/2016</t>
  </si>
  <si>
    <t>03/04/2016</t>
  </si>
  <si>
    <t>04/04/2016</t>
  </si>
  <si>
    <t>05/04/2016</t>
  </si>
  <si>
    <t>06/04/2016</t>
  </si>
  <si>
    <t>07/04/2016</t>
  </si>
  <si>
    <t>08/04/2016</t>
  </si>
  <si>
    <t>09/04/2016</t>
  </si>
  <si>
    <t>10/04/2016</t>
  </si>
  <si>
    <t>11/04/2016</t>
  </si>
  <si>
    <t>12/04/2016</t>
  </si>
  <si>
    <t>13/04/2016</t>
  </si>
  <si>
    <t>14/04/2016</t>
  </si>
  <si>
    <t>15/04/2016</t>
  </si>
  <si>
    <t>16/04/2016</t>
  </si>
  <si>
    <t>17/04/2016</t>
  </si>
  <si>
    <t>18/04/2016</t>
  </si>
  <si>
    <t>19/04/2016</t>
  </si>
  <si>
    <t>20/04/2016</t>
  </si>
  <si>
    <t>21/04/2016</t>
  </si>
  <si>
    <t>22/04/2016</t>
  </si>
  <si>
    <t>23/04/2016</t>
  </si>
  <si>
    <t>24/04/2016</t>
  </si>
  <si>
    <t>25/04/2016</t>
  </si>
  <si>
    <t>26/04/2016</t>
  </si>
  <si>
    <t>27/04/2016</t>
  </si>
  <si>
    <t>28/04/2016</t>
  </si>
  <si>
    <t>29/04/2016</t>
  </si>
  <si>
    <t>30/04/2016</t>
  </si>
  <si>
    <t>01/05/2016</t>
  </si>
  <si>
    <t>02/05/2016</t>
  </si>
  <si>
    <t>03/05/2016</t>
  </si>
  <si>
    <t>04/05/2016</t>
  </si>
  <si>
    <t>05/05/2016</t>
  </si>
  <si>
    <t>06/05/2016</t>
  </si>
  <si>
    <t>07/05/2016</t>
  </si>
  <si>
    <t>08/05/2016</t>
  </si>
  <si>
    <t>09/05/2016</t>
  </si>
  <si>
    <t>10/05/2016</t>
  </si>
  <si>
    <t>11/05/2016</t>
  </si>
  <si>
    <t>12/05/2016</t>
  </si>
  <si>
    <t>13/05/2016</t>
  </si>
  <si>
    <t>14/05/2016</t>
  </si>
  <si>
    <t>15/05/2016</t>
  </si>
  <si>
    <t>16/05/2016</t>
  </si>
  <si>
    <t>17/05/2016</t>
  </si>
  <si>
    <t>18/05/2016</t>
  </si>
  <si>
    <t>19/05/2016</t>
  </si>
  <si>
    <t>20/05/2016</t>
  </si>
  <si>
    <t>21/05/2016</t>
  </si>
  <si>
    <t>22/05/2016</t>
  </si>
  <si>
    <t>23/05/2016</t>
  </si>
  <si>
    <t>24/05/2016</t>
  </si>
  <si>
    <t>25/05/2016</t>
  </si>
  <si>
    <t>26/05/2016</t>
  </si>
  <si>
    <t>27/05/2016</t>
  </si>
  <si>
    <t>28/05/2016</t>
  </si>
  <si>
    <t>29/05/2016</t>
  </si>
  <si>
    <t>30/05/2016</t>
  </si>
  <si>
    <t>31/05/2016</t>
  </si>
  <si>
    <t>01/06/2016</t>
  </si>
  <si>
    <t>02/06/2016</t>
  </si>
  <si>
    <t>03/06/2016</t>
  </si>
  <si>
    <t>04/06/2016</t>
  </si>
  <si>
    <t>05/06/2016</t>
  </si>
  <si>
    <t>06/06/2016</t>
  </si>
  <si>
    <t>07/06/2016</t>
  </si>
  <si>
    <t>08/06/2016</t>
  </si>
  <si>
    <t>09/06/2016</t>
  </si>
  <si>
    <t>10/06/2016</t>
  </si>
  <si>
    <t>11/06/2016</t>
  </si>
  <si>
    <t>12/06/2016</t>
  </si>
  <si>
    <t>13/06/2016</t>
  </si>
  <si>
    <t>14/06/2016</t>
  </si>
  <si>
    <t>15/06/2016</t>
  </si>
  <si>
    <t>16/06/2016</t>
  </si>
  <si>
    <t>17/06/2016</t>
  </si>
  <si>
    <t>18/06/2016</t>
  </si>
  <si>
    <t>19/06/2016</t>
  </si>
  <si>
    <t>20/06/2016</t>
  </si>
  <si>
    <t>21/06/2016</t>
  </si>
  <si>
    <t>22/06/2016</t>
  </si>
  <si>
    <t>23/06/2016</t>
  </si>
  <si>
    <t>24/06/2016</t>
  </si>
  <si>
    <t>25/06/2016</t>
  </si>
  <si>
    <t>26/06/2016</t>
  </si>
  <si>
    <t>27/06/2016</t>
  </si>
  <si>
    <t>28/06/2016</t>
  </si>
  <si>
    <t>29/06/2016</t>
  </si>
  <si>
    <t>30/06/2016</t>
  </si>
  <si>
    <t>01/07/2016</t>
  </si>
  <si>
    <t>02/07/2016</t>
  </si>
  <si>
    <t>03/07/2016</t>
  </si>
  <si>
    <t>04/07/2016</t>
  </si>
  <si>
    <t>05/07/2016</t>
  </si>
  <si>
    <t>06/07/2016</t>
  </si>
  <si>
    <t>07/07/2016</t>
  </si>
  <si>
    <t>08/07/2016</t>
  </si>
  <si>
    <t>09/07/2016</t>
  </si>
  <si>
    <t>10/07/2016</t>
  </si>
  <si>
    <t>11/07/2016</t>
  </si>
  <si>
    <t>12/07/2016</t>
  </si>
  <si>
    <t>13/07/2016</t>
  </si>
  <si>
    <t>14/07/2016</t>
  </si>
  <si>
    <t>15/07/2016</t>
  </si>
  <si>
    <t>16/07/2016</t>
  </si>
  <si>
    <t>17/07/2016</t>
  </si>
  <si>
    <t>18/07/2016</t>
  </si>
  <si>
    <t>19/07/2016</t>
  </si>
  <si>
    <t>20/07/2016</t>
  </si>
  <si>
    <t>21/07/2016</t>
  </si>
  <si>
    <t>22/07/2016</t>
  </si>
  <si>
    <t>23/07/2016</t>
  </si>
  <si>
    <t>24/07/2016</t>
  </si>
  <si>
    <t>25/07/2016</t>
  </si>
  <si>
    <t>26/07/2016</t>
  </si>
  <si>
    <t>27/07/2016</t>
  </si>
  <si>
    <t>28/07/2016</t>
  </si>
  <si>
    <t>29/07/2016</t>
  </si>
  <si>
    <t>30/07/2016</t>
  </si>
  <si>
    <t>31/07/2016</t>
  </si>
  <si>
    <t>01/08/2016</t>
  </si>
  <si>
    <t>02/08/2016</t>
  </si>
  <si>
    <t>03/08/2016</t>
  </si>
  <si>
    <t>04/08/2016</t>
  </si>
  <si>
    <t>05/08/2016</t>
  </si>
  <si>
    <t>06/08/2016</t>
  </si>
  <si>
    <t>07/08/2016</t>
  </si>
  <si>
    <t>08/08/2016</t>
  </si>
  <si>
    <t>09/08/2016</t>
  </si>
  <si>
    <t>10/08/2016</t>
  </si>
  <si>
    <t>11/08/2016</t>
  </si>
  <si>
    <t>12/08/2016</t>
  </si>
  <si>
    <t>13/08/2016</t>
  </si>
  <si>
    <t>14/08/2016</t>
  </si>
  <si>
    <t>15/08/2016</t>
  </si>
  <si>
    <t>16/08/2016</t>
  </si>
  <si>
    <t>17/08/2016</t>
  </si>
  <si>
    <t>18/08/2016</t>
  </si>
  <si>
    <t>19/08/2016</t>
  </si>
  <si>
    <t>20/08/2016</t>
  </si>
  <si>
    <t>21/08/2016</t>
  </si>
  <si>
    <t>22/08/2016</t>
  </si>
  <si>
    <t>23/08/2016</t>
  </si>
  <si>
    <t>24/08/2016</t>
  </si>
  <si>
    <t>25/08/2016</t>
  </si>
  <si>
    <t>26/08/2016</t>
  </si>
  <si>
    <t>27/08/2016</t>
  </si>
  <si>
    <t>28/08/2016</t>
  </si>
  <si>
    <t>29/08/2016</t>
  </si>
  <si>
    <t>30/08/2016</t>
  </si>
  <si>
    <t>31/08/2016</t>
  </si>
  <si>
    <t>01/09/2016</t>
  </si>
  <si>
    <t>02/09/2016</t>
  </si>
  <si>
    <t>03/09/2016</t>
  </si>
  <si>
    <t>04/09/2016</t>
  </si>
  <si>
    <t>05/09/2016</t>
  </si>
  <si>
    <t>06/09/2016</t>
  </si>
  <si>
    <t>07/09/2016</t>
  </si>
  <si>
    <t>08/09/2016</t>
  </si>
  <si>
    <t>09/09/2016</t>
  </si>
  <si>
    <t>10/09/2016</t>
  </si>
  <si>
    <t>11/09/2016</t>
  </si>
  <si>
    <t>12/09/2016</t>
  </si>
  <si>
    <t>13/09/2016</t>
  </si>
  <si>
    <t>14/09/2016</t>
  </si>
  <si>
    <t>15/09/2016</t>
  </si>
  <si>
    <t>16/09/2016</t>
  </si>
  <si>
    <t>17/09/2016</t>
  </si>
  <si>
    <t>18/09/2016</t>
  </si>
  <si>
    <t>19/09/2016</t>
  </si>
  <si>
    <t>20/09/2016</t>
  </si>
  <si>
    <t>21/09/2016</t>
  </si>
  <si>
    <t>22/09/2016</t>
  </si>
  <si>
    <t>23/09/2016</t>
  </si>
  <si>
    <t>24/09/2016</t>
  </si>
  <si>
    <t>25/09/2016</t>
  </si>
  <si>
    <t>26/09/2016</t>
  </si>
  <si>
    <t>27/09/2016</t>
  </si>
  <si>
    <t>28/09/2016</t>
  </si>
  <si>
    <t>29/09/2016</t>
  </si>
  <si>
    <t>30/09/2016</t>
  </si>
  <si>
    <t>01/10/2016</t>
  </si>
  <si>
    <t>02/10/2016</t>
  </si>
  <si>
    <t>03/10/2016</t>
  </si>
  <si>
    <t>04/10/2016</t>
  </si>
  <si>
    <t>05/10/2016</t>
  </si>
  <si>
    <t>06/10/2016</t>
  </si>
  <si>
    <t>07/10/2016</t>
  </si>
  <si>
    <t>08/10/2016</t>
  </si>
  <si>
    <t>09/10/2016</t>
  </si>
  <si>
    <t>10/10/2016</t>
  </si>
  <si>
    <t>11/10/2016</t>
  </si>
  <si>
    <t>12/10/2016</t>
  </si>
  <si>
    <t>13/10/2016</t>
  </si>
  <si>
    <t>14/10/2016</t>
  </si>
  <si>
    <t>15/10/2016</t>
  </si>
  <si>
    <t>16/10/2016</t>
  </si>
  <si>
    <t>17/10/2016</t>
  </si>
  <si>
    <t>18/10/2016</t>
  </si>
  <si>
    <t>19/10/2016</t>
  </si>
  <si>
    <t>20/10/2016</t>
  </si>
  <si>
    <t>21/10/2016</t>
  </si>
  <si>
    <t>22/10/2016</t>
  </si>
  <si>
    <t>23/10/2016</t>
  </si>
  <si>
    <t>24/10/2016</t>
  </si>
  <si>
    <t>25/10/2016</t>
  </si>
  <si>
    <t>26/10/2016</t>
  </si>
  <si>
    <t>27/10/2016</t>
  </si>
  <si>
    <t>28/10/2016</t>
  </si>
  <si>
    <t>29/10/2016</t>
  </si>
  <si>
    <t>30/10/2016</t>
  </si>
  <si>
    <t>31/10/2016</t>
  </si>
  <si>
    <t>01/11/2016</t>
  </si>
  <si>
    <t>02/11/2016</t>
  </si>
  <si>
    <t>03/11/2016</t>
  </si>
  <si>
    <t>04/11/2016</t>
  </si>
  <si>
    <t>05/11/2016</t>
  </si>
  <si>
    <t>06/11/2016</t>
  </si>
  <si>
    <t>07/11/2016</t>
  </si>
  <si>
    <t>08/11/2016</t>
  </si>
  <si>
    <t>09/11/2016</t>
  </si>
  <si>
    <t>10/11/2016</t>
  </si>
  <si>
    <t>11/11/2016</t>
  </si>
  <si>
    <t>12/11/2016</t>
  </si>
  <si>
    <t>13/11/2016</t>
  </si>
  <si>
    <t>14/11/2016</t>
  </si>
  <si>
    <t>15/11/2016</t>
  </si>
  <si>
    <t>16/11/2016</t>
  </si>
  <si>
    <t>17/11/2016</t>
  </si>
  <si>
    <t>18/11/2016</t>
  </si>
  <si>
    <t>19/11/2016</t>
  </si>
  <si>
    <t>20/11/2016</t>
  </si>
  <si>
    <t>21/11/2016</t>
  </si>
  <si>
    <t>22/11/2016</t>
  </si>
  <si>
    <t>23/11/2016</t>
  </si>
  <si>
    <t>24/11/2016</t>
  </si>
  <si>
    <t>25/11/2016</t>
  </si>
  <si>
    <t>26/11/2016</t>
  </si>
  <si>
    <t>27/11/2016</t>
  </si>
  <si>
    <t>28/11/2016</t>
  </si>
  <si>
    <t>29/11/2016</t>
  </si>
  <si>
    <t>30/11/2016</t>
  </si>
  <si>
    <t>01/12/2016</t>
  </si>
  <si>
    <t>02/12/2016</t>
  </si>
  <si>
    <t>03/12/2016</t>
  </si>
  <si>
    <t>04/12/2016</t>
  </si>
  <si>
    <t>05/12/2016</t>
  </si>
  <si>
    <t>06/12/2016</t>
  </si>
  <si>
    <t>07/12/2016</t>
  </si>
  <si>
    <t>08/12/2016</t>
  </si>
  <si>
    <t>09/12/2016</t>
  </si>
  <si>
    <t>10/12/2016</t>
  </si>
  <si>
    <t>11/12/2016</t>
  </si>
  <si>
    <t>12/12/2016</t>
  </si>
  <si>
    <t>13/12/2016</t>
  </si>
  <si>
    <t>14/12/2016</t>
  </si>
  <si>
    <t>15/12/2016</t>
  </si>
  <si>
    <t>16/12/2016</t>
  </si>
  <si>
    <t>17/12/2016</t>
  </si>
  <si>
    <t>18/12/2016</t>
  </si>
  <si>
    <t>19/12/2016</t>
  </si>
  <si>
    <t>20/12/2016</t>
  </si>
  <si>
    <t>21/12/2016</t>
  </si>
  <si>
    <t>22/12/2016</t>
  </si>
  <si>
    <t>23/12/2016</t>
  </si>
  <si>
    <t>24/12/2016</t>
  </si>
  <si>
    <t>25/12/2016</t>
  </si>
  <si>
    <t>26/12/2016</t>
  </si>
  <si>
    <t>27/12/2016</t>
  </si>
  <si>
    <t>28/12/2016</t>
  </si>
  <si>
    <t>29/12/2016</t>
  </si>
  <si>
    <t>30/12/2016</t>
  </si>
  <si>
    <t>31/12/2016</t>
  </si>
  <si>
    <t>01/01/2017</t>
  </si>
  <si>
    <t>02/01/2017</t>
  </si>
  <si>
    <t>03/01/2017</t>
  </si>
  <si>
    <t>04/01/2017</t>
  </si>
  <si>
    <t>05/01/2017</t>
  </si>
  <si>
    <t>06/01/2017</t>
  </si>
  <si>
    <t>07/01/2017</t>
  </si>
  <si>
    <t>08/01/2017</t>
  </si>
  <si>
    <t>09/01/2017</t>
  </si>
  <si>
    <t>10/01/2017</t>
  </si>
  <si>
    <t>11/01/2017</t>
  </si>
  <si>
    <t>12/01/2017</t>
  </si>
  <si>
    <t>13/01/2017</t>
  </si>
  <si>
    <t>14/01/2017</t>
  </si>
  <si>
    <t>15/01/2017</t>
  </si>
  <si>
    <t>16/01/2017</t>
  </si>
  <si>
    <t>17/01/2017</t>
  </si>
  <si>
    <t>18/01/2017</t>
  </si>
  <si>
    <t>19/01/2017</t>
  </si>
  <si>
    <t>20/01/2017</t>
  </si>
  <si>
    <t>21/01/2017</t>
  </si>
  <si>
    <t>22/01/2017</t>
  </si>
  <si>
    <t>23/01/2017</t>
  </si>
  <si>
    <t>24/01/2017</t>
  </si>
  <si>
    <t>25/01/2017</t>
  </si>
  <si>
    <t>26/01/2017</t>
  </si>
  <si>
    <t>27/01/2017</t>
  </si>
  <si>
    <t>28/01/2017</t>
  </si>
  <si>
    <t>29/01/2017</t>
  </si>
  <si>
    <t>30/01/2017</t>
  </si>
  <si>
    <t>31/01/2017</t>
  </si>
  <si>
    <t>01/02/2017</t>
  </si>
  <si>
    <t>02/02/2017</t>
  </si>
  <si>
    <t>03/02/2017</t>
  </si>
  <si>
    <t>04/02/2017</t>
  </si>
  <si>
    <t>05/02/2017</t>
  </si>
  <si>
    <t>06/02/2017</t>
  </si>
  <si>
    <t>07/02/2017</t>
  </si>
  <si>
    <t>08/02/2017</t>
  </si>
  <si>
    <t>09/02/2017</t>
  </si>
  <si>
    <t>10/02/2017</t>
  </si>
  <si>
    <t>11/02/2017</t>
  </si>
  <si>
    <t>12/02/2017</t>
  </si>
  <si>
    <t>13/02/2017</t>
  </si>
  <si>
    <t>14/02/2017</t>
  </si>
  <si>
    <t>15/02/2017</t>
  </si>
  <si>
    <t>16/02/2017</t>
  </si>
  <si>
    <t>17/02/2017</t>
  </si>
  <si>
    <t>18/02/2017</t>
  </si>
  <si>
    <t>19/02/2017</t>
  </si>
  <si>
    <t>20/02/2017</t>
  </si>
  <si>
    <t>21/02/2017</t>
  </si>
  <si>
    <t>22/02/2017</t>
  </si>
  <si>
    <t>23/02/2017</t>
  </si>
  <si>
    <t>24/02/2017</t>
  </si>
  <si>
    <t>25/02/2017</t>
  </si>
  <si>
    <t>26/02/2017</t>
  </si>
  <si>
    <t>27/02/2017</t>
  </si>
  <si>
    <t>28/02/2017</t>
  </si>
  <si>
    <t>01/03/2017</t>
  </si>
  <si>
    <t>02/03/2017</t>
  </si>
  <si>
    <t>03/03/2017</t>
  </si>
  <si>
    <t>04/03/2017</t>
  </si>
  <si>
    <t>05/03/2017</t>
  </si>
  <si>
    <t>06/03/2017</t>
  </si>
  <si>
    <t>07/03/2017</t>
  </si>
  <si>
    <t>08/03/2017</t>
  </si>
  <si>
    <t>09/03/2017</t>
  </si>
  <si>
    <t>10/03/2017</t>
  </si>
  <si>
    <t>11/03/2017</t>
  </si>
  <si>
    <t>12/03/2017</t>
  </si>
  <si>
    <t>13/03/2017</t>
  </si>
  <si>
    <t>14/03/2017</t>
  </si>
  <si>
    <t>15/03/2017</t>
  </si>
  <si>
    <t>16/03/2017</t>
  </si>
  <si>
    <t>17/03/2017</t>
  </si>
  <si>
    <t>18/03/2017</t>
  </si>
  <si>
    <t>19/03/2017</t>
  </si>
  <si>
    <t>20/03/2017</t>
  </si>
  <si>
    <t>21/03/2017</t>
  </si>
  <si>
    <t>22/03/2017</t>
  </si>
  <si>
    <t>23/03/2017</t>
  </si>
  <si>
    <t>24/03/2017</t>
  </si>
  <si>
    <t>25/03/2017</t>
  </si>
  <si>
    <t>26/03/2017</t>
  </si>
  <si>
    <t>27/03/2017</t>
  </si>
  <si>
    <t>28/03/2017</t>
  </si>
  <si>
    <t>29/03/2017</t>
  </si>
  <si>
    <t>30/03/2017</t>
  </si>
  <si>
    <t>31/03/2017</t>
  </si>
  <si>
    <t>01/04/2017</t>
  </si>
  <si>
    <t>02/04/2017</t>
  </si>
  <si>
    <t>03/04/2017</t>
  </si>
  <si>
    <t>04/04/2017</t>
  </si>
  <si>
    <t>05/04/2017</t>
  </si>
  <si>
    <t>06/04/2017</t>
  </si>
  <si>
    <t>07/04/2017</t>
  </si>
  <si>
    <t>08/04/2017</t>
  </si>
  <si>
    <t>09/04/2017</t>
  </si>
  <si>
    <t>10/04/2017</t>
  </si>
  <si>
    <t>11/04/2017</t>
  </si>
  <si>
    <t>12/04/2017</t>
  </si>
  <si>
    <t>13/04/2017</t>
  </si>
  <si>
    <t>14/04/2017</t>
  </si>
  <si>
    <t>15/04/2017</t>
  </si>
  <si>
    <t>16/04/2017</t>
  </si>
  <si>
    <t>17/04/2017</t>
  </si>
  <si>
    <t>18/04/2017</t>
  </si>
  <si>
    <t>19/04/2017</t>
  </si>
  <si>
    <t>20/04/2017</t>
  </si>
  <si>
    <t>21/04/2017</t>
  </si>
  <si>
    <t>22/04/2017</t>
  </si>
  <si>
    <t>23/04/2017</t>
  </si>
  <si>
    <t>24/04/2017</t>
  </si>
  <si>
    <t>25/04/2017</t>
  </si>
  <si>
    <t>26/04/2017</t>
  </si>
  <si>
    <t>27/04/2017</t>
  </si>
  <si>
    <t>28/04/2017</t>
  </si>
  <si>
    <t>29/04/2017</t>
  </si>
  <si>
    <t>30/04/2017</t>
  </si>
  <si>
    <t>01/05/2017</t>
  </si>
  <si>
    <t>02/05/2017</t>
  </si>
  <si>
    <t>03/05/2017</t>
  </si>
  <si>
    <t>04/05/2017</t>
  </si>
  <si>
    <t>05/05/2017</t>
  </si>
  <si>
    <t>06/05/2017</t>
  </si>
  <si>
    <t>07/05/2017</t>
  </si>
  <si>
    <t>08/05/2017</t>
  </si>
  <si>
    <t>09/05/2017</t>
  </si>
  <si>
    <t>10/05/2017</t>
  </si>
  <si>
    <t>11/05/2017</t>
  </si>
  <si>
    <t>12/05/2017</t>
  </si>
  <si>
    <t>13/05/2017</t>
  </si>
  <si>
    <t>14/05/2017</t>
  </si>
  <si>
    <t>15/05/2017</t>
  </si>
  <si>
    <t>16/05/2017</t>
  </si>
  <si>
    <t>17/05/2017</t>
  </si>
  <si>
    <t>18/05/2017</t>
  </si>
  <si>
    <t>19/05/2017</t>
  </si>
  <si>
    <t>20/05/2017</t>
  </si>
  <si>
    <t>21/05/2017</t>
  </si>
  <si>
    <t>22/05/2017</t>
  </si>
  <si>
    <t>23/05/2017</t>
  </si>
  <si>
    <t>24/05/2017</t>
  </si>
  <si>
    <t>25/05/2017</t>
  </si>
  <si>
    <t>26/05/2017</t>
  </si>
  <si>
    <t>27/05/2017</t>
  </si>
  <si>
    <t>28/05/2017</t>
  </si>
  <si>
    <t>29/05/2017</t>
  </si>
  <si>
    <t>30/05/2017</t>
  </si>
  <si>
    <t>31/05/2017</t>
  </si>
  <si>
    <t>01/06/2017</t>
  </si>
  <si>
    <t>02/06/2017</t>
  </si>
  <si>
    <t>03/06/2017</t>
  </si>
  <si>
    <t>04/06/2017</t>
  </si>
  <si>
    <t>05/06/2017</t>
  </si>
  <si>
    <t>06/06/2017</t>
  </si>
  <si>
    <t>07/06/2017</t>
  </si>
  <si>
    <t>08/06/2017</t>
  </si>
  <si>
    <t>09/06/2017</t>
  </si>
  <si>
    <t>10/06/2017</t>
  </si>
  <si>
    <t>11/06/2017</t>
  </si>
  <si>
    <t>12/06/2017</t>
  </si>
  <si>
    <t>13/06/2017</t>
  </si>
  <si>
    <t>14/06/2017</t>
  </si>
  <si>
    <t>15/06/2017</t>
  </si>
  <si>
    <t>16/06/2017</t>
  </si>
  <si>
    <t>17/06/2017</t>
  </si>
  <si>
    <t>18/06/2017</t>
  </si>
  <si>
    <t>19/06/2017</t>
  </si>
  <si>
    <t>20/06/2017</t>
  </si>
  <si>
    <t>21/06/2017</t>
  </si>
  <si>
    <t>22/06/2017</t>
  </si>
  <si>
    <t>23/06/2017</t>
  </si>
  <si>
    <t>24/06/2017</t>
  </si>
  <si>
    <t>25/06/2017</t>
  </si>
  <si>
    <t>26/06/2017</t>
  </si>
  <si>
    <t>27/06/2017</t>
  </si>
  <si>
    <t>28/06/2017</t>
  </si>
  <si>
    <t>29/06/2017</t>
  </si>
  <si>
    <t>30/06/2017</t>
  </si>
  <si>
    <t>01/07/2017</t>
  </si>
  <si>
    <t>02/07/2017</t>
  </si>
  <si>
    <t>03/07/2017</t>
  </si>
  <si>
    <t>04/07/2017</t>
  </si>
  <si>
    <t>05/07/2017</t>
  </si>
  <si>
    <t>06/07/2017</t>
  </si>
  <si>
    <t>07/07/2017</t>
  </si>
  <si>
    <t>08/07/2017</t>
  </si>
  <si>
    <t>09/07/2017</t>
  </si>
  <si>
    <t>10/07/2017</t>
  </si>
  <si>
    <t>11/07/2017</t>
  </si>
  <si>
    <t>12/07/2017</t>
  </si>
  <si>
    <t>13/07/2017</t>
  </si>
  <si>
    <t>14/07/2017</t>
  </si>
  <si>
    <t>15/07/2017</t>
  </si>
  <si>
    <t>16/07/2017</t>
  </si>
  <si>
    <t>17/07/2017</t>
  </si>
  <si>
    <t>18/07/2017</t>
  </si>
  <si>
    <t>19/07/2017</t>
  </si>
  <si>
    <t>20/07/2017</t>
  </si>
  <si>
    <t>21/07/2017</t>
  </si>
  <si>
    <t>22/07/2017</t>
  </si>
  <si>
    <t>23/07/2017</t>
  </si>
  <si>
    <t>24/07/2017</t>
  </si>
  <si>
    <t>25/07/2017</t>
  </si>
  <si>
    <t>26/07/2017</t>
  </si>
  <si>
    <t>27/07/2017</t>
  </si>
  <si>
    <t>28/07/2017</t>
  </si>
  <si>
    <t>29/07/2017</t>
  </si>
  <si>
    <t>30/07/2017</t>
  </si>
  <si>
    <t>31/07/2017</t>
  </si>
  <si>
    <t>01/08/2017</t>
  </si>
  <si>
    <t>02/08/2017</t>
  </si>
  <si>
    <t>03/08/2017</t>
  </si>
  <si>
    <t>04/08/2017</t>
  </si>
  <si>
    <t>05/08/2017</t>
  </si>
  <si>
    <t>06/08/2017</t>
  </si>
  <si>
    <t>07/08/2017</t>
  </si>
  <si>
    <t>08/08/2017</t>
  </si>
  <si>
    <t>09/08/2017</t>
  </si>
  <si>
    <t>10/08/2017</t>
  </si>
  <si>
    <t>11/08/2017</t>
  </si>
  <si>
    <t>12/08/2017</t>
  </si>
  <si>
    <t>13/08/2017</t>
  </si>
  <si>
    <t>14/08/2017</t>
  </si>
  <si>
    <t>15/08/2017</t>
  </si>
  <si>
    <t>16/08/2017</t>
  </si>
  <si>
    <t>17/08/2017</t>
  </si>
  <si>
    <t>18/08/2017</t>
  </si>
  <si>
    <t>19/08/2017</t>
  </si>
  <si>
    <t>20/08/2017</t>
  </si>
  <si>
    <t>21/08/2017</t>
  </si>
  <si>
    <t>22/08/2017</t>
  </si>
  <si>
    <t>23/08/2017</t>
  </si>
  <si>
    <t>24/08/2017</t>
  </si>
  <si>
    <t>25/08/2017</t>
  </si>
  <si>
    <t>26/08/2017</t>
  </si>
  <si>
    <t>27/08/2017</t>
  </si>
  <si>
    <t>28/08/2017</t>
  </si>
  <si>
    <t>29/08/2017</t>
  </si>
  <si>
    <t>30/08/2017</t>
  </si>
  <si>
    <t>31/08/2017</t>
  </si>
  <si>
    <t>01/09/2017</t>
  </si>
  <si>
    <t>02/09/2017</t>
  </si>
  <si>
    <t>03/09/2017</t>
  </si>
  <si>
    <t>04/09/2017</t>
  </si>
  <si>
    <t>05/09/2017</t>
  </si>
  <si>
    <t>06/09/2017</t>
  </si>
  <si>
    <t>07/09/2017</t>
  </si>
  <si>
    <t>08/09/2017</t>
  </si>
  <si>
    <t>09/09/2017</t>
  </si>
  <si>
    <t>10/09/2017</t>
  </si>
  <si>
    <t>11/09/2017</t>
  </si>
  <si>
    <t>12/09/2017</t>
  </si>
  <si>
    <t>13/09/2017</t>
  </si>
  <si>
    <t>14/09/2017</t>
  </si>
  <si>
    <t>15/09/2017</t>
  </si>
  <si>
    <t>16/09/2017</t>
  </si>
  <si>
    <t>17/09/2017</t>
  </si>
  <si>
    <t>18/09/2017</t>
  </si>
  <si>
    <t>19/09/2017</t>
  </si>
  <si>
    <t>20/09/2017</t>
  </si>
  <si>
    <t>21/09/2017</t>
  </si>
  <si>
    <t>22/09/2017</t>
  </si>
  <si>
    <t>23/09/2017</t>
  </si>
  <si>
    <t>24/09/2017</t>
  </si>
  <si>
    <t>25/09/2017</t>
  </si>
  <si>
    <t>26/09/2017</t>
  </si>
  <si>
    <t>27/09/2017</t>
  </si>
  <si>
    <t>28/09/2017</t>
  </si>
  <si>
    <t>29/09/2017</t>
  </si>
  <si>
    <t>30/09/2017</t>
  </si>
  <si>
    <t>01/10/2017</t>
  </si>
  <si>
    <t>02/10/2017</t>
  </si>
  <si>
    <t>03/10/2017</t>
  </si>
  <si>
    <t>04/10/2017</t>
  </si>
  <si>
    <t>05/10/2017</t>
  </si>
  <si>
    <t>06/10/2017</t>
  </si>
  <si>
    <t>07/10/2017</t>
  </si>
  <si>
    <t>08/10/2017</t>
  </si>
  <si>
    <t>09/10/2017</t>
  </si>
  <si>
    <t>10/10/2017</t>
  </si>
  <si>
    <t>11/10/2017</t>
  </si>
  <si>
    <t>12/10/2017</t>
  </si>
  <si>
    <t>13/10/2017</t>
  </si>
  <si>
    <t>14/10/2017</t>
  </si>
  <si>
    <t>15/10/2017</t>
  </si>
  <si>
    <t>16/10/2017</t>
  </si>
  <si>
    <t>17/10/2017</t>
  </si>
  <si>
    <t>18/10/2017</t>
  </si>
  <si>
    <t>19/10/2017</t>
  </si>
  <si>
    <t>20/10/2017</t>
  </si>
  <si>
    <t>21/10/2017</t>
  </si>
  <si>
    <t>22/10/2017</t>
  </si>
  <si>
    <t>23/10/2017</t>
  </si>
  <si>
    <t>24/10/2017</t>
  </si>
  <si>
    <t>25/10/2017</t>
  </si>
  <si>
    <t>26/10/2017</t>
  </si>
  <si>
    <t>27/10/2017</t>
  </si>
  <si>
    <t>28/10/2017</t>
  </si>
  <si>
    <t>29/10/2017</t>
  </si>
  <si>
    <t>30/10/2017</t>
  </si>
  <si>
    <t>31/10/2017</t>
  </si>
  <si>
    <t>01/11/2017</t>
  </si>
  <si>
    <t>02/11/2017</t>
  </si>
  <si>
    <t>03/11/2017</t>
  </si>
  <si>
    <t>04/11/2017</t>
  </si>
  <si>
    <t>05/11/2017</t>
  </si>
  <si>
    <t>06/11/2017</t>
  </si>
  <si>
    <t>07/11/2017</t>
  </si>
  <si>
    <t>08/11/2017</t>
  </si>
  <si>
    <t>09/11/2017</t>
  </si>
  <si>
    <t>10/11/2017</t>
  </si>
  <si>
    <t>11/11/2017</t>
  </si>
  <si>
    <t>12/11/2017</t>
  </si>
  <si>
    <t>13/11/2017</t>
  </si>
  <si>
    <t>14/11/2017</t>
  </si>
  <si>
    <t>15/11/2017</t>
  </si>
  <si>
    <t>16/11/2017</t>
  </si>
  <si>
    <t>17/11/2017</t>
  </si>
  <si>
    <t>18/11/2017</t>
  </si>
  <si>
    <t>19/11/2017</t>
  </si>
  <si>
    <t>20/11/2017</t>
  </si>
  <si>
    <t>21/11/2017</t>
  </si>
  <si>
    <t>22/11/2017</t>
  </si>
  <si>
    <t>23/11/2017</t>
  </si>
  <si>
    <t>24/11/2017</t>
  </si>
  <si>
    <t>25/11/2017</t>
  </si>
  <si>
    <t>26/11/2017</t>
  </si>
  <si>
    <t>27/11/2017</t>
  </si>
  <si>
    <t>28/11/2017</t>
  </si>
  <si>
    <t>29/11/2017</t>
  </si>
  <si>
    <t>30/11/2017</t>
  </si>
  <si>
    <t>01/12/2017</t>
  </si>
  <si>
    <t>02/12/2017</t>
  </si>
  <si>
    <t>03/12/2017</t>
  </si>
  <si>
    <t>04/12/2017</t>
  </si>
  <si>
    <t>05/12/2017</t>
  </si>
  <si>
    <t>06/12/2017</t>
  </si>
  <si>
    <t>07/12/2017</t>
  </si>
  <si>
    <t>08/12/2017</t>
  </si>
  <si>
    <t>09/12/2017</t>
  </si>
  <si>
    <t>10/12/2017</t>
  </si>
  <si>
    <t>11/12/2017</t>
  </si>
  <si>
    <t>12/12/2017</t>
  </si>
  <si>
    <t>13/12/2017</t>
  </si>
  <si>
    <t>14/12/2017</t>
  </si>
  <si>
    <t>15/12/2017</t>
  </si>
  <si>
    <t>16/12/2017</t>
  </si>
  <si>
    <t>17/12/2017</t>
  </si>
  <si>
    <t>18/12/2017</t>
  </si>
  <si>
    <t>19/12/2017</t>
  </si>
  <si>
    <t>20/12/2017</t>
  </si>
  <si>
    <t>21/12/2017</t>
  </si>
  <si>
    <t>22/12/2017</t>
  </si>
  <si>
    <t>23/12/2017</t>
  </si>
  <si>
    <t>24/12/2017</t>
  </si>
  <si>
    <t>25/12/2017</t>
  </si>
  <si>
    <t>26/12/2017</t>
  </si>
  <si>
    <t>27/12/2017</t>
  </si>
  <si>
    <t>28/12/2017</t>
  </si>
  <si>
    <t>29/12/2017</t>
  </si>
  <si>
    <t>30/12/2017</t>
  </si>
  <si>
    <t>31/12/2017</t>
  </si>
  <si>
    <t>01/01/2018</t>
  </si>
  <si>
    <t>02/01/2018</t>
  </si>
  <si>
    <t>03/01/2018</t>
  </si>
  <si>
    <t>04/01/2018</t>
  </si>
  <si>
    <t>05/01/2018</t>
  </si>
  <si>
    <t>06/01/2018</t>
  </si>
  <si>
    <t>07/01/2018</t>
  </si>
  <si>
    <t>08/01/2018</t>
  </si>
  <si>
    <t>09/01/2018</t>
  </si>
  <si>
    <t>10/01/2018</t>
  </si>
  <si>
    <t>11/01/2018</t>
  </si>
  <si>
    <t>12/01/2018</t>
  </si>
  <si>
    <t>13/01/2018</t>
  </si>
  <si>
    <t>14/01/2018</t>
  </si>
  <si>
    <t>15/01/2018</t>
  </si>
  <si>
    <t>16/01/2018</t>
  </si>
  <si>
    <t>17/01/2018</t>
  </si>
  <si>
    <t>18/01/2018</t>
  </si>
  <si>
    <t>19/01/2018</t>
  </si>
  <si>
    <t>20/01/2018</t>
  </si>
  <si>
    <t>21/01/2018</t>
  </si>
  <si>
    <t>22/01/2018</t>
  </si>
  <si>
    <t>23/01/2018</t>
  </si>
  <si>
    <t>24/01/2018</t>
  </si>
  <si>
    <t>25/01/2018</t>
  </si>
  <si>
    <t>26/01/2018</t>
  </si>
  <si>
    <t>27/01/2018</t>
  </si>
  <si>
    <t>28/01/2018</t>
  </si>
  <si>
    <t>29/01/2018</t>
  </si>
  <si>
    <t>30/01/2018</t>
  </si>
  <si>
    <t>31/01/2018</t>
  </si>
  <si>
    <t>01/02/2018</t>
  </si>
  <si>
    <t>02/02/2018</t>
  </si>
  <si>
    <t>03/02/2018</t>
  </si>
  <si>
    <t>04/02/2018</t>
  </si>
  <si>
    <t>05/02/2018</t>
  </si>
  <si>
    <t>06/02/2018</t>
  </si>
  <si>
    <t>07/02/2018</t>
  </si>
  <si>
    <t>08/02/2018</t>
  </si>
  <si>
    <t>09/02/2018</t>
  </si>
  <si>
    <t>10/02/2018</t>
  </si>
  <si>
    <t>11/02/2018</t>
  </si>
  <si>
    <t>12/02/2018</t>
  </si>
  <si>
    <t>13/02/2018</t>
  </si>
  <si>
    <t>14/02/2018</t>
  </si>
  <si>
    <t>15/02/2018</t>
  </si>
  <si>
    <t>16/02/2018</t>
  </si>
  <si>
    <t>17/02/2018</t>
  </si>
  <si>
    <t>18/02/2018</t>
  </si>
  <si>
    <t>19/02/2018</t>
  </si>
  <si>
    <t>20/02/2018</t>
  </si>
  <si>
    <t>21/02/2018</t>
  </si>
  <si>
    <t>22/02/2018</t>
  </si>
  <si>
    <t>23/02/2018</t>
  </si>
  <si>
    <t>24/02/2018</t>
  </si>
  <si>
    <t>25/02/2018</t>
  </si>
  <si>
    <t>26/02/2018</t>
  </si>
  <si>
    <t>27/02/2018</t>
  </si>
  <si>
    <t>28/02/2018</t>
  </si>
  <si>
    <t>01/03/2018</t>
  </si>
  <si>
    <t>02/03/2018</t>
  </si>
  <si>
    <t>03/03/2018</t>
  </si>
  <si>
    <t>04/03/2018</t>
  </si>
  <si>
    <t>05/03/2018</t>
  </si>
  <si>
    <t>06/03/2018</t>
  </si>
  <si>
    <t>07/03/2018</t>
  </si>
  <si>
    <t>08/03/2018</t>
  </si>
  <si>
    <t>09/03/2018</t>
  </si>
  <si>
    <t>10/03/2018</t>
  </si>
  <si>
    <t>11/03/2018</t>
  </si>
  <si>
    <t>12/03/2018</t>
  </si>
  <si>
    <t>13/03/2018</t>
  </si>
  <si>
    <t>14/03/2018</t>
  </si>
  <si>
    <t>15/03/2018</t>
  </si>
  <si>
    <t>16/03/2018</t>
  </si>
  <si>
    <t>17/03/2018</t>
  </si>
  <si>
    <t>18/03/2018</t>
  </si>
  <si>
    <t>19/03/2018</t>
  </si>
  <si>
    <t>20/03/2018</t>
  </si>
  <si>
    <t>21/03/2018</t>
  </si>
  <si>
    <t>22/03/2018</t>
  </si>
  <si>
    <t>23/03/2018</t>
  </si>
  <si>
    <t>24/03/2018</t>
  </si>
  <si>
    <t>25/03/2018</t>
  </si>
  <si>
    <t>26/03/2018</t>
  </si>
  <si>
    <t>27/03/2018</t>
  </si>
  <si>
    <t>28/03/2018</t>
  </si>
  <si>
    <t>29/03/2018</t>
  </si>
  <si>
    <t>30/03/2018</t>
  </si>
  <si>
    <t>31/03/2018</t>
  </si>
  <si>
    <t>01/04/2018</t>
  </si>
  <si>
    <t>02/04/2018</t>
  </si>
  <si>
    <t>03/04/2018</t>
  </si>
  <si>
    <t>04/04/2018</t>
  </si>
  <si>
    <t>05/04/2018</t>
  </si>
  <si>
    <t>06/04/2018</t>
  </si>
  <si>
    <t>07/04/2018</t>
  </si>
  <si>
    <t>08/04/2018</t>
  </si>
  <si>
    <t>09/04/2018</t>
  </si>
  <si>
    <t>10/04/2018</t>
  </si>
  <si>
    <t>11/04/2018</t>
  </si>
  <si>
    <t>12/04/2018</t>
  </si>
  <si>
    <t>13/04/2018</t>
  </si>
  <si>
    <t>14/04/2018</t>
  </si>
  <si>
    <t>15/04/2018</t>
  </si>
  <si>
    <t>16/04/2018</t>
  </si>
  <si>
    <t>17/04/2018</t>
  </si>
  <si>
    <t>18/04/2018</t>
  </si>
  <si>
    <t>19/04/2018</t>
  </si>
  <si>
    <t>20/04/2018</t>
  </si>
  <si>
    <t>21/04/2018</t>
  </si>
  <si>
    <t>22/04/2018</t>
  </si>
  <si>
    <t>23/04/2018</t>
  </si>
  <si>
    <t>24/04/2018</t>
  </si>
  <si>
    <t>25/04/2018</t>
  </si>
  <si>
    <t>26/04/2018</t>
  </si>
  <si>
    <t>27/04/2018</t>
  </si>
  <si>
    <t>28/04/2018</t>
  </si>
  <si>
    <t>29/04/2018</t>
  </si>
  <si>
    <t>30/04/2018</t>
  </si>
  <si>
    <t>01/05/2018</t>
  </si>
  <si>
    <t>02/05/2018</t>
  </si>
  <si>
    <t>03/05/2018</t>
  </si>
  <si>
    <t>04/05/2018</t>
  </si>
  <si>
    <t>05/05/2018</t>
  </si>
  <si>
    <t>06/05/2018</t>
  </si>
  <si>
    <t>07/05/2018</t>
  </si>
  <si>
    <t>08/05/2018</t>
  </si>
  <si>
    <t>09/05/2018</t>
  </si>
  <si>
    <t>10/05/2018</t>
  </si>
  <si>
    <t>11/05/2018</t>
  </si>
  <si>
    <t>12/05/2018</t>
  </si>
  <si>
    <t>13/05/2018</t>
  </si>
  <si>
    <t>14/05/2018</t>
  </si>
  <si>
    <t>15/05/2018</t>
  </si>
  <si>
    <t>16/05/2018</t>
  </si>
  <si>
    <t>17/05/2018</t>
  </si>
  <si>
    <t>18/05/2018</t>
  </si>
  <si>
    <t>19/05/2018</t>
  </si>
  <si>
    <t>20/05/2018</t>
  </si>
  <si>
    <t>21/05/2018</t>
  </si>
  <si>
    <t>22/05/2018</t>
  </si>
  <si>
    <t>23/05/2018</t>
  </si>
  <si>
    <t>24/05/2018</t>
  </si>
  <si>
    <t>25/05/2018</t>
  </si>
  <si>
    <t>26/05/2018</t>
  </si>
  <si>
    <t>27/05/2018</t>
  </si>
  <si>
    <t>28/05/2018</t>
  </si>
  <si>
    <t>29/05/2018</t>
  </si>
  <si>
    <t>30/05/2018</t>
  </si>
  <si>
    <t>31/05/2018</t>
  </si>
  <si>
    <t>CPI-U</t>
  </si>
  <si>
    <t>Multiply by to get 2012 Dollars</t>
  </si>
  <si>
    <t>2018 to 2012 USD</t>
  </si>
  <si>
    <t>2019 to 2012 USD</t>
  </si>
  <si>
    <t>2020 to 2012 USD</t>
  </si>
  <si>
    <t>2021 to 2012 USD (est.)</t>
  </si>
  <si>
    <t>2022 to 2012 USD (est)</t>
  </si>
  <si>
    <t>2023 to 2012 USD (est.)</t>
  </si>
  <si>
    <r>
      <t>UPDATED COSTS (20</t>
    </r>
    <r>
      <rPr>
        <i/>
        <sz val="11"/>
        <color theme="1"/>
        <rFont val="Calibri"/>
        <family val="2"/>
      </rPr>
      <t>23)</t>
    </r>
  </si>
  <si>
    <t>Maintenance / Forest management</t>
  </si>
  <si>
    <t>Restoration</t>
  </si>
  <si>
    <t>Avoided deforestation</t>
  </si>
  <si>
    <t>Ecosystem</t>
  </si>
  <si>
    <t>Initial reforestation cost (2023 mxn/ha)</t>
  </si>
  <si>
    <t>Initial reforestation Cost (2012 usd/acre)</t>
  </si>
  <si>
    <t>Annual Maintenance Cost (2023 mxn/ha)</t>
  </si>
  <si>
    <t>Annual Maintenance Cost (2012 usd/acre)</t>
  </si>
  <si>
    <t>Annual Restoration Cost (2023 mxn/ha)</t>
  </si>
  <si>
    <t>Annual Restoration Cost (2012 usd/acre)</t>
  </si>
  <si>
    <t>Annual Protection Cost (2023 mxn/ha)</t>
  </si>
  <si>
    <t>Annual Protection Cost (2012 usd/acre)</t>
  </si>
  <si>
    <t>Weighted average by deforestation by type</t>
  </si>
  <si>
    <t>Conversion factors</t>
  </si>
  <si>
    <t>1ha =</t>
  </si>
  <si>
    <t>acres</t>
  </si>
  <si>
    <t>Years to dilute initial cost</t>
  </si>
  <si>
    <t>Potential reforestation ecosystem</t>
  </si>
  <si>
    <r>
      <t>PREVIOUS DATA (20</t>
    </r>
    <r>
      <rPr>
        <i/>
        <sz val="11"/>
        <color theme="1"/>
        <rFont val="Calibri"/>
        <family val="2"/>
      </rPr>
      <t>14)</t>
    </r>
  </si>
  <si>
    <t>Total Maintenance Cost (2014 mxn/ha)</t>
  </si>
  <si>
    <t>Total Maintenance Cost (2012 usd/acre)</t>
  </si>
  <si>
    <t>Average</t>
  </si>
  <si>
    <t>policy implementation cost ($ / acre)</t>
  </si>
  <si>
    <t>forest set asides</t>
  </si>
  <si>
    <t>afforestation and reforestation</t>
  </si>
  <si>
    <t>improved forest management</t>
  </si>
  <si>
    <t>avoid deforestation</t>
  </si>
  <si>
    <t>peatland restoration</t>
  </si>
  <si>
    <t>forest restoration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</si>
</sst>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 #,##0.00_-;\-* #,##0.00_-;_-* &quot;-&quot;??_-;_-@_-"/>
    <numFmt numFmtId="166" formatCode="_(* #,##0.000_);_(* \(#,##0.000\);_(* &quot;-&quot;??_);_(@_)"/>
    <numFmt numFmtId="167" formatCode="#,##0.0000"/>
    <numFmt numFmtId="168" formatCode="0.0"/>
  </numFmts>
  <fonts count="44">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sz val="11"/>
      <color theme="1"/>
      <name val="Calibri"/>
      <family val="2"/>
      <scheme val="minor"/>
    </font>
    <font>
      <sz val="12"/>
      <color theme="1"/>
      <name val="Calibri"/>
      <family val="2"/>
      <scheme val="minor"/>
    </font>
    <font>
      <sz val="10"/>
      <name val="Arial"/>
      <family val="2"/>
    </font>
    <font>
      <sz val="11"/>
      <color theme="1"/>
      <name val="Calibri"/>
      <family val="2"/>
    </font>
    <font>
      <sz val="11"/>
      <color rgb="FF000000"/>
      <name val="Calibri"/>
      <family val="2"/>
      <scheme val="minor"/>
    </font>
    <font>
      <sz val="10"/>
      <color theme="1"/>
      <name val="Calibri"/>
      <family val="2"/>
      <scheme val="minor"/>
    </font>
    <font>
      <b/>
      <sz val="12"/>
      <color theme="1"/>
      <name val="Calibri"/>
      <family val="2"/>
      <scheme val="minor"/>
    </font>
    <font>
      <b/>
      <sz val="12"/>
      <color rgb="FF2F2F2F"/>
      <name val="Times"/>
    </font>
    <font>
      <b/>
      <sz val="12"/>
      <color rgb="FF2F2F2F"/>
      <name val="Arial"/>
      <family val="2"/>
    </font>
    <font>
      <sz val="12"/>
      <color rgb="FF2F2F2F"/>
      <name val="Arial"/>
      <family val="2"/>
    </font>
    <font>
      <b/>
      <sz val="11"/>
      <color rgb="FF2F2F2F"/>
      <name val="Arial"/>
      <family val="2"/>
    </font>
    <font>
      <sz val="11"/>
      <color rgb="FF2F2F2F"/>
      <name val="Arial"/>
      <family val="2"/>
    </font>
    <font>
      <sz val="11"/>
      <color rgb="FF000000"/>
      <name val="Arial"/>
      <family val="2"/>
    </font>
    <font>
      <b/>
      <sz val="11"/>
      <color rgb="FF000000"/>
      <name val="Arial"/>
      <family val="2"/>
    </font>
    <font>
      <b/>
      <sz val="10"/>
      <color rgb="FF000000"/>
      <name val="Arial"/>
      <family val="2"/>
    </font>
    <font>
      <sz val="10"/>
      <color rgb="FF000000"/>
      <name val="Arial"/>
      <family val="2"/>
    </font>
    <font>
      <sz val="10"/>
      <color rgb="FF2F2F2F"/>
      <name val="Arial"/>
      <family val="2"/>
    </font>
    <font>
      <sz val="11"/>
      <color rgb="FF2F2F2F"/>
      <name val="Times New Roman"/>
      <family val="1"/>
    </font>
    <font>
      <sz val="12"/>
      <color rgb="FF408466"/>
      <name val="Helvetica Neue"/>
      <family val="2"/>
    </font>
    <font>
      <sz val="12"/>
      <color rgb="FF333333"/>
      <name val="Helvetica Neue"/>
      <family val="2"/>
    </font>
    <font>
      <b/>
      <sz val="14"/>
      <color rgb="FF408466"/>
      <name val="Helvetica Neue"/>
      <family val="2"/>
    </font>
    <font>
      <sz val="14"/>
      <color rgb="FF333333"/>
      <name val="Helvetica Neue"/>
      <family val="2"/>
    </font>
    <font>
      <b/>
      <sz val="9"/>
      <color indexed="53"/>
      <name val="Arial"/>
      <family val="2"/>
    </font>
    <font>
      <b/>
      <sz val="10"/>
      <name val="Arial"/>
      <family val="2"/>
    </font>
    <font>
      <b/>
      <sz val="9"/>
      <color indexed="9"/>
      <name val="Arial"/>
      <family val="2"/>
    </font>
    <font>
      <b/>
      <sz val="9"/>
      <color theme="2" tint="-0.249977111117893"/>
      <name val="Arial"/>
      <family val="2"/>
    </font>
    <font>
      <b/>
      <sz val="9"/>
      <name val="Arial"/>
      <family val="2"/>
    </font>
    <font>
      <b/>
      <sz val="9"/>
      <color theme="2" tint="-9.9978637043366805E-2"/>
      <name val="Arial"/>
      <family val="2"/>
    </font>
    <font>
      <sz val="10"/>
      <color theme="2" tint="-0.249977111117893"/>
      <name val="Arial"/>
      <family val="2"/>
    </font>
    <font>
      <sz val="11"/>
      <color theme="2" tint="-9.9978637043366805E-2"/>
      <name val="Calibri"/>
      <family val="2"/>
      <scheme val="minor"/>
    </font>
    <font>
      <sz val="9"/>
      <color theme="2" tint="-0.249977111117893"/>
      <name val="Arial"/>
      <family val="2"/>
    </font>
    <font>
      <sz val="9"/>
      <name val="Arial"/>
      <family val="2"/>
    </font>
    <font>
      <sz val="9"/>
      <color theme="2" tint="-9.9978637043366805E-2"/>
      <name val="Arial"/>
      <family val="2"/>
    </font>
    <font>
      <i/>
      <sz val="11"/>
      <color theme="1"/>
      <name val="Calibri"/>
      <family val="2"/>
    </font>
    <font>
      <b/>
      <sz val="11"/>
      <color theme="1"/>
      <name val="Calibri"/>
      <family val="2"/>
    </font>
    <font>
      <b/>
      <sz val="11"/>
      <name val="Calibri"/>
      <family val="2"/>
    </font>
    <font>
      <sz val="11"/>
      <name val="Calibri"/>
      <family val="2"/>
    </font>
  </fonts>
  <fills count="14">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7"/>
        <bgColor indexed="64"/>
      </patternFill>
    </fill>
    <fill>
      <patternFill patternType="solid">
        <fgColor theme="4" tint="0.79998168889431442"/>
        <bgColor indexed="64"/>
      </patternFill>
    </fill>
    <fill>
      <patternFill patternType="solid">
        <fgColor indexed="55"/>
      </patternFill>
    </fill>
    <fill>
      <patternFill patternType="solid">
        <fgColor indexed="55"/>
        <bgColor indexed="64"/>
      </patternFill>
    </fill>
    <fill>
      <patternFill patternType="solid">
        <fgColor indexed="22"/>
      </patternFill>
    </fill>
    <fill>
      <patternFill patternType="solid">
        <fgColor indexed="22"/>
        <bgColor indexed="64"/>
      </patternFill>
    </fill>
    <fill>
      <patternFill patternType="solid">
        <fgColor indexed="9"/>
      </patternFill>
    </fill>
    <fill>
      <patternFill patternType="solid">
        <fgColor indexed="9"/>
        <bgColor indexed="64"/>
      </patternFill>
    </fill>
    <fill>
      <patternFill patternType="solid">
        <fgColor theme="0" tint="-0.34998626667073579"/>
        <bgColor indexed="64"/>
      </patternFill>
    </fill>
  </fills>
  <borders count="7">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6">
    <xf numFmtId="0" fontId="0" fillId="0" borderId="0"/>
    <xf numFmtId="0" fontId="3" fillId="0" borderId="0" applyNumberFormat="0" applyFill="0" applyBorder="0" applyAlignment="0" applyProtection="0"/>
    <xf numFmtId="0" fontId="4" fillId="0" borderId="2" applyNumberFormat="0" applyFont="0" applyProtection="0">
      <alignment wrapText="1"/>
    </xf>
    <xf numFmtId="0" fontId="4" fillId="0" borderId="0" applyNumberFormat="0" applyFill="0" applyBorder="0" applyAlignment="0" applyProtection="0"/>
    <xf numFmtId="0" fontId="4" fillId="0" borderId="3" applyNumberFormat="0" applyProtection="0">
      <alignment vertical="top" wrapText="1"/>
    </xf>
    <xf numFmtId="0" fontId="5" fillId="0" borderId="1" applyNumberFormat="0" applyProtection="0">
      <alignment wrapText="1"/>
    </xf>
    <xf numFmtId="0" fontId="5" fillId="0" borderId="4" applyNumberFormat="0" applyProtection="0">
      <alignment wrapText="1"/>
    </xf>
    <xf numFmtId="0" fontId="6" fillId="0" borderId="0" applyNumberFormat="0" applyProtection="0">
      <alignment horizontal="left"/>
    </xf>
    <xf numFmtId="0" fontId="8" fillId="0" borderId="0"/>
    <xf numFmtId="43" fontId="8" fillId="0" borderId="0" applyFont="0" applyFill="0" applyBorder="0" applyAlignment="0" applyProtection="0"/>
    <xf numFmtId="44" fontId="8" fillId="0" borderId="0" applyFont="0" applyFill="0" applyBorder="0" applyAlignment="0" applyProtection="0"/>
    <xf numFmtId="9" fontId="7" fillId="0" borderId="0" applyFont="0" applyFill="0" applyBorder="0" applyAlignment="0" applyProtection="0"/>
    <xf numFmtId="0" fontId="11" fillId="0" borderId="0"/>
    <xf numFmtId="0" fontId="9" fillId="0" borderId="0"/>
    <xf numFmtId="165" fontId="7" fillId="0" borderId="0" applyFont="0" applyFill="0" applyBorder="0" applyAlignment="0" applyProtection="0"/>
    <xf numFmtId="0" fontId="7" fillId="0" borderId="0"/>
  </cellStyleXfs>
  <cellXfs count="106">
    <xf numFmtId="0" fontId="0" fillId="0" borderId="0" xfId="0"/>
    <xf numFmtId="0" fontId="2" fillId="0" borderId="0" xfId="0" applyFont="1"/>
    <xf numFmtId="0" fontId="2" fillId="2" borderId="0" xfId="0" applyFont="1" applyFill="1"/>
    <xf numFmtId="2" fontId="0" fillId="0" borderId="0" xfId="0" applyNumberFormat="1"/>
    <xf numFmtId="0" fontId="3" fillId="0" borderId="0" xfId="1"/>
    <xf numFmtId="43" fontId="0" fillId="0" borderId="0" xfId="0" applyNumberFormat="1"/>
    <xf numFmtId="1" fontId="0" fillId="0" borderId="0" xfId="0" applyNumberFormat="1"/>
    <xf numFmtId="0" fontId="0" fillId="0" borderId="0" xfId="0" applyAlignment="1">
      <alignment horizontal="left"/>
    </xf>
    <xf numFmtId="0" fontId="14" fillId="0" borderId="0" xfId="0" applyFont="1"/>
    <xf numFmtId="0" fontId="15" fillId="0" borderId="0" xfId="0" applyFont="1"/>
    <xf numFmtId="0" fontId="17" fillId="0" borderId="0" xfId="0" applyFont="1"/>
    <xf numFmtId="0" fontId="19" fillId="0" borderId="0" xfId="0" applyFont="1"/>
    <xf numFmtId="0" fontId="18" fillId="0" borderId="0" xfId="0" applyFont="1"/>
    <xf numFmtId="0" fontId="20" fillId="0" borderId="0" xfId="0" applyFont="1"/>
    <xf numFmtId="4" fontId="19" fillId="0" borderId="0" xfId="0" applyNumberFormat="1" applyFont="1"/>
    <xf numFmtId="0" fontId="18" fillId="3" borderId="0" xfId="0" applyFont="1" applyFill="1"/>
    <xf numFmtId="0" fontId="0" fillId="3" borderId="0" xfId="0" applyFill="1"/>
    <xf numFmtId="0" fontId="1" fillId="0" borderId="0" xfId="0" applyFont="1"/>
    <xf numFmtId="0" fontId="21" fillId="0" borderId="0" xfId="0" applyFont="1"/>
    <xf numFmtId="0" fontId="19" fillId="3" borderId="0" xfId="0" applyFont="1" applyFill="1"/>
    <xf numFmtId="0" fontId="22" fillId="0" borderId="0" xfId="0" applyFont="1"/>
    <xf numFmtId="4" fontId="22" fillId="0" borderId="0" xfId="0" applyNumberFormat="1" applyFont="1"/>
    <xf numFmtId="0" fontId="23" fillId="0" borderId="0" xfId="0" applyFont="1"/>
    <xf numFmtId="0" fontId="12" fillId="0" borderId="0" xfId="0" applyFont="1"/>
    <xf numFmtId="3" fontId="19" fillId="0" borderId="0" xfId="0" applyNumberFormat="1" applyFont="1"/>
    <xf numFmtId="0" fontId="20" fillId="0" borderId="0" xfId="0" applyFont="1" applyAlignment="1">
      <alignment horizontal="right"/>
    </xf>
    <xf numFmtId="4" fontId="20" fillId="0" borderId="0" xfId="0" applyNumberFormat="1" applyFont="1"/>
    <xf numFmtId="4" fontId="0" fillId="0" borderId="0" xfId="0" applyNumberFormat="1"/>
    <xf numFmtId="0" fontId="24" fillId="0" borderId="0" xfId="0" applyFont="1"/>
    <xf numFmtId="0" fontId="25" fillId="0" borderId="0" xfId="0" applyFont="1"/>
    <xf numFmtId="0" fontId="27" fillId="0" borderId="0" xfId="0" applyFont="1"/>
    <xf numFmtId="0" fontId="28" fillId="0" borderId="0" xfId="0" applyFont="1"/>
    <xf numFmtId="3" fontId="28" fillId="0" borderId="0" xfId="0" applyNumberFormat="1" applyFont="1"/>
    <xf numFmtId="0" fontId="10" fillId="5" borderId="5" xfId="0" applyFont="1" applyFill="1" applyBorder="1"/>
    <xf numFmtId="3" fontId="10" fillId="5" borderId="0" xfId="0" applyNumberFormat="1" applyFont="1" applyFill="1"/>
    <xf numFmtId="9" fontId="0" fillId="5" borderId="0" xfId="11" applyFont="1" applyFill="1"/>
    <xf numFmtId="0" fontId="10" fillId="5" borderId="0" xfId="0" applyFont="1" applyFill="1"/>
    <xf numFmtId="3" fontId="0" fillId="0" borderId="0" xfId="0" applyNumberFormat="1"/>
    <xf numFmtId="0" fontId="13" fillId="0" borderId="0" xfId="0" applyFont="1"/>
    <xf numFmtId="0" fontId="29" fillId="0" borderId="0" xfId="13" applyFont="1" applyAlignment="1">
      <alignment horizontal="left"/>
    </xf>
    <xf numFmtId="0" fontId="9" fillId="0" borderId="0" xfId="13"/>
    <xf numFmtId="0" fontId="30" fillId="6" borderId="0" xfId="13" applyFont="1" applyFill="1"/>
    <xf numFmtId="0" fontId="9" fillId="6" borderId="0" xfId="13" applyFill="1"/>
    <xf numFmtId="166" fontId="9" fillId="6" borderId="0" xfId="14" applyNumberFormat="1" applyFont="1" applyFill="1"/>
    <xf numFmtId="0" fontId="9" fillId="4" borderId="0" xfId="13" applyFill="1"/>
    <xf numFmtId="166" fontId="9" fillId="4" borderId="0" xfId="14" applyNumberFormat="1" applyFont="1" applyFill="1"/>
    <xf numFmtId="0" fontId="30" fillId="4" borderId="0" xfId="13" applyFont="1" applyFill="1"/>
    <xf numFmtId="0" fontId="31" fillId="7" borderId="0" xfId="13" applyFont="1" applyFill="1" applyAlignment="1">
      <alignment horizontal="left"/>
    </xf>
    <xf numFmtId="0" fontId="31" fillId="7" borderId="0" xfId="13" applyFont="1" applyFill="1" applyAlignment="1">
      <alignment horizontal="center"/>
    </xf>
    <xf numFmtId="0" fontId="31" fillId="8" borderId="0" xfId="0" applyFont="1" applyFill="1" applyAlignment="1">
      <alignment horizontal="center"/>
    </xf>
    <xf numFmtId="0" fontId="32" fillId="0" borderId="0" xfId="13" applyFont="1" applyAlignment="1">
      <alignment horizontal="center" wrapText="1"/>
    </xf>
    <xf numFmtId="0" fontId="33" fillId="0" borderId="0" xfId="13" applyFont="1" applyAlignment="1">
      <alignment horizontal="center" wrapText="1"/>
    </xf>
    <xf numFmtId="0" fontId="34" fillId="0" borderId="0" xfId="0" applyFont="1" applyAlignment="1">
      <alignment horizontal="center" wrapText="1"/>
    </xf>
    <xf numFmtId="0" fontId="33" fillId="0" borderId="0" xfId="0" applyFont="1" applyAlignment="1">
      <alignment horizontal="center"/>
    </xf>
    <xf numFmtId="0" fontId="33" fillId="0" borderId="0" xfId="0" applyFont="1" applyAlignment="1">
      <alignment horizontal="center" wrapText="1"/>
    </xf>
    <xf numFmtId="0" fontId="35" fillId="0" borderId="0" xfId="13" applyFont="1"/>
    <xf numFmtId="0" fontId="36" fillId="0" borderId="0" xfId="0" applyFont="1"/>
    <xf numFmtId="0" fontId="37" fillId="9" borderId="0" xfId="13" applyFont="1" applyFill="1" applyAlignment="1">
      <alignment horizontal="right"/>
    </xf>
    <xf numFmtId="14" fontId="38" fillId="9" borderId="0" xfId="13" applyNumberFormat="1" applyFont="1" applyFill="1" applyAlignment="1">
      <alignment horizontal="right"/>
    </xf>
    <xf numFmtId="0" fontId="33" fillId="9" borderId="0" xfId="14" applyNumberFormat="1" applyFont="1" applyFill="1" applyAlignment="1">
      <alignment horizontal="right"/>
    </xf>
    <xf numFmtId="0" fontId="38" fillId="9" borderId="0" xfId="13" applyFont="1" applyFill="1" applyAlignment="1">
      <alignment horizontal="right"/>
    </xf>
    <xf numFmtId="167" fontId="38" fillId="9" borderId="0" xfId="13" applyNumberFormat="1" applyFont="1" applyFill="1" applyAlignment="1">
      <alignment horizontal="right"/>
    </xf>
    <xf numFmtId="0" fontId="39" fillId="10" borderId="0" xfId="0" applyFont="1" applyFill="1" applyAlignment="1">
      <alignment horizontal="right"/>
    </xf>
    <xf numFmtId="0" fontId="38" fillId="10" borderId="0" xfId="0" applyFont="1" applyFill="1" applyAlignment="1">
      <alignment horizontal="right"/>
    </xf>
    <xf numFmtId="167" fontId="38" fillId="10" borderId="0" xfId="0" applyNumberFormat="1" applyFont="1" applyFill="1" applyAlignment="1">
      <alignment horizontal="right"/>
    </xf>
    <xf numFmtId="0" fontId="37" fillId="11" borderId="0" xfId="13" applyFont="1" applyFill="1" applyAlignment="1">
      <alignment horizontal="right"/>
    </xf>
    <xf numFmtId="14" fontId="38" fillId="11" borderId="0" xfId="13" applyNumberFormat="1" applyFont="1" applyFill="1" applyAlignment="1">
      <alignment horizontal="right"/>
    </xf>
    <xf numFmtId="0" fontId="33" fillId="11" borderId="0" xfId="14" applyNumberFormat="1" applyFont="1" applyFill="1" applyAlignment="1">
      <alignment horizontal="right"/>
    </xf>
    <xf numFmtId="167" fontId="38" fillId="11" borderId="0" xfId="13" applyNumberFormat="1" applyFont="1" applyFill="1" applyAlignment="1">
      <alignment horizontal="right"/>
    </xf>
    <xf numFmtId="0" fontId="39" fillId="12" borderId="0" xfId="0" applyFont="1" applyFill="1" applyAlignment="1">
      <alignment horizontal="right"/>
    </xf>
    <xf numFmtId="0" fontId="38" fillId="11" borderId="0" xfId="13" applyFont="1" applyFill="1" applyAlignment="1">
      <alignment horizontal="right"/>
    </xf>
    <xf numFmtId="167" fontId="38" fillId="12" borderId="0" xfId="0" applyNumberFormat="1" applyFont="1" applyFill="1" applyAlignment="1">
      <alignment horizontal="right"/>
    </xf>
    <xf numFmtId="0" fontId="38" fillId="12" borderId="0" xfId="0" applyFont="1" applyFill="1" applyAlignment="1">
      <alignment horizontal="right"/>
    </xf>
    <xf numFmtId="0" fontId="2" fillId="0" borderId="0" xfId="15" applyFont="1"/>
    <xf numFmtId="0" fontId="7" fillId="0" borderId="0" xfId="15"/>
    <xf numFmtId="0" fontId="7" fillId="0" borderId="0" xfId="15" applyAlignment="1">
      <alignment horizontal="left"/>
    </xf>
    <xf numFmtId="164" fontId="7" fillId="0" borderId="0" xfId="15" applyNumberFormat="1" applyAlignment="1">
      <alignment horizontal="left"/>
    </xf>
    <xf numFmtId="168" fontId="7" fillId="0" borderId="0" xfId="15" applyNumberFormat="1" applyAlignment="1">
      <alignment horizontal="left"/>
    </xf>
    <xf numFmtId="164" fontId="7" fillId="0" borderId="0" xfId="15" applyNumberFormat="1"/>
    <xf numFmtId="0" fontId="11" fillId="0" borderId="0" xfId="0" applyFont="1"/>
    <xf numFmtId="0" fontId="0" fillId="0" borderId="0" xfId="15" applyFont="1"/>
    <xf numFmtId="0" fontId="10" fillId="0" borderId="0" xfId="0" applyFont="1"/>
    <xf numFmtId="0" fontId="41" fillId="0" borderId="0" xfId="0" applyFont="1"/>
    <xf numFmtId="0" fontId="41" fillId="13" borderId="5" xfId="0" applyFont="1" applyFill="1" applyBorder="1" applyAlignment="1">
      <alignment horizontal="center" vertical="top"/>
    </xf>
    <xf numFmtId="0" fontId="41" fillId="13" borderId="5" xfId="0" applyFont="1" applyFill="1" applyBorder="1" applyAlignment="1">
      <alignment horizontal="center" vertical="top" wrapText="1"/>
    </xf>
    <xf numFmtId="0" fontId="10" fillId="0" borderId="5" xfId="0" applyFont="1" applyBorder="1"/>
    <xf numFmtId="4" fontId="10" fillId="0" borderId="5" xfId="0" applyNumberFormat="1" applyFont="1" applyBorder="1"/>
    <xf numFmtId="1" fontId="10" fillId="0" borderId="5" xfId="0" applyNumberFormat="1" applyFont="1" applyBorder="1"/>
    <xf numFmtId="0" fontId="41" fillId="0" borderId="0" xfId="0" applyFont="1" applyAlignment="1">
      <alignment horizontal="left"/>
    </xf>
    <xf numFmtId="4" fontId="10" fillId="0" borderId="6" xfId="0" applyNumberFormat="1" applyFont="1" applyBorder="1"/>
    <xf numFmtId="1" fontId="10" fillId="0" borderId="6" xfId="0" applyNumberFormat="1" applyFont="1" applyBorder="1"/>
    <xf numFmtId="0" fontId="42" fillId="0" borderId="0" xfId="0" applyFont="1"/>
    <xf numFmtId="1" fontId="42" fillId="0" borderId="0" xfId="0" applyNumberFormat="1" applyFont="1"/>
    <xf numFmtId="0" fontId="43" fillId="0" borderId="0" xfId="0" applyFont="1"/>
    <xf numFmtId="165" fontId="41" fillId="13" borderId="6" xfId="14" applyFont="1" applyFill="1" applyBorder="1"/>
    <xf numFmtId="1" fontId="41" fillId="13" borderId="6" xfId="0" applyNumberFormat="1" applyFont="1" applyFill="1" applyBorder="1"/>
    <xf numFmtId="0" fontId="43" fillId="0" borderId="0" xfId="0" applyFont="1" applyAlignment="1">
      <alignment horizontal="right"/>
    </xf>
    <xf numFmtId="165" fontId="42" fillId="0" borderId="0" xfId="14" applyFont="1" applyFill="1" applyBorder="1"/>
    <xf numFmtId="0" fontId="41" fillId="13" borderId="0" xfId="0" applyFont="1" applyFill="1"/>
    <xf numFmtId="0" fontId="10" fillId="0" borderId="0" xfId="0" applyFont="1" applyAlignment="1">
      <alignment horizontal="right"/>
    </xf>
    <xf numFmtId="0" fontId="10" fillId="3" borderId="0" xfId="0" applyFont="1" applyFill="1"/>
    <xf numFmtId="9" fontId="10" fillId="0" borderId="0" xfId="11" applyFont="1"/>
    <xf numFmtId="0" fontId="41" fillId="13" borderId="5" xfId="0" applyFont="1" applyFill="1" applyBorder="1"/>
    <xf numFmtId="1" fontId="41" fillId="13" borderId="5" xfId="0" applyNumberFormat="1" applyFont="1" applyFill="1" applyBorder="1"/>
    <xf numFmtId="0" fontId="19" fillId="3" borderId="0" xfId="0" applyFont="1" applyFill="1" applyAlignment="1"/>
    <xf numFmtId="4" fontId="19" fillId="3" borderId="0" xfId="0" applyNumberFormat="1" applyFont="1" applyFill="1" applyAlignment="1"/>
  </cellXfs>
  <cellStyles count="16">
    <cellStyle name="Body: normal cell" xfId="2" xr:uid="{00000000-0005-0000-0000-000000000000}"/>
    <cellStyle name="Comma 2" xfId="9" xr:uid="{A3E98A64-06BF-4967-9271-5A728FC98420}"/>
    <cellStyle name="Comma 3" xfId="14" xr:uid="{CF74BB82-6275-2448-88BF-39BEFB14EC37}"/>
    <cellStyle name="Currency 2" xfId="10" xr:uid="{C41A62B5-E583-4508-9F12-7415D7D8CE01}"/>
    <cellStyle name="Font: Calibri, 9pt regular" xfId="3" xr:uid="{00000000-0005-0000-0000-000001000000}"/>
    <cellStyle name="Footnotes: top row" xfId="4" xr:uid="{00000000-0005-0000-0000-000002000000}"/>
    <cellStyle name="Header: bottom row" xfId="5" xr:uid="{00000000-0005-0000-0000-000003000000}"/>
    <cellStyle name="Hyperlink" xfId="1" builtinId="8"/>
    <cellStyle name="Normal" xfId="0" builtinId="0"/>
    <cellStyle name="Normal 2" xfId="8" xr:uid="{A87DE84D-8AAB-4F0A-BB2C-E9B6BA505AD8}"/>
    <cellStyle name="Normal 2 2" xfId="13" xr:uid="{C23E5C51-AA2B-1541-A573-CED50B5DC606}"/>
    <cellStyle name="Normal 3" xfId="15" xr:uid="{7F70EC1B-0AAC-6444-BF37-C8F4049EF849}"/>
    <cellStyle name="Normal 6" xfId="12" xr:uid="{B6CC831C-8F87-48A3-982E-E6883332C56D}"/>
    <cellStyle name="Parent row" xfId="6" xr:uid="{00000000-0005-0000-0000-000006000000}"/>
    <cellStyle name="Percent" xfId="11" builtinId="5"/>
    <cellStyle name="Table title" xfId="7"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f.gob.mx/nota_detalle.php?codigo=5682057&amp;fecha=08/03/202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nmf.cnf.gob.mx/deforestacio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banxico.org.mx/tipcamb/tipCamMIAction.do?idiom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5"/>
  <sheetViews>
    <sheetView tabSelected="1" workbookViewId="0">
      <selection activeCell="B11" sqref="B11"/>
    </sheetView>
  </sheetViews>
  <sheetFormatPr defaultColWidth="8.85546875" defaultRowHeight="15"/>
  <cols>
    <col min="2" max="2" width="78.140625" customWidth="1"/>
  </cols>
  <sheetData>
    <row r="1" spans="1:5">
      <c r="A1" s="1" t="s">
        <v>0</v>
      </c>
    </row>
    <row r="3" spans="1:5">
      <c r="A3" s="1" t="s">
        <v>1</v>
      </c>
      <c r="B3" s="2" t="s">
        <v>2</v>
      </c>
      <c r="C3" s="2"/>
      <c r="D3" s="2"/>
      <c r="E3" s="2"/>
    </row>
    <row r="4" spans="1:5">
      <c r="B4" s="7">
        <v>2023</v>
      </c>
    </row>
    <row r="5" spans="1:5">
      <c r="B5" t="s">
        <v>3</v>
      </c>
    </row>
    <row r="6" spans="1:5">
      <c r="B6" s="4" t="s">
        <v>4</v>
      </c>
    </row>
    <row r="7" spans="1:5">
      <c r="B7" t="s">
        <v>5</v>
      </c>
    </row>
    <row r="9" spans="1:5">
      <c r="A9" s="1" t="s">
        <v>6</v>
      </c>
    </row>
    <row r="10" spans="1:5">
      <c r="A10" s="1" t="s">
        <v>7</v>
      </c>
    </row>
    <row r="12" spans="1:5">
      <c r="A12" t="s">
        <v>8</v>
      </c>
    </row>
    <row r="13" spans="1:5">
      <c r="A13" t="s">
        <v>9</v>
      </c>
    </row>
    <row r="14" spans="1:5">
      <c r="A14" t="s">
        <v>10</v>
      </c>
    </row>
    <row r="16" spans="1:5">
      <c r="A16" t="s">
        <v>11</v>
      </c>
    </row>
    <row r="17" spans="1:1">
      <c r="A17" t="s">
        <v>12</v>
      </c>
    </row>
    <row r="18" spans="1:1">
      <c r="A18" t="s">
        <v>13</v>
      </c>
    </row>
    <row r="19" spans="1:1">
      <c r="A19" t="s">
        <v>14</v>
      </c>
    </row>
    <row r="21" spans="1:1">
      <c r="A21" t="s">
        <v>15</v>
      </c>
    </row>
    <row r="22" spans="1:1">
      <c r="A22" t="s">
        <v>16</v>
      </c>
    </row>
    <row r="24" spans="1:1">
      <c r="A24" s="1" t="s">
        <v>17</v>
      </c>
    </row>
    <row r="25" spans="1:1">
      <c r="A25" t="s">
        <v>18</v>
      </c>
    </row>
  </sheetData>
  <hyperlinks>
    <hyperlink ref="B6" r:id="rId1" location="gsc.tab=0" xr:uid="{81DA6D14-87EE-4647-96F5-BB64C80F3A8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2BF4D-D21A-F04E-AEFC-2F01441761A5}">
  <dimension ref="A1:S91"/>
  <sheetViews>
    <sheetView workbookViewId="0">
      <selection activeCell="J67" sqref="J67:J74"/>
    </sheetView>
  </sheetViews>
  <sheetFormatPr defaultColWidth="11.42578125" defaultRowHeight="15"/>
  <sheetData>
    <row r="1" spans="1:18" ht="15.95">
      <c r="A1" s="8" t="s">
        <v>19</v>
      </c>
    </row>
    <row r="2" spans="1:18" ht="15.95">
      <c r="A2" s="8" t="s">
        <v>20</v>
      </c>
    </row>
    <row r="3" spans="1:18" ht="15.95">
      <c r="A3" s="8" t="s">
        <v>21</v>
      </c>
    </row>
    <row r="4" spans="1:18" ht="15.95">
      <c r="A4" s="9" t="s">
        <v>22</v>
      </c>
    </row>
    <row r="6" spans="1:18">
      <c r="P6" s="10" t="s">
        <v>23</v>
      </c>
    </row>
    <row r="7" spans="1:18">
      <c r="P7" s="10" t="s">
        <v>24</v>
      </c>
    </row>
    <row r="8" spans="1:18">
      <c r="B8" s="11" t="s">
        <v>25</v>
      </c>
      <c r="C8" s="11" t="s">
        <v>26</v>
      </c>
      <c r="P8" s="10" t="s">
        <v>27</v>
      </c>
    </row>
    <row r="9" spans="1:18">
      <c r="B9" s="11"/>
      <c r="C9" s="11" t="s">
        <v>28</v>
      </c>
      <c r="P9" s="12"/>
    </row>
    <row r="10" spans="1:18">
      <c r="C10" s="11" t="s">
        <v>29</v>
      </c>
      <c r="D10" s="11" t="s">
        <v>30</v>
      </c>
      <c r="E10" s="11" t="s">
        <v>31</v>
      </c>
      <c r="F10" s="11" t="s">
        <v>32</v>
      </c>
      <c r="P10" s="13" t="s">
        <v>33</v>
      </c>
      <c r="Q10" s="13" t="s">
        <v>34</v>
      </c>
      <c r="R10" s="13" t="s">
        <v>35</v>
      </c>
    </row>
    <row r="11" spans="1:18">
      <c r="C11" s="11"/>
      <c r="D11" s="11"/>
      <c r="E11" s="11"/>
      <c r="F11" s="11" t="s">
        <v>36</v>
      </c>
      <c r="P11" s="11" t="s">
        <v>37</v>
      </c>
      <c r="Q11" s="11" t="s">
        <v>38</v>
      </c>
      <c r="R11" s="14">
        <v>57495.3</v>
      </c>
    </row>
    <row r="12" spans="1:18">
      <c r="B12" s="11" t="s">
        <v>39</v>
      </c>
      <c r="C12" s="14">
        <v>58647.44</v>
      </c>
      <c r="D12" s="14">
        <v>44382.98</v>
      </c>
      <c r="E12" s="14">
        <v>32714.84</v>
      </c>
      <c r="F12" s="14">
        <v>76880</v>
      </c>
      <c r="P12" s="11" t="s">
        <v>40</v>
      </c>
      <c r="Q12" s="11" t="s">
        <v>38</v>
      </c>
      <c r="R12" s="14">
        <v>7987.7</v>
      </c>
    </row>
    <row r="13" spans="1:18">
      <c r="P13" s="11" t="s">
        <v>41</v>
      </c>
      <c r="Q13" s="11" t="s">
        <v>42</v>
      </c>
      <c r="R13" s="11" t="s">
        <v>43</v>
      </c>
    </row>
    <row r="14" spans="1:18">
      <c r="P14" s="11" t="s">
        <v>44</v>
      </c>
      <c r="Q14" s="11" t="s">
        <v>42</v>
      </c>
      <c r="R14" s="11">
        <v>15.18</v>
      </c>
    </row>
    <row r="15" spans="1:18">
      <c r="P15" s="11" t="s">
        <v>45</v>
      </c>
      <c r="Q15" s="11" t="s">
        <v>42</v>
      </c>
      <c r="R15" s="11">
        <v>8.16</v>
      </c>
    </row>
    <row r="16" spans="1:18">
      <c r="P16" s="11" t="s">
        <v>46</v>
      </c>
      <c r="Q16" s="11" t="s">
        <v>47</v>
      </c>
      <c r="R16" s="11">
        <v>169.45</v>
      </c>
    </row>
    <row r="17" spans="2:18" ht="15.95">
      <c r="B17" s="15" t="s">
        <v>48</v>
      </c>
      <c r="C17" s="16"/>
      <c r="D17" s="16"/>
      <c r="E17" s="16"/>
      <c r="F17" s="16"/>
      <c r="K17" s="9" t="s">
        <v>49</v>
      </c>
      <c r="P17" s="11" t="s">
        <v>50</v>
      </c>
      <c r="Q17" s="11" t="s">
        <v>51</v>
      </c>
      <c r="R17" s="11">
        <v>434.47</v>
      </c>
    </row>
    <row r="18" spans="2:18" ht="15.95">
      <c r="B18" s="15" t="s">
        <v>52</v>
      </c>
      <c r="C18" s="16"/>
      <c r="D18" s="16"/>
      <c r="E18" s="16"/>
      <c r="F18" s="16"/>
      <c r="K18" s="9" t="s">
        <v>53</v>
      </c>
      <c r="L18" s="17"/>
      <c r="M18" s="17"/>
      <c r="P18" s="11" t="s">
        <v>54</v>
      </c>
      <c r="Q18" s="11" t="s">
        <v>55</v>
      </c>
      <c r="R18" s="11">
        <v>12.92</v>
      </c>
    </row>
    <row r="19" spans="2:18">
      <c r="B19" s="15" t="s">
        <v>56</v>
      </c>
      <c r="C19" s="16"/>
      <c r="D19" s="16"/>
      <c r="E19" s="16"/>
      <c r="F19" s="16"/>
      <c r="K19" s="18" t="s">
        <v>57</v>
      </c>
      <c r="L19" s="18" t="s">
        <v>58</v>
      </c>
      <c r="M19" s="18" t="s">
        <v>59</v>
      </c>
      <c r="P19" s="11" t="s">
        <v>60</v>
      </c>
      <c r="Q19" s="11" t="s">
        <v>55</v>
      </c>
      <c r="R19" s="11">
        <v>7.89</v>
      </c>
    </row>
    <row r="20" spans="2:18">
      <c r="B20" s="104" t="s">
        <v>61</v>
      </c>
      <c r="C20" s="19" t="s">
        <v>26</v>
      </c>
      <c r="D20" s="16"/>
      <c r="E20" s="16"/>
      <c r="F20" s="16"/>
      <c r="K20" s="20" t="s">
        <v>62</v>
      </c>
      <c r="L20" s="20">
        <v>300.68</v>
      </c>
      <c r="M20" s="20">
        <v>37.58</v>
      </c>
      <c r="P20" s="11" t="s">
        <v>63</v>
      </c>
      <c r="Q20" s="11" t="s">
        <v>55</v>
      </c>
      <c r="R20" s="11">
        <v>3.32</v>
      </c>
    </row>
    <row r="21" spans="2:18">
      <c r="B21" s="104"/>
      <c r="C21" s="19" t="s">
        <v>28</v>
      </c>
      <c r="D21" s="16"/>
      <c r="E21" s="16"/>
      <c r="F21" s="16"/>
      <c r="K21" s="20" t="s">
        <v>64</v>
      </c>
      <c r="L21" s="21">
        <v>1275.67</v>
      </c>
      <c r="M21" s="20">
        <v>159.46</v>
      </c>
      <c r="P21" s="11" t="s">
        <v>65</v>
      </c>
      <c r="Q21" s="11" t="s">
        <v>55</v>
      </c>
      <c r="R21" s="11">
        <v>5.19</v>
      </c>
    </row>
    <row r="22" spans="2:18">
      <c r="C22" s="19" t="s">
        <v>29</v>
      </c>
      <c r="D22" s="19" t="s">
        <v>30</v>
      </c>
      <c r="E22" s="19" t="s">
        <v>31</v>
      </c>
      <c r="F22" s="19" t="s">
        <v>66</v>
      </c>
      <c r="K22" s="20" t="s">
        <v>67</v>
      </c>
      <c r="L22" s="21">
        <v>1952.55</v>
      </c>
      <c r="M22" s="20">
        <v>244.07</v>
      </c>
      <c r="P22" s="11" t="s">
        <v>68</v>
      </c>
      <c r="Q22" s="11" t="s">
        <v>55</v>
      </c>
      <c r="R22" s="11">
        <v>4.5</v>
      </c>
    </row>
    <row r="23" spans="2:18">
      <c r="C23" s="19"/>
      <c r="D23" s="19"/>
      <c r="E23" s="19"/>
      <c r="F23" s="19" t="s">
        <v>69</v>
      </c>
      <c r="K23" s="20" t="s">
        <v>70</v>
      </c>
      <c r="L23" s="21">
        <v>1301.7</v>
      </c>
      <c r="M23" s="20">
        <v>162.71</v>
      </c>
      <c r="P23" s="11" t="s">
        <v>71</v>
      </c>
      <c r="Q23" s="11" t="s">
        <v>55</v>
      </c>
      <c r="R23" s="11">
        <v>6</v>
      </c>
    </row>
    <row r="24" spans="2:18">
      <c r="B24" s="19" t="s">
        <v>72</v>
      </c>
      <c r="C24" s="105">
        <v>58647.44</v>
      </c>
      <c r="D24" s="105">
        <v>44382.98</v>
      </c>
      <c r="E24" s="105">
        <v>32714.84</v>
      </c>
      <c r="F24" s="105">
        <v>76880</v>
      </c>
      <c r="K24" s="22" t="s">
        <v>73</v>
      </c>
      <c r="L24" s="23"/>
      <c r="M24" s="23"/>
      <c r="P24" s="11" t="s">
        <v>74</v>
      </c>
      <c r="Q24" s="11" t="s">
        <v>55</v>
      </c>
      <c r="R24" s="11">
        <v>0.55000000000000004</v>
      </c>
    </row>
    <row r="25" spans="2:18">
      <c r="B25" s="19" t="s">
        <v>75</v>
      </c>
      <c r="C25" s="105"/>
      <c r="D25" s="105"/>
      <c r="E25" s="105"/>
      <c r="F25" s="105"/>
      <c r="K25" s="22" t="s">
        <v>76</v>
      </c>
      <c r="L25" s="23"/>
      <c r="M25" s="23"/>
      <c r="P25" s="11" t="s">
        <v>77</v>
      </c>
      <c r="Q25" s="11" t="s">
        <v>55</v>
      </c>
      <c r="R25" s="11">
        <v>8.34</v>
      </c>
    </row>
    <row r="26" spans="2:18">
      <c r="B26" s="15"/>
      <c r="C26" s="16"/>
      <c r="D26" s="16"/>
      <c r="E26" s="16"/>
      <c r="F26" s="16"/>
      <c r="P26" s="11" t="s">
        <v>78</v>
      </c>
      <c r="Q26" s="11" t="s">
        <v>79</v>
      </c>
      <c r="R26" s="14">
        <v>2730</v>
      </c>
    </row>
    <row r="30" spans="2:18" ht="15.95">
      <c r="B30" s="10" t="s">
        <v>80</v>
      </c>
      <c r="K30" s="9" t="s">
        <v>81</v>
      </c>
    </row>
    <row r="31" spans="2:18">
      <c r="B31" s="10" t="s">
        <v>82</v>
      </c>
      <c r="K31" s="10" t="s">
        <v>83</v>
      </c>
    </row>
    <row r="32" spans="2:18">
      <c r="B32" s="10" t="s">
        <v>84</v>
      </c>
      <c r="K32" s="10" t="s">
        <v>85</v>
      </c>
    </row>
    <row r="33" spans="1:16">
      <c r="B33" s="10" t="s">
        <v>86</v>
      </c>
      <c r="K33" s="10" t="s">
        <v>87</v>
      </c>
    </row>
    <row r="34" spans="1:16">
      <c r="B34" s="13" t="s">
        <v>88</v>
      </c>
      <c r="C34" s="13" t="s">
        <v>89</v>
      </c>
      <c r="D34" s="13" t="s">
        <v>90</v>
      </c>
      <c r="E34" s="13" t="s">
        <v>91</v>
      </c>
      <c r="F34" s="13" t="s">
        <v>92</v>
      </c>
      <c r="G34" s="13" t="s">
        <v>93</v>
      </c>
      <c r="K34" s="13" t="s">
        <v>88</v>
      </c>
      <c r="L34" s="13" t="s">
        <v>89</v>
      </c>
      <c r="M34" s="13" t="s">
        <v>90</v>
      </c>
      <c r="N34" s="13" t="s">
        <v>91</v>
      </c>
      <c r="O34" s="13" t="s">
        <v>92</v>
      </c>
      <c r="P34" s="13" t="s">
        <v>94</v>
      </c>
    </row>
    <row r="35" spans="1:16">
      <c r="B35" s="13"/>
      <c r="C35" s="13"/>
      <c r="D35" s="13" t="s">
        <v>95</v>
      </c>
      <c r="E35" s="13" t="s">
        <v>96</v>
      </c>
      <c r="F35" s="13" t="s">
        <v>97</v>
      </c>
      <c r="G35" s="13" t="s">
        <v>98</v>
      </c>
      <c r="K35" s="13"/>
      <c r="L35" s="13"/>
      <c r="M35" s="13" t="s">
        <v>95</v>
      </c>
      <c r="N35" s="13" t="s">
        <v>99</v>
      </c>
      <c r="O35" s="13" t="s">
        <v>100</v>
      </c>
      <c r="P35" s="13"/>
    </row>
    <row r="36" spans="1:16">
      <c r="B36" s="13"/>
      <c r="C36" s="13"/>
      <c r="D36" s="11"/>
      <c r="E36" s="11"/>
      <c r="F36" s="13" t="s">
        <v>101</v>
      </c>
      <c r="G36" s="11"/>
      <c r="K36" s="13"/>
      <c r="L36" s="13"/>
      <c r="M36" s="11"/>
      <c r="N36" s="13" t="s">
        <v>98</v>
      </c>
      <c r="O36" s="11"/>
      <c r="P36" s="13"/>
    </row>
    <row r="37" spans="1:16">
      <c r="B37" s="11" t="s">
        <v>102</v>
      </c>
      <c r="C37" s="11" t="s">
        <v>44</v>
      </c>
      <c r="D37" s="11" t="s">
        <v>42</v>
      </c>
      <c r="E37" s="11">
        <v>15.18</v>
      </c>
      <c r="F37" s="24">
        <v>1000</v>
      </c>
      <c r="G37" s="14">
        <v>15181.97</v>
      </c>
      <c r="K37" s="11" t="s">
        <v>103</v>
      </c>
      <c r="L37" s="11" t="s">
        <v>104</v>
      </c>
      <c r="M37" s="11" t="s">
        <v>105</v>
      </c>
      <c r="N37" s="11">
        <v>27.85</v>
      </c>
      <c r="O37" s="11">
        <v>660</v>
      </c>
      <c r="P37" s="14">
        <v>18381</v>
      </c>
    </row>
    <row r="38" spans="1:16">
      <c r="B38" s="11" t="s">
        <v>106</v>
      </c>
      <c r="C38" s="11" t="s">
        <v>107</v>
      </c>
      <c r="D38" s="11" t="s">
        <v>108</v>
      </c>
      <c r="E38" s="11">
        <v>4.5</v>
      </c>
      <c r="F38" s="11">
        <v>400</v>
      </c>
      <c r="G38" s="14">
        <v>1800</v>
      </c>
      <c r="K38" s="11" t="s">
        <v>103</v>
      </c>
      <c r="L38" s="11" t="s">
        <v>54</v>
      </c>
      <c r="M38" s="11" t="s">
        <v>55</v>
      </c>
      <c r="N38" s="11">
        <v>12.92</v>
      </c>
      <c r="O38" s="11">
        <v>880</v>
      </c>
      <c r="P38" s="14">
        <v>11369.6</v>
      </c>
    </row>
    <row r="39" spans="1:16">
      <c r="C39" s="11" t="s">
        <v>74</v>
      </c>
      <c r="D39" s="11" t="s">
        <v>108</v>
      </c>
      <c r="E39" s="11">
        <v>0.55000000000000004</v>
      </c>
      <c r="F39" s="11">
        <v>400</v>
      </c>
      <c r="G39" s="11">
        <v>221.47</v>
      </c>
      <c r="K39" s="11" t="s">
        <v>106</v>
      </c>
      <c r="L39" s="11" t="s">
        <v>107</v>
      </c>
      <c r="M39" s="11" t="s">
        <v>108</v>
      </c>
      <c r="N39" s="11">
        <v>6</v>
      </c>
      <c r="O39" s="24">
        <v>1100</v>
      </c>
      <c r="P39" s="14">
        <v>6600</v>
      </c>
    </row>
    <row r="40" spans="1:16">
      <c r="C40" s="11" t="s">
        <v>109</v>
      </c>
      <c r="D40" s="11" t="s">
        <v>108</v>
      </c>
      <c r="E40" s="11">
        <v>7.89</v>
      </c>
      <c r="F40" s="11">
        <v>400</v>
      </c>
      <c r="G40" s="14">
        <v>3154.12</v>
      </c>
      <c r="K40" s="11" t="s">
        <v>74</v>
      </c>
      <c r="L40" s="11" t="s">
        <v>108</v>
      </c>
      <c r="M40" s="11">
        <v>0.55000000000000004</v>
      </c>
      <c r="N40" s="24">
        <v>1100</v>
      </c>
      <c r="O40" s="11">
        <v>605</v>
      </c>
    </row>
    <row r="41" spans="1:16">
      <c r="B41" s="25" t="s">
        <v>110</v>
      </c>
      <c r="C41" s="11" t="s">
        <v>107</v>
      </c>
      <c r="D41" s="11" t="s">
        <v>108</v>
      </c>
      <c r="E41" s="11">
        <v>4.5</v>
      </c>
      <c r="F41" s="11">
        <v>200</v>
      </c>
      <c r="G41" s="11">
        <v>900</v>
      </c>
      <c r="K41" s="11" t="s">
        <v>111</v>
      </c>
      <c r="L41" s="11" t="s">
        <v>108</v>
      </c>
      <c r="M41" s="11">
        <v>3.32</v>
      </c>
      <c r="N41" s="24">
        <v>1100</v>
      </c>
      <c r="O41" s="14">
        <v>3652</v>
      </c>
    </row>
    <row r="42" spans="1:16">
      <c r="A42">
        <f>SUM(G41:G43)</f>
        <v>2587.8000000000002</v>
      </c>
      <c r="C42" s="11" t="s">
        <v>74</v>
      </c>
      <c r="D42" s="11" t="s">
        <v>108</v>
      </c>
      <c r="E42" s="11">
        <v>0.55000000000000004</v>
      </c>
      <c r="F42" s="11">
        <v>200</v>
      </c>
      <c r="G42" s="11">
        <v>110.74</v>
      </c>
      <c r="K42" s="25" t="s">
        <v>112</v>
      </c>
      <c r="L42" s="11" t="s">
        <v>113</v>
      </c>
      <c r="M42" s="11" t="s">
        <v>108</v>
      </c>
      <c r="N42" s="11">
        <v>6</v>
      </c>
      <c r="O42" s="11">
        <v>550</v>
      </c>
      <c r="P42" s="14">
        <v>3300</v>
      </c>
    </row>
    <row r="43" spans="1:16">
      <c r="C43" s="11" t="s">
        <v>109</v>
      </c>
      <c r="D43" s="11" t="s">
        <v>55</v>
      </c>
      <c r="E43" s="11">
        <v>7.89</v>
      </c>
      <c r="F43" s="11">
        <v>200</v>
      </c>
      <c r="G43" s="14">
        <v>1577.06</v>
      </c>
      <c r="J43">
        <f>SUM(P42:P44)</f>
        <v>5428.5</v>
      </c>
      <c r="L43" s="11" t="s">
        <v>114</v>
      </c>
      <c r="M43" s="11" t="s">
        <v>108</v>
      </c>
      <c r="N43" s="11">
        <v>0.55000000000000004</v>
      </c>
      <c r="O43" s="11">
        <v>550</v>
      </c>
      <c r="P43" s="11">
        <v>302.5</v>
      </c>
    </row>
    <row r="44" spans="1:16">
      <c r="B44" s="25" t="s">
        <v>115</v>
      </c>
      <c r="C44" s="11" t="s">
        <v>107</v>
      </c>
      <c r="D44" s="11" t="s">
        <v>108</v>
      </c>
      <c r="E44" s="11">
        <v>4.5</v>
      </c>
      <c r="F44" s="11">
        <v>120</v>
      </c>
      <c r="G44" s="11">
        <v>540</v>
      </c>
      <c r="L44" s="11" t="s">
        <v>116</v>
      </c>
      <c r="M44" s="11" t="s">
        <v>108</v>
      </c>
      <c r="N44" s="11">
        <v>3.32</v>
      </c>
      <c r="O44" s="11">
        <v>550</v>
      </c>
      <c r="P44" s="14">
        <v>1826</v>
      </c>
    </row>
    <row r="45" spans="1:16">
      <c r="A45">
        <f>SUM(G44:G46)</f>
        <v>1552.68</v>
      </c>
      <c r="C45" s="11" t="s">
        <v>74</v>
      </c>
      <c r="D45" s="11" t="s">
        <v>108</v>
      </c>
      <c r="E45" s="11">
        <v>0.55000000000000004</v>
      </c>
      <c r="F45" s="11">
        <v>120</v>
      </c>
      <c r="G45" s="11">
        <v>66.44</v>
      </c>
      <c r="K45" s="25" t="s">
        <v>117</v>
      </c>
      <c r="L45" s="11" t="s">
        <v>113</v>
      </c>
      <c r="M45" s="11" t="s">
        <v>108</v>
      </c>
      <c r="N45" s="11">
        <v>6</v>
      </c>
      <c r="O45" s="11">
        <v>330</v>
      </c>
      <c r="P45" s="14">
        <v>1980</v>
      </c>
    </row>
    <row r="46" spans="1:16">
      <c r="C46" s="11" t="s">
        <v>109</v>
      </c>
      <c r="D46" s="11" t="s">
        <v>55</v>
      </c>
      <c r="E46" s="11">
        <v>7.89</v>
      </c>
      <c r="F46" s="11">
        <v>120</v>
      </c>
      <c r="G46" s="11">
        <v>946.24</v>
      </c>
      <c r="J46">
        <f>SUM(P45:P47)</f>
        <v>3257.1</v>
      </c>
      <c r="L46" s="11" t="s">
        <v>114</v>
      </c>
      <c r="M46" s="11" t="s">
        <v>108</v>
      </c>
      <c r="N46" s="11">
        <v>0.55000000000000004</v>
      </c>
      <c r="O46" s="11">
        <v>330</v>
      </c>
      <c r="P46" s="11">
        <v>181.5</v>
      </c>
    </row>
    <row r="47" spans="1:16">
      <c r="B47" s="25" t="s">
        <v>118</v>
      </c>
      <c r="C47" s="11" t="s">
        <v>107</v>
      </c>
      <c r="D47" s="11" t="s">
        <v>108</v>
      </c>
      <c r="E47" s="11">
        <v>4.5</v>
      </c>
      <c r="F47" s="11">
        <v>80</v>
      </c>
      <c r="G47" s="11">
        <v>360</v>
      </c>
      <c r="L47" s="11" t="s">
        <v>116</v>
      </c>
      <c r="M47" s="11" t="s">
        <v>108</v>
      </c>
      <c r="N47" s="11">
        <v>3.32</v>
      </c>
      <c r="O47" s="11">
        <v>330</v>
      </c>
      <c r="P47" s="14">
        <v>1095.5999999999999</v>
      </c>
    </row>
    <row r="48" spans="1:16">
      <c r="A48">
        <f>SUM(G47:G49)</f>
        <v>1035.1100000000001</v>
      </c>
      <c r="C48" s="11" t="s">
        <v>74</v>
      </c>
      <c r="D48" s="11" t="s">
        <v>108</v>
      </c>
      <c r="E48" s="11">
        <v>0.55000000000000004</v>
      </c>
      <c r="F48" s="11">
        <v>80</v>
      </c>
      <c r="G48" s="11">
        <v>44.29</v>
      </c>
      <c r="K48" s="25" t="s">
        <v>119</v>
      </c>
      <c r="L48" s="11" t="s">
        <v>113</v>
      </c>
      <c r="M48" s="11" t="s">
        <v>108</v>
      </c>
      <c r="N48" s="11">
        <v>6</v>
      </c>
      <c r="O48" s="11">
        <v>220</v>
      </c>
      <c r="P48" s="14">
        <v>1320</v>
      </c>
    </row>
    <row r="49" spans="2:16">
      <c r="C49" s="11" t="s">
        <v>109</v>
      </c>
      <c r="D49" s="11" t="s">
        <v>55</v>
      </c>
      <c r="E49" s="11">
        <v>7.89</v>
      </c>
      <c r="F49" s="11">
        <v>80</v>
      </c>
      <c r="G49" s="11">
        <v>630.82000000000005</v>
      </c>
      <c r="J49">
        <f>SUM(P48:P50)</f>
        <v>2171.4</v>
      </c>
      <c r="L49" s="11" t="s">
        <v>114</v>
      </c>
      <c r="M49" s="11" t="s">
        <v>108</v>
      </c>
      <c r="N49" s="11">
        <v>0.55000000000000004</v>
      </c>
      <c r="O49" s="11">
        <v>220</v>
      </c>
      <c r="P49" s="11">
        <v>121</v>
      </c>
    </row>
    <row r="50" spans="2:16">
      <c r="B50" s="11" t="s">
        <v>120</v>
      </c>
      <c r="C50" s="11" t="s">
        <v>121</v>
      </c>
      <c r="D50" s="11" t="s">
        <v>122</v>
      </c>
      <c r="E50" s="14">
        <v>7987.7</v>
      </c>
      <c r="F50" s="11">
        <v>6.8000000000000005E-2</v>
      </c>
      <c r="G50" s="11">
        <v>543.16</v>
      </c>
      <c r="L50" s="11" t="s">
        <v>116</v>
      </c>
      <c r="M50" s="11" t="s">
        <v>108</v>
      </c>
      <c r="N50" s="11">
        <v>3.32</v>
      </c>
      <c r="O50" s="11">
        <v>220</v>
      </c>
      <c r="P50" s="11">
        <v>730.4</v>
      </c>
    </row>
    <row r="51" spans="2:16">
      <c r="B51" s="11" t="s">
        <v>123</v>
      </c>
      <c r="C51" s="11" t="s">
        <v>122</v>
      </c>
      <c r="D51" s="14">
        <v>57495.3</v>
      </c>
      <c r="E51" s="11">
        <v>6.8000000000000005E-2</v>
      </c>
      <c r="F51" s="14">
        <v>3909.68</v>
      </c>
      <c r="K51" s="11" t="s">
        <v>120</v>
      </c>
      <c r="L51" s="11" t="s">
        <v>121</v>
      </c>
      <c r="M51" s="11" t="s">
        <v>122</v>
      </c>
      <c r="N51" s="14">
        <v>7987.7</v>
      </c>
      <c r="O51" s="11">
        <v>6.8000000000000005E-2</v>
      </c>
      <c r="P51" s="11">
        <v>543.16</v>
      </c>
    </row>
    <row r="52" spans="2:16">
      <c r="B52" s="11" t="s">
        <v>124</v>
      </c>
      <c r="C52" s="11" t="s">
        <v>78</v>
      </c>
      <c r="D52" s="11" t="s">
        <v>79</v>
      </c>
      <c r="E52" s="14">
        <v>2730</v>
      </c>
      <c r="F52" s="11">
        <v>1</v>
      </c>
      <c r="G52" s="14">
        <v>2730</v>
      </c>
      <c r="K52" s="11" t="s">
        <v>123</v>
      </c>
      <c r="L52" s="11" t="s">
        <v>122</v>
      </c>
      <c r="M52" s="14">
        <v>57495.3</v>
      </c>
      <c r="N52" s="11">
        <v>6.8000000000000005E-2</v>
      </c>
      <c r="O52" s="14">
        <v>3909.68</v>
      </c>
    </row>
    <row r="53" spans="2:16">
      <c r="B53" s="13" t="s">
        <v>125</v>
      </c>
      <c r="C53" s="13" t="s">
        <v>126</v>
      </c>
      <c r="D53" s="11"/>
      <c r="E53" s="13">
        <v>1</v>
      </c>
      <c r="F53" s="26">
        <v>32714.84</v>
      </c>
      <c r="K53" s="11" t="s">
        <v>124</v>
      </c>
      <c r="L53" s="11" t="s">
        <v>78</v>
      </c>
      <c r="M53" s="11" t="s">
        <v>126</v>
      </c>
      <c r="N53" s="14">
        <v>2730</v>
      </c>
      <c r="O53" s="11">
        <v>1</v>
      </c>
      <c r="P53" s="14">
        <v>2730</v>
      </c>
    </row>
    <row r="54" spans="2:16">
      <c r="K54" s="13" t="s">
        <v>125</v>
      </c>
      <c r="L54" s="26">
        <v>58647.44</v>
      </c>
    </row>
    <row r="56" spans="2:16">
      <c r="B56" s="10" t="s">
        <v>127</v>
      </c>
      <c r="K56" s="10" t="s">
        <v>128</v>
      </c>
    </row>
    <row r="57" spans="2:16">
      <c r="B57" s="10" t="s">
        <v>129</v>
      </c>
      <c r="K57" s="10" t="s">
        <v>82</v>
      </c>
    </row>
    <row r="58" spans="2:16">
      <c r="B58" s="10" t="s">
        <v>130</v>
      </c>
      <c r="K58" s="10" t="s">
        <v>84</v>
      </c>
    </row>
    <row r="59" spans="2:16">
      <c r="B59" s="10" t="s">
        <v>131</v>
      </c>
      <c r="K59" s="10" t="s">
        <v>132</v>
      </c>
    </row>
    <row r="60" spans="2:16">
      <c r="B60" s="13" t="s">
        <v>88</v>
      </c>
      <c r="C60" s="13" t="s">
        <v>89</v>
      </c>
      <c r="D60" s="13" t="s">
        <v>90</v>
      </c>
      <c r="E60" s="13" t="s">
        <v>91</v>
      </c>
      <c r="F60" s="13" t="s">
        <v>92</v>
      </c>
      <c r="G60" s="13" t="s">
        <v>94</v>
      </c>
      <c r="K60" s="12"/>
    </row>
    <row r="61" spans="2:16">
      <c r="B61" s="13"/>
      <c r="C61" s="13"/>
      <c r="D61" s="13" t="s">
        <v>95</v>
      </c>
      <c r="E61" s="13" t="s">
        <v>96</v>
      </c>
      <c r="F61" s="13" t="s">
        <v>133</v>
      </c>
      <c r="G61" s="13"/>
      <c r="K61" s="13" t="s">
        <v>88</v>
      </c>
      <c r="L61" s="13" t="s">
        <v>89</v>
      </c>
      <c r="M61" s="13" t="s">
        <v>90</v>
      </c>
      <c r="N61" s="13" t="s">
        <v>91</v>
      </c>
      <c r="O61" s="13" t="s">
        <v>92</v>
      </c>
      <c r="P61" s="13" t="s">
        <v>94</v>
      </c>
    </row>
    <row r="62" spans="2:16">
      <c r="B62" s="11" t="s">
        <v>102</v>
      </c>
      <c r="C62" s="11" t="s">
        <v>134</v>
      </c>
      <c r="D62" s="11" t="s">
        <v>135</v>
      </c>
      <c r="E62" s="11">
        <v>12.92</v>
      </c>
      <c r="F62" s="11">
        <v>417</v>
      </c>
      <c r="G62" s="14">
        <v>5387.64</v>
      </c>
      <c r="K62" s="13"/>
      <c r="L62" s="13"/>
      <c r="M62" s="13" t="s">
        <v>95</v>
      </c>
      <c r="N62" s="13" t="s">
        <v>96</v>
      </c>
      <c r="O62" s="13" t="s">
        <v>133</v>
      </c>
      <c r="P62" s="13"/>
    </row>
    <row r="63" spans="2:16">
      <c r="B63" s="11" t="s">
        <v>106</v>
      </c>
      <c r="C63" s="11" t="s">
        <v>107</v>
      </c>
      <c r="D63" s="11" t="s">
        <v>108</v>
      </c>
      <c r="E63" s="11">
        <v>4.5</v>
      </c>
      <c r="F63" s="11">
        <v>625</v>
      </c>
      <c r="G63" s="14">
        <v>2812.5</v>
      </c>
      <c r="K63" s="11" t="s">
        <v>106</v>
      </c>
      <c r="L63" s="11" t="s">
        <v>54</v>
      </c>
      <c r="M63" s="11" t="s">
        <v>55</v>
      </c>
      <c r="N63" s="11">
        <v>12.92</v>
      </c>
      <c r="O63" s="24">
        <v>2500</v>
      </c>
      <c r="P63" s="14">
        <v>32300</v>
      </c>
    </row>
    <row r="64" spans="2:16">
      <c r="B64" s="11" t="s">
        <v>74</v>
      </c>
      <c r="C64" s="11" t="s">
        <v>108</v>
      </c>
      <c r="D64" s="11">
        <v>0.55000000000000004</v>
      </c>
      <c r="E64" s="11">
        <v>625</v>
      </c>
      <c r="F64" s="11">
        <v>343.75</v>
      </c>
      <c r="K64" s="11" t="s">
        <v>107</v>
      </c>
      <c r="L64" s="11" t="s">
        <v>108</v>
      </c>
      <c r="M64" s="11">
        <v>4.5</v>
      </c>
      <c r="N64" s="24">
        <v>2500</v>
      </c>
      <c r="O64" s="14">
        <v>11250</v>
      </c>
    </row>
    <row r="65" spans="1:19">
      <c r="B65" s="11" t="s">
        <v>136</v>
      </c>
      <c r="C65" s="11" t="s">
        <v>108</v>
      </c>
      <c r="D65" s="11">
        <v>7.89</v>
      </c>
      <c r="E65" s="11">
        <v>625</v>
      </c>
      <c r="F65" s="14">
        <v>4931.25</v>
      </c>
      <c r="K65" s="11" t="s">
        <v>74</v>
      </c>
      <c r="L65" s="11" t="s">
        <v>108</v>
      </c>
      <c r="M65" s="11">
        <v>0.55000000000000004</v>
      </c>
      <c r="N65" s="24">
        <v>2500</v>
      </c>
      <c r="O65" s="14">
        <v>1375</v>
      </c>
      <c r="S65" s="12"/>
    </row>
    <row r="66" spans="1:19">
      <c r="B66" s="25" t="s">
        <v>110</v>
      </c>
      <c r="C66" s="11" t="s">
        <v>113</v>
      </c>
      <c r="D66" s="11" t="s">
        <v>108</v>
      </c>
      <c r="E66" s="11">
        <v>4.5</v>
      </c>
      <c r="F66" s="11">
        <v>312</v>
      </c>
      <c r="G66" s="14">
        <v>1404</v>
      </c>
      <c r="K66" s="11" t="s">
        <v>106</v>
      </c>
      <c r="L66" s="11" t="s">
        <v>108</v>
      </c>
      <c r="M66" s="11">
        <v>3.32</v>
      </c>
      <c r="N66" s="24">
        <v>2500</v>
      </c>
      <c r="O66" s="14">
        <v>8300</v>
      </c>
    </row>
    <row r="67" spans="1:19">
      <c r="A67" s="27">
        <f>SUM(G66:G69)</f>
        <v>9249.7799999999988</v>
      </c>
      <c r="C67" s="11" t="s">
        <v>137</v>
      </c>
      <c r="D67" s="11" t="s">
        <v>108</v>
      </c>
      <c r="E67" s="11">
        <v>0.55000000000000004</v>
      </c>
      <c r="F67" s="11">
        <v>312</v>
      </c>
      <c r="G67" s="11">
        <v>171.6</v>
      </c>
      <c r="K67" s="25" t="s">
        <v>110</v>
      </c>
      <c r="L67" s="11" t="s">
        <v>113</v>
      </c>
      <c r="M67" s="11" t="s">
        <v>108</v>
      </c>
      <c r="N67" s="11">
        <v>4.5</v>
      </c>
      <c r="O67" s="11">
        <v>750</v>
      </c>
      <c r="P67" s="14">
        <v>5625</v>
      </c>
    </row>
    <row r="68" spans="1:19">
      <c r="C68" s="11" t="s">
        <v>138</v>
      </c>
      <c r="D68" s="11" t="s">
        <v>108</v>
      </c>
      <c r="E68" s="11">
        <v>7.89</v>
      </c>
      <c r="F68" s="11">
        <v>312</v>
      </c>
      <c r="G68" s="14">
        <v>2461.6799999999998</v>
      </c>
      <c r="J68">
        <f>SUM(P67:P69)</f>
        <v>10462.5</v>
      </c>
      <c r="L68" s="11" t="s">
        <v>114</v>
      </c>
      <c r="M68" s="11" t="s">
        <v>108</v>
      </c>
      <c r="N68" s="11">
        <v>0.55000000000000004</v>
      </c>
      <c r="O68" s="11">
        <v>750</v>
      </c>
      <c r="P68" s="11">
        <v>687.5</v>
      </c>
    </row>
    <row r="69" spans="1:19">
      <c r="C69" s="11" t="s">
        <v>139</v>
      </c>
      <c r="D69" s="11" t="s">
        <v>140</v>
      </c>
      <c r="E69" s="11">
        <v>8.34</v>
      </c>
      <c r="F69" s="11">
        <v>625</v>
      </c>
      <c r="G69" s="14">
        <v>5212.5</v>
      </c>
      <c r="L69" s="11" t="s">
        <v>141</v>
      </c>
      <c r="M69" s="11" t="s">
        <v>108</v>
      </c>
      <c r="N69" s="11">
        <v>3.32</v>
      </c>
      <c r="O69" s="11">
        <v>750</v>
      </c>
      <c r="P69" s="14">
        <v>4150</v>
      </c>
    </row>
    <row r="70" spans="1:19">
      <c r="B70" s="25" t="s">
        <v>142</v>
      </c>
      <c r="C70" s="11" t="s">
        <v>113</v>
      </c>
      <c r="D70" s="11" t="s">
        <v>108</v>
      </c>
      <c r="E70" s="11">
        <v>4.5</v>
      </c>
      <c r="F70" s="11">
        <v>188</v>
      </c>
      <c r="G70" s="11">
        <v>846</v>
      </c>
      <c r="K70" s="25" t="s">
        <v>115</v>
      </c>
      <c r="L70" s="11" t="s">
        <v>113</v>
      </c>
      <c r="M70" s="11" t="s">
        <v>108</v>
      </c>
      <c r="N70" s="11">
        <v>4.5</v>
      </c>
      <c r="O70" s="11">
        <v>500</v>
      </c>
      <c r="P70" s="14">
        <v>3375</v>
      </c>
    </row>
    <row r="71" spans="1:19">
      <c r="A71" s="27">
        <f>SUM(G70:G73)</f>
        <v>7645.2199999999993</v>
      </c>
      <c r="C71" s="11" t="s">
        <v>137</v>
      </c>
      <c r="D71" s="11" t="s">
        <v>108</v>
      </c>
      <c r="E71" s="11">
        <v>0.55000000000000004</v>
      </c>
      <c r="F71" s="11">
        <v>188</v>
      </c>
      <c r="G71" s="11">
        <v>103.4</v>
      </c>
      <c r="J71">
        <f>SUM(P70:P72)</f>
        <v>6277.5</v>
      </c>
      <c r="L71" s="11" t="s">
        <v>114</v>
      </c>
      <c r="M71" s="11" t="s">
        <v>108</v>
      </c>
      <c r="N71" s="11">
        <v>0.55000000000000004</v>
      </c>
      <c r="O71" s="11">
        <v>500</v>
      </c>
      <c r="P71" s="11">
        <v>412.5</v>
      </c>
    </row>
    <row r="72" spans="1:19">
      <c r="C72" s="11" t="s">
        <v>138</v>
      </c>
      <c r="D72" s="11" t="s">
        <v>108</v>
      </c>
      <c r="E72" s="11">
        <v>7.89</v>
      </c>
      <c r="F72" s="11">
        <v>188</v>
      </c>
      <c r="G72" s="14">
        <v>1483.32</v>
      </c>
      <c r="L72" s="11" t="s">
        <v>141</v>
      </c>
      <c r="M72" s="11" t="s">
        <v>108</v>
      </c>
      <c r="N72" s="11">
        <v>3.32</v>
      </c>
      <c r="O72" s="11">
        <v>500</v>
      </c>
      <c r="P72" s="14">
        <v>2490</v>
      </c>
    </row>
    <row r="73" spans="1:19">
      <c r="C73" s="11" t="s">
        <v>139</v>
      </c>
      <c r="D73" s="11" t="s">
        <v>140</v>
      </c>
      <c r="E73" s="11">
        <v>8.34</v>
      </c>
      <c r="F73" s="11">
        <v>625</v>
      </c>
      <c r="G73" s="14">
        <v>5212.5</v>
      </c>
      <c r="K73" s="25" t="s">
        <v>118</v>
      </c>
      <c r="L73" s="11" t="s">
        <v>113</v>
      </c>
      <c r="M73" s="11" t="s">
        <v>108</v>
      </c>
      <c r="N73" s="11">
        <v>4.5</v>
      </c>
      <c r="O73" s="11">
        <v>250</v>
      </c>
      <c r="P73" s="14">
        <v>3375</v>
      </c>
    </row>
    <row r="74" spans="1:19">
      <c r="B74" s="25" t="s">
        <v>118</v>
      </c>
      <c r="C74" s="11" t="s">
        <v>113</v>
      </c>
      <c r="D74" s="11" t="s">
        <v>108</v>
      </c>
      <c r="E74" s="11">
        <v>4.5</v>
      </c>
      <c r="F74" s="11">
        <v>125</v>
      </c>
      <c r="G74" s="11">
        <v>562.5</v>
      </c>
      <c r="J74">
        <f>SUM(P73:P75)</f>
        <v>6277.5</v>
      </c>
      <c r="L74" s="11" t="s">
        <v>114</v>
      </c>
      <c r="M74" s="11" t="s">
        <v>108</v>
      </c>
      <c r="N74" s="11">
        <v>0.55000000000000004</v>
      </c>
      <c r="O74" s="11">
        <v>250</v>
      </c>
      <c r="P74" s="11">
        <v>412.5</v>
      </c>
    </row>
    <row r="75" spans="1:19">
      <c r="A75" s="27">
        <f>SUM(G74:G77)</f>
        <v>6830</v>
      </c>
      <c r="C75" s="11" t="s">
        <v>137</v>
      </c>
      <c r="D75" s="11" t="s">
        <v>108</v>
      </c>
      <c r="E75" s="11">
        <v>0.55000000000000004</v>
      </c>
      <c r="F75" s="11">
        <v>125</v>
      </c>
      <c r="G75" s="11">
        <v>68.75</v>
      </c>
      <c r="L75" s="11" t="s">
        <v>141</v>
      </c>
      <c r="M75" s="11" t="s">
        <v>108</v>
      </c>
      <c r="N75" s="11">
        <v>3.32</v>
      </c>
      <c r="O75" s="11">
        <v>250</v>
      </c>
      <c r="P75" s="14">
        <v>2490</v>
      </c>
    </row>
    <row r="76" spans="1:19">
      <c r="C76" s="11" t="s">
        <v>138</v>
      </c>
      <c r="D76" s="11" t="s">
        <v>108</v>
      </c>
      <c r="E76" s="11">
        <v>7.89</v>
      </c>
      <c r="F76" s="11">
        <v>125</v>
      </c>
      <c r="G76" s="11">
        <v>986.25</v>
      </c>
      <c r="K76" s="11" t="s">
        <v>124</v>
      </c>
      <c r="L76" s="11" t="s">
        <v>78</v>
      </c>
      <c r="M76" s="11" t="s">
        <v>143</v>
      </c>
      <c r="N76" s="14">
        <v>2730</v>
      </c>
      <c r="O76" s="11">
        <v>1</v>
      </c>
      <c r="P76" s="14">
        <v>2730</v>
      </c>
    </row>
    <row r="77" spans="1:19">
      <c r="C77" s="11" t="s">
        <v>139</v>
      </c>
      <c r="D77" s="11" t="s">
        <v>140</v>
      </c>
      <c r="E77" s="11">
        <v>8.34</v>
      </c>
      <c r="F77" s="11">
        <v>625</v>
      </c>
      <c r="G77" s="14">
        <v>5212.5</v>
      </c>
      <c r="K77" s="13" t="s">
        <v>144</v>
      </c>
      <c r="L77" s="26">
        <v>76880</v>
      </c>
    </row>
    <row r="78" spans="1:19">
      <c r="B78" s="11" t="s">
        <v>120</v>
      </c>
      <c r="C78" s="11" t="s">
        <v>121</v>
      </c>
      <c r="D78" s="11" t="s">
        <v>38</v>
      </c>
      <c r="E78" s="14">
        <v>7987.7</v>
      </c>
      <c r="F78" s="11">
        <v>6.8000000000000005E-2</v>
      </c>
      <c r="G78" s="11">
        <v>543.16</v>
      </c>
    </row>
    <row r="79" spans="1:19">
      <c r="B79" s="11" t="s">
        <v>123</v>
      </c>
      <c r="C79" s="11" t="s">
        <v>38</v>
      </c>
      <c r="D79" s="14">
        <v>57495.3</v>
      </c>
      <c r="E79" s="11">
        <v>6.8000000000000005E-2</v>
      </c>
      <c r="F79" s="14">
        <v>3909.68</v>
      </c>
    </row>
    <row r="80" spans="1:19">
      <c r="B80" s="11" t="s">
        <v>124</v>
      </c>
      <c r="C80" s="11" t="s">
        <v>78</v>
      </c>
      <c r="D80" s="11" t="s">
        <v>126</v>
      </c>
      <c r="E80" s="14">
        <v>2730</v>
      </c>
      <c r="F80" s="11">
        <v>1</v>
      </c>
      <c r="G80" s="14">
        <v>2730</v>
      </c>
    </row>
    <row r="81" spans="2:10">
      <c r="B81" s="13" t="s">
        <v>125</v>
      </c>
      <c r="C81" s="14">
        <v>44382.98</v>
      </c>
    </row>
    <row r="83" spans="2:10">
      <c r="B83" s="10" t="s">
        <v>48</v>
      </c>
      <c r="C83" s="1"/>
      <c r="D83" s="1"/>
      <c r="E83" s="1"/>
      <c r="F83" s="1"/>
      <c r="G83" s="1"/>
      <c r="H83" s="1"/>
      <c r="I83" s="1"/>
      <c r="J83" s="1"/>
    </row>
    <row r="84" spans="2:10">
      <c r="B84" s="10" t="s">
        <v>52</v>
      </c>
      <c r="C84" s="1"/>
      <c r="D84" s="1"/>
      <c r="E84" s="1"/>
      <c r="F84" s="1"/>
      <c r="G84" s="1"/>
      <c r="H84" s="1"/>
      <c r="I84" s="1"/>
      <c r="J84" s="1"/>
    </row>
    <row r="85" spans="2:10">
      <c r="B85" s="10" t="s">
        <v>56</v>
      </c>
      <c r="C85" s="1"/>
      <c r="D85" s="1"/>
      <c r="E85" s="1"/>
      <c r="F85" s="1"/>
      <c r="G85" s="1"/>
      <c r="H85" s="1"/>
      <c r="I85" s="1"/>
      <c r="J85" s="1"/>
    </row>
    <row r="86" spans="2:10">
      <c r="B86" s="13" t="s">
        <v>61</v>
      </c>
      <c r="C86" s="13" t="s">
        <v>26</v>
      </c>
      <c r="D86" s="1"/>
      <c r="E86" s="1"/>
      <c r="F86" s="1"/>
      <c r="G86" s="1"/>
      <c r="H86" s="1"/>
      <c r="I86" s="1"/>
      <c r="J86" s="1"/>
    </row>
    <row r="87" spans="2:10">
      <c r="B87" s="13"/>
      <c r="C87" s="13" t="s">
        <v>28</v>
      </c>
      <c r="D87" s="1"/>
      <c r="E87" s="1"/>
      <c r="F87" s="1"/>
      <c r="G87" s="1"/>
      <c r="H87" s="1"/>
      <c r="I87" s="1"/>
      <c r="J87" s="1"/>
    </row>
    <row r="88" spans="2:10">
      <c r="C88" s="13" t="s">
        <v>29</v>
      </c>
      <c r="D88" s="13" t="s">
        <v>30</v>
      </c>
      <c r="E88" s="13" t="s">
        <v>31</v>
      </c>
      <c r="F88" s="13" t="s">
        <v>66</v>
      </c>
      <c r="G88" s="1"/>
      <c r="H88" s="1"/>
      <c r="I88" s="1"/>
      <c r="J88" s="1"/>
    </row>
    <row r="89" spans="2:10">
      <c r="C89" s="13"/>
      <c r="D89" s="13"/>
      <c r="E89" s="13"/>
      <c r="F89" s="13" t="s">
        <v>69</v>
      </c>
      <c r="G89" s="1"/>
      <c r="H89" s="1"/>
      <c r="I89" s="1"/>
      <c r="J89" s="1"/>
    </row>
    <row r="90" spans="2:10">
      <c r="B90" s="11" t="s">
        <v>72</v>
      </c>
      <c r="C90" s="14">
        <v>58647.44</v>
      </c>
      <c r="D90" s="14">
        <v>44382.98</v>
      </c>
      <c r="E90" s="14">
        <v>32714.84</v>
      </c>
      <c r="F90" s="14">
        <v>76880</v>
      </c>
    </row>
    <row r="91" spans="2:10">
      <c r="B91" s="11" t="s">
        <v>75</v>
      </c>
      <c r="C91" s="14"/>
      <c r="D91" s="14"/>
      <c r="E91" s="14"/>
      <c r="F91" s="14"/>
    </row>
  </sheetData>
  <mergeCells count="5">
    <mergeCell ref="B20:B21"/>
    <mergeCell ref="C24:C25"/>
    <mergeCell ref="D24:D25"/>
    <mergeCell ref="E24:E25"/>
    <mergeCell ref="F24:F25"/>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B5D9-94E0-8547-A82D-C1BE027F2CF7}">
  <dimension ref="A1:AX221"/>
  <sheetViews>
    <sheetView workbookViewId="0">
      <selection activeCell="J67" sqref="J67:J74"/>
    </sheetView>
  </sheetViews>
  <sheetFormatPr defaultColWidth="11.42578125" defaultRowHeight="15"/>
  <sheetData>
    <row r="1" spans="1:50">
      <c r="A1" t="s">
        <v>1</v>
      </c>
      <c r="B1" t="s">
        <v>145</v>
      </c>
    </row>
    <row r="2" spans="1:50">
      <c r="B2" t="s">
        <v>4</v>
      </c>
    </row>
    <row r="4" spans="1:50" ht="15.95">
      <c r="A4" s="8" t="s">
        <v>19</v>
      </c>
    </row>
    <row r="5" spans="1:50" ht="15.95">
      <c r="A5" s="8" t="s">
        <v>20</v>
      </c>
    </row>
    <row r="6" spans="1:50" ht="15.95">
      <c r="A6" s="8" t="s">
        <v>21</v>
      </c>
    </row>
    <row r="7" spans="1:50" ht="15.95">
      <c r="A7" s="9" t="s">
        <v>22</v>
      </c>
    </row>
    <row r="9" spans="1:50" ht="15.95">
      <c r="K9" s="9" t="s">
        <v>49</v>
      </c>
      <c r="Q9" s="10" t="s">
        <v>23</v>
      </c>
      <c r="V9" s="10" t="s">
        <v>146</v>
      </c>
      <c r="AD9" s="10" t="s">
        <v>127</v>
      </c>
      <c r="AL9" s="10" t="s">
        <v>128</v>
      </c>
      <c r="AT9" s="12" t="s">
        <v>48</v>
      </c>
    </row>
    <row r="10" spans="1:50" ht="15.95">
      <c r="K10" s="9" t="s">
        <v>53</v>
      </c>
      <c r="L10" s="17"/>
      <c r="M10" s="17"/>
      <c r="Q10" s="10" t="s">
        <v>24</v>
      </c>
      <c r="V10" s="10" t="s">
        <v>83</v>
      </c>
      <c r="AD10" s="10" t="s">
        <v>129</v>
      </c>
      <c r="AL10" s="10" t="s">
        <v>82</v>
      </c>
      <c r="AT10" s="12" t="s">
        <v>52</v>
      </c>
    </row>
    <row r="11" spans="1:50">
      <c r="B11" s="11" t="s">
        <v>25</v>
      </c>
      <c r="C11" s="11" t="s">
        <v>26</v>
      </c>
      <c r="K11" s="18" t="s">
        <v>57</v>
      </c>
      <c r="L11" s="18" t="s">
        <v>58</v>
      </c>
      <c r="M11" s="18" t="s">
        <v>59</v>
      </c>
      <c r="Q11" s="10" t="s">
        <v>27</v>
      </c>
      <c r="V11" s="10" t="s">
        <v>85</v>
      </c>
      <c r="AD11" s="10" t="s">
        <v>130</v>
      </c>
      <c r="AL11" s="10" t="s">
        <v>84</v>
      </c>
      <c r="AT11" s="12" t="s">
        <v>56</v>
      </c>
    </row>
    <row r="12" spans="1:50">
      <c r="B12" s="11"/>
      <c r="C12" s="11" t="s">
        <v>28</v>
      </c>
      <c r="K12" s="20" t="s">
        <v>62</v>
      </c>
      <c r="L12" s="20">
        <v>300.68</v>
      </c>
      <c r="M12" s="20">
        <v>37.58</v>
      </c>
      <c r="Q12" s="12"/>
      <c r="V12" s="10" t="s">
        <v>87</v>
      </c>
      <c r="AD12" s="10" t="s">
        <v>131</v>
      </c>
      <c r="AL12" s="10" t="s">
        <v>132</v>
      </c>
      <c r="AT12" s="11" t="s">
        <v>61</v>
      </c>
      <c r="AU12" s="11" t="s">
        <v>26</v>
      </c>
    </row>
    <row r="13" spans="1:50">
      <c r="B13" s="11" t="s">
        <v>29</v>
      </c>
      <c r="C13" s="11" t="s">
        <v>30</v>
      </c>
      <c r="D13" s="11" t="s">
        <v>31</v>
      </c>
      <c r="E13" s="11" t="s">
        <v>32</v>
      </c>
      <c r="K13" s="20" t="s">
        <v>64</v>
      </c>
      <c r="L13" s="21">
        <v>1275.67</v>
      </c>
      <c r="M13" s="20">
        <v>159.46</v>
      </c>
      <c r="Q13" s="13" t="s">
        <v>33</v>
      </c>
      <c r="R13" s="13" t="s">
        <v>34</v>
      </c>
      <c r="S13" s="13" t="s">
        <v>35</v>
      </c>
      <c r="V13" s="13" t="s">
        <v>88</v>
      </c>
      <c r="W13" s="13" t="s">
        <v>89</v>
      </c>
      <c r="X13" s="13" t="s">
        <v>90</v>
      </c>
      <c r="Y13" s="13" t="s">
        <v>91</v>
      </c>
      <c r="Z13" s="13" t="s">
        <v>92</v>
      </c>
      <c r="AA13" s="13" t="s">
        <v>94</v>
      </c>
      <c r="AD13" s="13" t="s">
        <v>88</v>
      </c>
      <c r="AE13" s="13" t="s">
        <v>89</v>
      </c>
      <c r="AF13" s="13" t="s">
        <v>90</v>
      </c>
      <c r="AG13" s="13" t="s">
        <v>91</v>
      </c>
      <c r="AH13" s="13" t="s">
        <v>92</v>
      </c>
      <c r="AI13" s="13" t="s">
        <v>94</v>
      </c>
      <c r="AL13" s="12"/>
      <c r="AT13" s="11"/>
      <c r="AU13" s="11" t="s">
        <v>28</v>
      </c>
    </row>
    <row r="14" spans="1:50">
      <c r="B14" s="11"/>
      <c r="C14" s="11"/>
      <c r="D14" s="11"/>
      <c r="E14" s="11" t="s">
        <v>36</v>
      </c>
      <c r="K14" s="20" t="s">
        <v>67</v>
      </c>
      <c r="L14" s="21">
        <v>1952.55</v>
      </c>
      <c r="M14" s="20">
        <v>244.07</v>
      </c>
      <c r="Q14" s="11" t="s">
        <v>37</v>
      </c>
      <c r="R14" s="11" t="s">
        <v>38</v>
      </c>
      <c r="S14" s="14">
        <v>57495.3</v>
      </c>
      <c r="V14" s="13"/>
      <c r="W14" s="13"/>
      <c r="X14" s="13" t="s">
        <v>95</v>
      </c>
      <c r="Y14" s="13" t="s">
        <v>99</v>
      </c>
      <c r="Z14" s="13" t="s">
        <v>100</v>
      </c>
      <c r="AA14" s="13"/>
      <c r="AD14" s="13"/>
      <c r="AE14" s="13"/>
      <c r="AF14" s="13" t="s">
        <v>95</v>
      </c>
      <c r="AG14" s="13" t="s">
        <v>96</v>
      </c>
      <c r="AH14" s="13" t="s">
        <v>133</v>
      </c>
      <c r="AI14" s="13"/>
      <c r="AL14" s="13" t="s">
        <v>88</v>
      </c>
      <c r="AM14" s="13" t="s">
        <v>89</v>
      </c>
      <c r="AN14" s="13" t="s">
        <v>90</v>
      </c>
      <c r="AO14" s="13" t="s">
        <v>91</v>
      </c>
      <c r="AP14" s="13" t="s">
        <v>92</v>
      </c>
      <c r="AQ14" s="13" t="s">
        <v>94</v>
      </c>
      <c r="AT14" s="11" t="s">
        <v>29</v>
      </c>
      <c r="AU14" s="11" t="s">
        <v>30</v>
      </c>
      <c r="AV14" s="11" t="s">
        <v>31</v>
      </c>
      <c r="AW14" s="11" t="s">
        <v>66</v>
      </c>
    </row>
    <row r="15" spans="1:50">
      <c r="B15" s="11" t="s">
        <v>39</v>
      </c>
      <c r="C15" s="14">
        <v>58647.44</v>
      </c>
      <c r="D15" s="14">
        <v>44382.98</v>
      </c>
      <c r="E15" s="14">
        <v>32714.84</v>
      </c>
      <c r="F15" s="14">
        <v>76880</v>
      </c>
      <c r="K15" s="20" t="s">
        <v>70</v>
      </c>
      <c r="L15" s="21">
        <v>1301.7</v>
      </c>
      <c r="M15" s="20">
        <v>162.71</v>
      </c>
      <c r="Q15" s="11" t="s">
        <v>40</v>
      </c>
      <c r="R15" s="11" t="s">
        <v>38</v>
      </c>
      <c r="S15" s="14">
        <v>7987.7</v>
      </c>
      <c r="V15" s="13"/>
      <c r="W15" s="13"/>
      <c r="X15" s="11"/>
      <c r="Y15" s="13" t="s">
        <v>98</v>
      </c>
      <c r="Z15" s="11"/>
      <c r="AA15" s="13"/>
      <c r="AD15" s="11" t="s">
        <v>102</v>
      </c>
      <c r="AE15" s="11" t="s">
        <v>134</v>
      </c>
      <c r="AF15" s="11" t="s">
        <v>135</v>
      </c>
      <c r="AG15" s="11">
        <v>12.92</v>
      </c>
      <c r="AH15" s="11">
        <v>417</v>
      </c>
      <c r="AI15" s="14">
        <v>5387.64</v>
      </c>
      <c r="AL15" s="13"/>
      <c r="AM15" s="13"/>
      <c r="AN15" s="13" t="s">
        <v>95</v>
      </c>
      <c r="AO15" s="13" t="s">
        <v>96</v>
      </c>
      <c r="AP15" s="13" t="s">
        <v>133</v>
      </c>
      <c r="AQ15" s="13"/>
      <c r="AT15" s="11"/>
      <c r="AU15" s="11"/>
      <c r="AV15" s="11"/>
      <c r="AW15" s="11" t="s">
        <v>69</v>
      </c>
    </row>
    <row r="16" spans="1:50">
      <c r="K16" s="22" t="s">
        <v>73</v>
      </c>
      <c r="L16" s="23"/>
      <c r="M16" s="23"/>
      <c r="Q16" s="11" t="s">
        <v>41</v>
      </c>
      <c r="R16" s="11" t="s">
        <v>42</v>
      </c>
      <c r="S16" s="11" t="s">
        <v>43</v>
      </c>
      <c r="V16" s="11" t="s">
        <v>103</v>
      </c>
      <c r="W16" s="11" t="s">
        <v>104</v>
      </c>
      <c r="X16" s="11" t="s">
        <v>105</v>
      </c>
      <c r="Y16" s="11">
        <v>27.85</v>
      </c>
      <c r="Z16" s="11">
        <v>660</v>
      </c>
      <c r="AA16" s="14">
        <v>18381</v>
      </c>
      <c r="AD16" s="11" t="s">
        <v>106</v>
      </c>
      <c r="AE16" s="11" t="s">
        <v>107</v>
      </c>
      <c r="AF16" s="11" t="s">
        <v>108</v>
      </c>
      <c r="AG16" s="11">
        <v>4.5</v>
      </c>
      <c r="AH16" s="11">
        <v>625</v>
      </c>
      <c r="AI16" s="14">
        <v>2812.5</v>
      </c>
      <c r="AL16" s="11" t="s">
        <v>106</v>
      </c>
      <c r="AM16" s="11" t="s">
        <v>54</v>
      </c>
      <c r="AN16" s="11" t="s">
        <v>55</v>
      </c>
      <c r="AO16" s="11">
        <v>12.92</v>
      </c>
      <c r="AP16" s="24">
        <v>2500</v>
      </c>
      <c r="AQ16" s="14">
        <v>32300</v>
      </c>
      <c r="AT16" s="11" t="s">
        <v>72</v>
      </c>
      <c r="AU16" s="14">
        <v>58647.44</v>
      </c>
      <c r="AV16" s="14">
        <v>44382.98</v>
      </c>
      <c r="AW16" s="14">
        <v>32714.84</v>
      </c>
      <c r="AX16" s="14">
        <v>76880</v>
      </c>
    </row>
    <row r="17" spans="2:50">
      <c r="K17" s="22" t="s">
        <v>76</v>
      </c>
      <c r="L17" s="23"/>
      <c r="M17" s="23"/>
      <c r="Q17" s="11" t="s">
        <v>44</v>
      </c>
      <c r="R17" s="11" t="s">
        <v>42</v>
      </c>
      <c r="S17" s="11">
        <v>15.18</v>
      </c>
      <c r="V17" s="11" t="s">
        <v>103</v>
      </c>
      <c r="W17" s="11" t="s">
        <v>54</v>
      </c>
      <c r="X17" s="11" t="s">
        <v>55</v>
      </c>
      <c r="Y17" s="11">
        <v>12.92</v>
      </c>
      <c r="Z17" s="11">
        <v>880</v>
      </c>
      <c r="AA17" s="14">
        <v>11369.6</v>
      </c>
      <c r="AD17" s="11" t="s">
        <v>74</v>
      </c>
      <c r="AE17" s="11" t="s">
        <v>108</v>
      </c>
      <c r="AF17" s="11">
        <v>0.55000000000000004</v>
      </c>
      <c r="AG17" s="11">
        <v>625</v>
      </c>
      <c r="AH17" s="11">
        <v>343.75</v>
      </c>
      <c r="AL17" s="11" t="s">
        <v>107</v>
      </c>
      <c r="AM17" s="11" t="s">
        <v>108</v>
      </c>
      <c r="AN17" s="11">
        <v>4.5</v>
      </c>
      <c r="AO17" s="24">
        <v>2500</v>
      </c>
      <c r="AP17" s="14">
        <v>11250</v>
      </c>
      <c r="AT17" s="11" t="s">
        <v>75</v>
      </c>
      <c r="AU17" s="14"/>
      <c r="AV17" s="14"/>
      <c r="AW17" s="14"/>
      <c r="AX17" s="14"/>
    </row>
    <row r="18" spans="2:50">
      <c r="Q18" s="11" t="s">
        <v>45</v>
      </c>
      <c r="R18" s="11" t="s">
        <v>42</v>
      </c>
      <c r="S18" s="11">
        <v>8.16</v>
      </c>
      <c r="V18" s="11" t="s">
        <v>106</v>
      </c>
      <c r="W18" s="11" t="s">
        <v>107</v>
      </c>
      <c r="X18" s="11" t="s">
        <v>108</v>
      </c>
      <c r="Y18" s="11">
        <v>6</v>
      </c>
      <c r="Z18" s="24">
        <v>1100</v>
      </c>
      <c r="AA18" s="14">
        <v>6600</v>
      </c>
      <c r="AD18" s="11" t="s">
        <v>136</v>
      </c>
      <c r="AE18" s="11" t="s">
        <v>108</v>
      </c>
      <c r="AF18" s="11">
        <v>7.89</v>
      </c>
      <c r="AG18" s="11">
        <v>625</v>
      </c>
      <c r="AH18" s="14">
        <v>4931.25</v>
      </c>
      <c r="AL18" s="11" t="s">
        <v>74</v>
      </c>
      <c r="AM18" s="11" t="s">
        <v>108</v>
      </c>
      <c r="AN18" s="11">
        <v>0.55000000000000004</v>
      </c>
      <c r="AO18" s="24">
        <v>2500</v>
      </c>
      <c r="AP18" s="14">
        <v>1375</v>
      </c>
      <c r="AT18" s="12"/>
    </row>
    <row r="19" spans="2:50">
      <c r="Q19" s="11" t="s">
        <v>46</v>
      </c>
      <c r="R19" s="11" t="s">
        <v>47</v>
      </c>
      <c r="S19" s="11">
        <v>169.45</v>
      </c>
      <c r="V19" s="11" t="s">
        <v>74</v>
      </c>
      <c r="W19" s="11" t="s">
        <v>108</v>
      </c>
      <c r="X19" s="11">
        <v>0.55000000000000004</v>
      </c>
      <c r="Y19" s="24">
        <v>1100</v>
      </c>
      <c r="Z19" s="11">
        <v>605</v>
      </c>
      <c r="AD19" s="11" t="s">
        <v>110</v>
      </c>
      <c r="AE19" s="11" t="s">
        <v>113</v>
      </c>
      <c r="AF19" s="11" t="s">
        <v>108</v>
      </c>
      <c r="AG19" s="11">
        <v>4.5</v>
      </c>
      <c r="AH19" s="11">
        <v>312</v>
      </c>
      <c r="AI19" s="14">
        <v>1404</v>
      </c>
      <c r="AL19" s="11" t="s">
        <v>106</v>
      </c>
      <c r="AM19" s="11" t="s">
        <v>108</v>
      </c>
      <c r="AN19" s="11">
        <v>3.32</v>
      </c>
      <c r="AO19" s="24">
        <v>2500</v>
      </c>
      <c r="AP19" s="14">
        <v>8300</v>
      </c>
    </row>
    <row r="20" spans="2:50">
      <c r="B20" s="15" t="s">
        <v>48</v>
      </c>
      <c r="C20" s="16"/>
      <c r="D20" s="16"/>
      <c r="E20" s="16"/>
      <c r="F20" s="16"/>
      <c r="Q20" s="11" t="s">
        <v>50</v>
      </c>
      <c r="R20" s="11" t="s">
        <v>51</v>
      </c>
      <c r="S20" s="11">
        <v>434.47</v>
      </c>
      <c r="V20" s="11" t="s">
        <v>111</v>
      </c>
      <c r="W20" s="11" t="s">
        <v>108</v>
      </c>
      <c r="X20" s="11">
        <v>3.32</v>
      </c>
      <c r="Y20" s="24">
        <v>1100</v>
      </c>
      <c r="Z20" s="14">
        <v>3652</v>
      </c>
      <c r="AD20" s="11" t="s">
        <v>137</v>
      </c>
      <c r="AE20" s="11" t="s">
        <v>108</v>
      </c>
      <c r="AF20" s="11">
        <v>0.55000000000000004</v>
      </c>
      <c r="AG20" s="11">
        <v>312</v>
      </c>
      <c r="AH20" s="11">
        <v>171.6</v>
      </c>
      <c r="AL20" s="11" t="s">
        <v>110</v>
      </c>
      <c r="AM20" s="11" t="s">
        <v>113</v>
      </c>
      <c r="AN20" s="11" t="s">
        <v>108</v>
      </c>
      <c r="AO20" s="11">
        <v>4.5</v>
      </c>
      <c r="AP20" s="11">
        <v>750</v>
      </c>
      <c r="AQ20" s="14">
        <v>5625</v>
      </c>
    </row>
    <row r="21" spans="2:50">
      <c r="B21" s="15" t="s">
        <v>52</v>
      </c>
      <c r="C21" s="16"/>
      <c r="D21" s="16"/>
      <c r="E21" s="16"/>
      <c r="F21" s="16"/>
      <c r="Q21" s="11" t="s">
        <v>54</v>
      </c>
      <c r="R21" s="11" t="s">
        <v>55</v>
      </c>
      <c r="S21" s="11">
        <v>12.92</v>
      </c>
      <c r="V21" s="11" t="s">
        <v>112</v>
      </c>
      <c r="W21" s="11" t="s">
        <v>113</v>
      </c>
      <c r="X21" s="11" t="s">
        <v>108</v>
      </c>
      <c r="Y21" s="11">
        <v>6</v>
      </c>
      <c r="Z21" s="11">
        <v>550</v>
      </c>
      <c r="AA21" s="14">
        <v>3300</v>
      </c>
      <c r="AD21" s="11" t="s">
        <v>138</v>
      </c>
      <c r="AE21" s="11" t="s">
        <v>108</v>
      </c>
      <c r="AF21" s="11">
        <v>7.89</v>
      </c>
      <c r="AG21" s="11">
        <v>312</v>
      </c>
      <c r="AH21" s="14">
        <v>2461.6799999999998</v>
      </c>
      <c r="AL21" s="11" t="s">
        <v>114</v>
      </c>
      <c r="AM21" s="11" t="s">
        <v>108</v>
      </c>
      <c r="AN21" s="11">
        <v>0.55000000000000004</v>
      </c>
      <c r="AO21" s="11">
        <v>750</v>
      </c>
      <c r="AP21" s="11">
        <v>687.5</v>
      </c>
    </row>
    <row r="22" spans="2:50">
      <c r="B22" s="15" t="s">
        <v>56</v>
      </c>
      <c r="C22" s="16"/>
      <c r="D22" s="16"/>
      <c r="E22" s="16"/>
      <c r="F22" s="16"/>
      <c r="Q22" s="11" t="s">
        <v>60</v>
      </c>
      <c r="R22" s="11" t="s">
        <v>55</v>
      </c>
      <c r="S22" s="11">
        <v>7.89</v>
      </c>
      <c r="V22" s="11" t="s">
        <v>114</v>
      </c>
      <c r="W22" s="11" t="s">
        <v>108</v>
      </c>
      <c r="X22" s="11">
        <v>0.55000000000000004</v>
      </c>
      <c r="Y22" s="11">
        <v>550</v>
      </c>
      <c r="Z22" s="11">
        <v>302.5</v>
      </c>
      <c r="AD22" s="11" t="s">
        <v>139</v>
      </c>
      <c r="AE22" s="11" t="s">
        <v>140</v>
      </c>
      <c r="AF22" s="11">
        <v>8.34</v>
      </c>
      <c r="AG22" s="11">
        <v>625</v>
      </c>
      <c r="AH22" s="14">
        <v>5212.5</v>
      </c>
      <c r="AL22" s="11" t="s">
        <v>141</v>
      </c>
      <c r="AM22" s="11" t="s">
        <v>108</v>
      </c>
      <c r="AN22" s="11">
        <v>3.32</v>
      </c>
      <c r="AO22" s="11">
        <v>750</v>
      </c>
      <c r="AP22" s="14">
        <v>4150</v>
      </c>
    </row>
    <row r="23" spans="2:50">
      <c r="B23" s="104" t="s">
        <v>61</v>
      </c>
      <c r="C23" s="19" t="s">
        <v>26</v>
      </c>
      <c r="D23" s="16"/>
      <c r="E23" s="16"/>
      <c r="F23" s="16"/>
      <c r="Q23" s="11" t="s">
        <v>63</v>
      </c>
      <c r="R23" s="11" t="s">
        <v>55</v>
      </c>
      <c r="S23" s="11">
        <v>3.32</v>
      </c>
      <c r="V23" s="11" t="s">
        <v>116</v>
      </c>
      <c r="W23" s="11" t="s">
        <v>108</v>
      </c>
      <c r="X23" s="11">
        <v>3.32</v>
      </c>
      <c r="Y23" s="11">
        <v>550</v>
      </c>
      <c r="Z23" s="14">
        <v>1826</v>
      </c>
      <c r="AD23" s="11" t="s">
        <v>142</v>
      </c>
      <c r="AE23" s="11" t="s">
        <v>113</v>
      </c>
      <c r="AF23" s="11" t="s">
        <v>108</v>
      </c>
      <c r="AG23" s="11">
        <v>4.5</v>
      </c>
      <c r="AH23" s="11">
        <v>188</v>
      </c>
      <c r="AI23" s="11">
        <v>846</v>
      </c>
      <c r="AL23" s="11" t="s">
        <v>115</v>
      </c>
      <c r="AM23" s="11" t="s">
        <v>113</v>
      </c>
      <c r="AN23" s="11" t="s">
        <v>108</v>
      </c>
      <c r="AO23" s="11">
        <v>4.5</v>
      </c>
      <c r="AP23" s="11">
        <v>500</v>
      </c>
      <c r="AQ23" s="14">
        <v>3375</v>
      </c>
    </row>
    <row r="24" spans="2:50">
      <c r="B24" s="104"/>
      <c r="C24" s="19" t="s">
        <v>28</v>
      </c>
      <c r="D24" s="16"/>
      <c r="E24" s="16"/>
      <c r="F24" s="16"/>
      <c r="Q24" s="11" t="s">
        <v>65</v>
      </c>
      <c r="R24" s="11" t="s">
        <v>55</v>
      </c>
      <c r="S24" s="11">
        <v>5.19</v>
      </c>
      <c r="V24" s="11" t="s">
        <v>117</v>
      </c>
      <c r="W24" s="11" t="s">
        <v>113</v>
      </c>
      <c r="X24" s="11" t="s">
        <v>108</v>
      </c>
      <c r="Y24" s="11">
        <v>6</v>
      </c>
      <c r="Z24" s="11">
        <v>330</v>
      </c>
      <c r="AA24" s="14">
        <v>1980</v>
      </c>
      <c r="AD24" s="11" t="s">
        <v>137</v>
      </c>
      <c r="AE24" s="11" t="s">
        <v>108</v>
      </c>
      <c r="AF24" s="11">
        <v>0.55000000000000004</v>
      </c>
      <c r="AG24" s="11">
        <v>188</v>
      </c>
      <c r="AH24" s="11">
        <v>103.4</v>
      </c>
      <c r="AL24" s="11" t="s">
        <v>114</v>
      </c>
      <c r="AM24" s="11" t="s">
        <v>108</v>
      </c>
      <c r="AN24" s="11">
        <v>0.55000000000000004</v>
      </c>
      <c r="AO24" s="11">
        <v>500</v>
      </c>
      <c r="AP24" s="11">
        <v>412.5</v>
      </c>
    </row>
    <row r="25" spans="2:50">
      <c r="B25" s="104" t="s">
        <v>29</v>
      </c>
      <c r="C25" s="104" t="s">
        <v>30</v>
      </c>
      <c r="D25" s="104" t="s">
        <v>31</v>
      </c>
      <c r="E25" s="19" t="s">
        <v>66</v>
      </c>
      <c r="F25" s="16"/>
      <c r="Q25" s="11" t="s">
        <v>68</v>
      </c>
      <c r="R25" s="11" t="s">
        <v>55</v>
      </c>
      <c r="S25" s="11">
        <v>4.5</v>
      </c>
      <c r="V25" s="11" t="s">
        <v>114</v>
      </c>
      <c r="W25" s="11" t="s">
        <v>108</v>
      </c>
      <c r="X25" s="11">
        <v>0.55000000000000004</v>
      </c>
      <c r="Y25" s="11">
        <v>330</v>
      </c>
      <c r="Z25" s="11">
        <v>181.5</v>
      </c>
      <c r="AD25" s="11" t="s">
        <v>138</v>
      </c>
      <c r="AE25" s="11" t="s">
        <v>108</v>
      </c>
      <c r="AF25" s="11">
        <v>7.89</v>
      </c>
      <c r="AG25" s="11">
        <v>188</v>
      </c>
      <c r="AH25" s="14">
        <v>1483.32</v>
      </c>
      <c r="AL25" s="11" t="s">
        <v>141</v>
      </c>
      <c r="AM25" s="11" t="s">
        <v>108</v>
      </c>
      <c r="AN25" s="11">
        <v>3.32</v>
      </c>
      <c r="AO25" s="11">
        <v>500</v>
      </c>
      <c r="AP25" s="14">
        <v>2490</v>
      </c>
    </row>
    <row r="26" spans="2:50">
      <c r="B26" s="104"/>
      <c r="C26" s="104"/>
      <c r="D26" s="104"/>
      <c r="E26" s="19" t="s">
        <v>69</v>
      </c>
      <c r="F26" s="16"/>
      <c r="Q26" s="11" t="s">
        <v>71</v>
      </c>
      <c r="R26" s="11" t="s">
        <v>55</v>
      </c>
      <c r="S26" s="11">
        <v>6</v>
      </c>
      <c r="V26" s="11" t="s">
        <v>116</v>
      </c>
      <c r="W26" s="11" t="s">
        <v>108</v>
      </c>
      <c r="X26" s="11">
        <v>3.32</v>
      </c>
      <c r="Y26" s="11">
        <v>330</v>
      </c>
      <c r="Z26" s="14">
        <v>1095.5999999999999</v>
      </c>
      <c r="AD26" s="11" t="s">
        <v>139</v>
      </c>
      <c r="AE26" s="11" t="s">
        <v>140</v>
      </c>
      <c r="AF26" s="11">
        <v>8.34</v>
      </c>
      <c r="AG26" s="11">
        <v>625</v>
      </c>
      <c r="AH26" s="14">
        <v>5212.5</v>
      </c>
      <c r="AL26" s="11" t="s">
        <v>118</v>
      </c>
      <c r="AM26" s="11" t="s">
        <v>113</v>
      </c>
      <c r="AN26" s="11" t="s">
        <v>108</v>
      </c>
      <c r="AO26" s="11">
        <v>4.5</v>
      </c>
      <c r="AP26" s="11">
        <v>250</v>
      </c>
      <c r="AQ26" s="14">
        <v>3375</v>
      </c>
    </row>
    <row r="27" spans="2:50">
      <c r="B27" s="19" t="s">
        <v>72</v>
      </c>
      <c r="C27" s="105">
        <v>58647.44</v>
      </c>
      <c r="D27" s="105">
        <v>44382.98</v>
      </c>
      <c r="E27" s="105">
        <v>32714.84</v>
      </c>
      <c r="F27" s="105">
        <v>76880</v>
      </c>
      <c r="Q27" s="11" t="s">
        <v>74</v>
      </c>
      <c r="R27" s="11" t="s">
        <v>55</v>
      </c>
      <c r="S27" s="11">
        <v>0.55000000000000004</v>
      </c>
      <c r="V27" s="11" t="s">
        <v>119</v>
      </c>
      <c r="W27" s="11" t="s">
        <v>113</v>
      </c>
      <c r="X27" s="11" t="s">
        <v>108</v>
      </c>
      <c r="Y27" s="11">
        <v>6</v>
      </c>
      <c r="Z27" s="11">
        <v>220</v>
      </c>
      <c r="AA27" s="14">
        <v>1320</v>
      </c>
      <c r="AD27" s="11" t="s">
        <v>118</v>
      </c>
      <c r="AE27" s="11" t="s">
        <v>113</v>
      </c>
      <c r="AF27" s="11" t="s">
        <v>108</v>
      </c>
      <c r="AG27" s="11">
        <v>4.5</v>
      </c>
      <c r="AH27" s="11">
        <v>125</v>
      </c>
      <c r="AI27" s="11">
        <v>562.5</v>
      </c>
      <c r="AL27" s="11" t="s">
        <v>114</v>
      </c>
      <c r="AM27" s="11" t="s">
        <v>108</v>
      </c>
      <c r="AN27" s="11">
        <v>0.55000000000000004</v>
      </c>
      <c r="AO27" s="11">
        <v>250</v>
      </c>
      <c r="AP27" s="11">
        <v>412.5</v>
      </c>
    </row>
    <row r="28" spans="2:50">
      <c r="B28" s="19" t="s">
        <v>75</v>
      </c>
      <c r="C28" s="105"/>
      <c r="D28" s="105"/>
      <c r="E28" s="105"/>
      <c r="F28" s="105"/>
      <c r="Q28" s="11" t="s">
        <v>77</v>
      </c>
      <c r="R28" s="11" t="s">
        <v>55</v>
      </c>
      <c r="S28" s="11">
        <v>8.34</v>
      </c>
      <c r="V28" s="11" t="s">
        <v>114</v>
      </c>
      <c r="W28" s="11" t="s">
        <v>108</v>
      </c>
      <c r="X28" s="11">
        <v>0.55000000000000004</v>
      </c>
      <c r="Y28" s="11">
        <v>220</v>
      </c>
      <c r="Z28" s="11">
        <v>121</v>
      </c>
      <c r="AD28" s="11" t="s">
        <v>137</v>
      </c>
      <c r="AE28" s="11" t="s">
        <v>108</v>
      </c>
      <c r="AF28" s="11">
        <v>0.55000000000000004</v>
      </c>
      <c r="AG28" s="11">
        <v>125</v>
      </c>
      <c r="AH28" s="11">
        <v>68.75</v>
      </c>
      <c r="AL28" s="11" t="s">
        <v>141</v>
      </c>
      <c r="AM28" s="11" t="s">
        <v>108</v>
      </c>
      <c r="AN28" s="11">
        <v>3.32</v>
      </c>
      <c r="AO28" s="11">
        <v>250</v>
      </c>
      <c r="AP28" s="14">
        <v>2490</v>
      </c>
    </row>
    <row r="29" spans="2:50">
      <c r="B29" s="15"/>
      <c r="C29" s="16"/>
      <c r="D29" s="16"/>
      <c r="E29" s="16"/>
      <c r="F29" s="16"/>
      <c r="Q29" s="11" t="s">
        <v>78</v>
      </c>
      <c r="R29" s="11" t="s">
        <v>79</v>
      </c>
      <c r="S29" s="14">
        <v>2730</v>
      </c>
      <c r="V29" s="11" t="s">
        <v>116</v>
      </c>
      <c r="W29" s="11" t="s">
        <v>108</v>
      </c>
      <c r="X29" s="11">
        <v>3.32</v>
      </c>
      <c r="Y29" s="11">
        <v>220</v>
      </c>
      <c r="Z29" s="11">
        <v>730.4</v>
      </c>
      <c r="AD29" s="11" t="s">
        <v>138</v>
      </c>
      <c r="AE29" s="11" t="s">
        <v>108</v>
      </c>
      <c r="AF29" s="11">
        <v>7.89</v>
      </c>
      <c r="AG29" s="11">
        <v>125</v>
      </c>
      <c r="AH29" s="11">
        <v>986.25</v>
      </c>
      <c r="AL29" s="11" t="s">
        <v>124</v>
      </c>
      <c r="AM29" s="11" t="s">
        <v>78</v>
      </c>
      <c r="AN29" s="11" t="s">
        <v>143</v>
      </c>
      <c r="AO29" s="14">
        <v>2730</v>
      </c>
      <c r="AP29" s="11">
        <v>1</v>
      </c>
      <c r="AQ29" s="14">
        <v>2730</v>
      </c>
    </row>
    <row r="30" spans="2:50">
      <c r="Q30" s="12"/>
      <c r="V30" s="11" t="s">
        <v>120</v>
      </c>
      <c r="W30" s="11" t="s">
        <v>121</v>
      </c>
      <c r="X30" s="11" t="s">
        <v>122</v>
      </c>
      <c r="Y30" s="14">
        <v>7987.7</v>
      </c>
      <c r="Z30" s="11">
        <v>6.8000000000000005E-2</v>
      </c>
      <c r="AA30" s="11">
        <v>543.16</v>
      </c>
      <c r="AD30" s="11" t="s">
        <v>139</v>
      </c>
      <c r="AE30" s="11" t="s">
        <v>140</v>
      </c>
      <c r="AF30" s="11">
        <v>8.34</v>
      </c>
      <c r="AG30" s="11">
        <v>625</v>
      </c>
      <c r="AH30" s="14">
        <v>5212.5</v>
      </c>
      <c r="AL30" s="13" t="s">
        <v>144</v>
      </c>
      <c r="AM30" s="26">
        <v>76880</v>
      </c>
    </row>
    <row r="31" spans="2:50">
      <c r="V31" s="11" t="s">
        <v>123</v>
      </c>
      <c r="W31" s="11" t="s">
        <v>122</v>
      </c>
      <c r="X31" s="14">
        <v>57495.3</v>
      </c>
      <c r="Y31" s="11">
        <v>6.8000000000000005E-2</v>
      </c>
      <c r="Z31" s="14">
        <v>3909.68</v>
      </c>
      <c r="AD31" s="11" t="s">
        <v>120</v>
      </c>
      <c r="AE31" s="11" t="s">
        <v>121</v>
      </c>
      <c r="AF31" s="11" t="s">
        <v>38</v>
      </c>
      <c r="AG31" s="14">
        <v>7987.7</v>
      </c>
      <c r="AH31" s="11">
        <v>6.8000000000000005E-2</v>
      </c>
      <c r="AI31" s="11">
        <v>543.16</v>
      </c>
    </row>
    <row r="32" spans="2:50">
      <c r="V32" s="11" t="s">
        <v>124</v>
      </c>
      <c r="W32" s="11" t="s">
        <v>78</v>
      </c>
      <c r="X32" s="11" t="s">
        <v>126</v>
      </c>
      <c r="Y32" s="14">
        <v>2730</v>
      </c>
      <c r="Z32" s="11">
        <v>1</v>
      </c>
      <c r="AA32" s="14">
        <v>2730</v>
      </c>
      <c r="AD32" s="11" t="s">
        <v>123</v>
      </c>
      <c r="AE32" s="11" t="s">
        <v>38</v>
      </c>
      <c r="AF32" s="14">
        <v>57495.3</v>
      </c>
      <c r="AG32" s="11">
        <v>6.8000000000000005E-2</v>
      </c>
      <c r="AH32" s="14">
        <v>3909.68</v>
      </c>
    </row>
    <row r="33" spans="1:35">
      <c r="V33" s="13" t="s">
        <v>125</v>
      </c>
      <c r="W33" s="26">
        <v>58647.44</v>
      </c>
      <c r="AD33" s="11" t="s">
        <v>124</v>
      </c>
      <c r="AE33" s="11" t="s">
        <v>78</v>
      </c>
      <c r="AF33" s="11" t="s">
        <v>126</v>
      </c>
      <c r="AG33" s="14">
        <v>2730</v>
      </c>
      <c r="AH33" s="11">
        <v>1</v>
      </c>
      <c r="AI33" s="14">
        <v>2730</v>
      </c>
    </row>
    <row r="34" spans="1:35">
      <c r="AD34" s="13" t="s">
        <v>125</v>
      </c>
      <c r="AE34" s="14">
        <v>44382.98</v>
      </c>
    </row>
    <row r="40" spans="1:35">
      <c r="A40" s="10" t="s">
        <v>147</v>
      </c>
    </row>
    <row r="41" spans="1:35">
      <c r="A41" s="10" t="s">
        <v>148</v>
      </c>
    </row>
    <row r="42" spans="1:35">
      <c r="A42" s="10" t="s">
        <v>149</v>
      </c>
    </row>
    <row r="43" spans="1:35">
      <c r="A43" s="10" t="s">
        <v>150</v>
      </c>
    </row>
    <row r="44" spans="1:35">
      <c r="A44" s="10" t="s">
        <v>151</v>
      </c>
    </row>
    <row r="45" spans="1:35">
      <c r="A45" s="13" t="s">
        <v>152</v>
      </c>
      <c r="B45" s="13" t="s">
        <v>153</v>
      </c>
      <c r="C45" s="13" t="s">
        <v>154</v>
      </c>
    </row>
    <row r="46" spans="1:35">
      <c r="A46" s="13"/>
      <c r="B46" s="13" t="s">
        <v>155</v>
      </c>
      <c r="C46" s="13" t="s">
        <v>156</v>
      </c>
    </row>
    <row r="47" spans="1:35">
      <c r="A47" s="13"/>
      <c r="B47" s="11"/>
      <c r="C47" s="13" t="s">
        <v>157</v>
      </c>
    </row>
    <row r="48" spans="1:35">
      <c r="A48" s="13"/>
      <c r="B48" s="11"/>
      <c r="C48" s="13" t="s">
        <v>158</v>
      </c>
    </row>
    <row r="49" spans="1:3">
      <c r="A49" s="13" t="s">
        <v>159</v>
      </c>
      <c r="B49" s="11" t="s">
        <v>160</v>
      </c>
      <c r="C49" s="11" t="s">
        <v>161</v>
      </c>
    </row>
    <row r="50" spans="1:3">
      <c r="A50" s="13" t="s">
        <v>162</v>
      </c>
      <c r="B50" s="11" t="s">
        <v>163</v>
      </c>
      <c r="C50" s="11"/>
    </row>
    <row r="51" spans="1:3">
      <c r="A51" s="11"/>
      <c r="B51" s="11" t="s">
        <v>164</v>
      </c>
      <c r="C51" s="11"/>
    </row>
    <row r="52" spans="1:3">
      <c r="A52" s="11"/>
      <c r="B52" s="11" t="s">
        <v>165</v>
      </c>
      <c r="C52" s="11"/>
    </row>
    <row r="53" spans="1:3">
      <c r="A53" s="11"/>
      <c r="B53" s="11" t="s">
        <v>166</v>
      </c>
      <c r="C53" s="11"/>
    </row>
    <row r="54" spans="1:3">
      <c r="A54" s="11"/>
      <c r="B54" s="11" t="s">
        <v>167</v>
      </c>
      <c r="C54" s="11"/>
    </row>
    <row r="55" spans="1:3">
      <c r="A55" s="11"/>
      <c r="B55" s="11" t="s">
        <v>168</v>
      </c>
      <c r="C55" s="11"/>
    </row>
    <row r="56" spans="1:3">
      <c r="A56" s="11"/>
      <c r="B56" s="11" t="s">
        <v>169</v>
      </c>
      <c r="C56" s="11"/>
    </row>
    <row r="57" spans="1:3">
      <c r="A57" s="11"/>
      <c r="B57" s="11" t="s">
        <v>170</v>
      </c>
      <c r="C57" s="11"/>
    </row>
    <row r="58" spans="1:3">
      <c r="A58" s="11"/>
      <c r="B58" s="11" t="s">
        <v>171</v>
      </c>
      <c r="C58" s="11"/>
    </row>
    <row r="59" spans="1:3">
      <c r="A59" s="11"/>
      <c r="B59" s="11" t="s">
        <v>172</v>
      </c>
      <c r="C59" s="11"/>
    </row>
    <row r="60" spans="1:3">
      <c r="A60" s="11"/>
      <c r="B60" s="11" t="s">
        <v>173</v>
      </c>
      <c r="C60" s="11"/>
    </row>
    <row r="61" spans="1:3">
      <c r="A61" s="11"/>
      <c r="B61" s="11" t="s">
        <v>174</v>
      </c>
      <c r="C61" s="11"/>
    </row>
    <row r="62" spans="1:3">
      <c r="A62" s="11"/>
      <c r="B62" s="11" t="s">
        <v>175</v>
      </c>
      <c r="C62" s="11"/>
    </row>
    <row r="63" spans="1:3">
      <c r="A63" s="11"/>
      <c r="B63" s="11" t="s">
        <v>176</v>
      </c>
      <c r="C63" s="11"/>
    </row>
    <row r="64" spans="1:3">
      <c r="A64" s="11"/>
      <c r="B64" s="11" t="s">
        <v>177</v>
      </c>
      <c r="C64" s="11"/>
    </row>
    <row r="65" spans="1:3">
      <c r="A65" s="11"/>
      <c r="B65" s="11" t="s">
        <v>178</v>
      </c>
      <c r="C65" s="11"/>
    </row>
    <row r="66" spans="1:3">
      <c r="A66" s="11"/>
      <c r="B66" s="11" t="s">
        <v>179</v>
      </c>
      <c r="C66" s="11"/>
    </row>
    <row r="67" spans="1:3">
      <c r="A67" s="11"/>
      <c r="B67" s="11" t="s">
        <v>180</v>
      </c>
      <c r="C67" s="11"/>
    </row>
    <row r="68" spans="1:3">
      <c r="A68" s="11"/>
      <c r="B68" s="11" t="s">
        <v>181</v>
      </c>
      <c r="C68" s="11"/>
    </row>
    <row r="69" spans="1:3">
      <c r="A69" s="11"/>
      <c r="B69" s="11" t="s">
        <v>182</v>
      </c>
      <c r="C69" s="11"/>
    </row>
    <row r="70" spans="1:3">
      <c r="A70" s="11"/>
      <c r="B70" s="11" t="s">
        <v>183</v>
      </c>
      <c r="C70" s="11"/>
    </row>
    <row r="71" spans="1:3">
      <c r="A71" s="11"/>
      <c r="B71" s="11" t="s">
        <v>184</v>
      </c>
      <c r="C71" s="11"/>
    </row>
    <row r="72" spans="1:3">
      <c r="A72" s="11"/>
      <c r="B72" s="11" t="s">
        <v>185</v>
      </c>
      <c r="C72" s="11"/>
    </row>
    <row r="73" spans="1:3">
      <c r="A73" s="11"/>
      <c r="B73" s="11" t="s">
        <v>186</v>
      </c>
      <c r="C73" s="11"/>
    </row>
    <row r="74" spans="1:3">
      <c r="A74" s="11"/>
      <c r="B74" s="11" t="s">
        <v>187</v>
      </c>
      <c r="C74" s="11"/>
    </row>
    <row r="75" spans="1:3">
      <c r="A75" s="11"/>
      <c r="B75" s="11" t="s">
        <v>188</v>
      </c>
      <c r="C75" s="11"/>
    </row>
    <row r="76" spans="1:3">
      <c r="A76" s="11"/>
      <c r="B76" s="11" t="s">
        <v>189</v>
      </c>
      <c r="C76" s="11"/>
    </row>
    <row r="77" spans="1:3">
      <c r="A77" s="11"/>
      <c r="B77" s="11" t="s">
        <v>190</v>
      </c>
      <c r="C77" s="11"/>
    </row>
    <row r="78" spans="1:3">
      <c r="A78" s="11"/>
      <c r="B78" s="11" t="s">
        <v>191</v>
      </c>
      <c r="C78" s="11"/>
    </row>
    <row r="79" spans="1:3">
      <c r="A79" s="11"/>
      <c r="B79" s="11" t="s">
        <v>192</v>
      </c>
      <c r="C79" s="11"/>
    </row>
    <row r="80" spans="1:3">
      <c r="A80" s="11"/>
      <c r="B80" s="11" t="s">
        <v>193</v>
      </c>
      <c r="C80" s="11"/>
    </row>
    <row r="81" spans="1:3">
      <c r="A81" s="11"/>
      <c r="B81" s="11" t="s">
        <v>194</v>
      </c>
      <c r="C81" s="11"/>
    </row>
    <row r="82" spans="1:3">
      <c r="A82" s="11"/>
      <c r="B82" s="11" t="s">
        <v>195</v>
      </c>
      <c r="C82" s="11"/>
    </row>
    <row r="83" spans="1:3">
      <c r="A83" s="11"/>
      <c r="B83" s="11" t="s">
        <v>196</v>
      </c>
      <c r="C83" s="11"/>
    </row>
    <row r="84" spans="1:3">
      <c r="A84" s="11"/>
      <c r="B84" s="11" t="s">
        <v>197</v>
      </c>
      <c r="C84" s="11"/>
    </row>
    <row r="85" spans="1:3">
      <c r="A85" s="11"/>
      <c r="B85" s="11" t="s">
        <v>198</v>
      </c>
      <c r="C85" s="11"/>
    </row>
    <row r="86" spans="1:3">
      <c r="A86" s="11"/>
      <c r="B86" s="11" t="s">
        <v>199</v>
      </c>
      <c r="C86" s="11"/>
    </row>
    <row r="87" spans="1:3">
      <c r="A87" s="28"/>
    </row>
    <row r="88" spans="1:3">
      <c r="A88" s="12"/>
    </row>
    <row r="89" spans="1:3">
      <c r="A89" s="13" t="s">
        <v>30</v>
      </c>
      <c r="B89" s="11" t="s">
        <v>160</v>
      </c>
      <c r="C89" s="11" t="s">
        <v>200</v>
      </c>
    </row>
    <row r="90" spans="1:3">
      <c r="A90" s="13"/>
      <c r="B90" s="11" t="s">
        <v>171</v>
      </c>
      <c r="C90" s="11"/>
    </row>
    <row r="91" spans="1:3">
      <c r="A91" s="13"/>
      <c r="B91" s="11" t="s">
        <v>201</v>
      </c>
      <c r="C91" s="11"/>
    </row>
    <row r="92" spans="1:3">
      <c r="A92" s="13"/>
      <c r="B92" s="11" t="s">
        <v>202</v>
      </c>
      <c r="C92" s="11"/>
    </row>
    <row r="93" spans="1:3">
      <c r="A93" s="13"/>
      <c r="B93" s="11" t="s">
        <v>203</v>
      </c>
      <c r="C93" s="11"/>
    </row>
    <row r="94" spans="1:3">
      <c r="A94" s="13"/>
      <c r="B94" s="11" t="s">
        <v>204</v>
      </c>
      <c r="C94" s="11"/>
    </row>
    <row r="95" spans="1:3">
      <c r="A95" s="13"/>
      <c r="B95" s="11" t="s">
        <v>205</v>
      </c>
      <c r="C95" s="11"/>
    </row>
    <row r="96" spans="1:3">
      <c r="A96" s="13"/>
      <c r="B96" s="11" t="s">
        <v>206</v>
      </c>
      <c r="C96" s="11"/>
    </row>
    <row r="97" spans="1:3">
      <c r="A97" s="13"/>
      <c r="B97" s="11" t="s">
        <v>207</v>
      </c>
      <c r="C97" s="11"/>
    </row>
    <row r="98" spans="1:3">
      <c r="A98" s="13"/>
      <c r="B98" s="11" t="s">
        <v>208</v>
      </c>
      <c r="C98" s="11"/>
    </row>
    <row r="99" spans="1:3">
      <c r="A99" s="13"/>
      <c r="B99" s="11" t="s">
        <v>209</v>
      </c>
      <c r="C99" s="11"/>
    </row>
    <row r="100" spans="1:3">
      <c r="A100" s="13"/>
      <c r="B100" s="11" t="s">
        <v>210</v>
      </c>
      <c r="C100" s="11"/>
    </row>
    <row r="101" spans="1:3">
      <c r="A101" s="13"/>
      <c r="B101" s="11" t="s">
        <v>211</v>
      </c>
      <c r="C101" s="11"/>
    </row>
    <row r="102" spans="1:3">
      <c r="A102" s="13"/>
      <c r="B102" s="11" t="s">
        <v>212</v>
      </c>
      <c r="C102" s="11"/>
    </row>
    <row r="103" spans="1:3">
      <c r="A103" s="13"/>
      <c r="B103" s="11" t="s">
        <v>213</v>
      </c>
      <c r="C103" s="11"/>
    </row>
    <row r="104" spans="1:3">
      <c r="A104" s="13"/>
      <c r="B104" s="11" t="s">
        <v>214</v>
      </c>
      <c r="C104" s="11"/>
    </row>
    <row r="105" spans="1:3">
      <c r="A105" s="13"/>
      <c r="B105" s="11" t="s">
        <v>215</v>
      </c>
      <c r="C105" s="11"/>
    </row>
    <row r="106" spans="1:3">
      <c r="A106" s="13"/>
      <c r="B106" s="11" t="s">
        <v>216</v>
      </c>
      <c r="C106" s="11"/>
    </row>
    <row r="107" spans="1:3">
      <c r="A107" s="13"/>
      <c r="B107" s="11" t="s">
        <v>217</v>
      </c>
      <c r="C107" s="11"/>
    </row>
    <row r="108" spans="1:3">
      <c r="A108" s="13"/>
      <c r="B108" s="11" t="s">
        <v>218</v>
      </c>
      <c r="C108" s="11"/>
    </row>
    <row r="109" spans="1:3">
      <c r="A109" s="13"/>
      <c r="B109" s="11" t="s">
        <v>219</v>
      </c>
      <c r="C109" s="11"/>
    </row>
    <row r="110" spans="1:3">
      <c r="A110" s="13"/>
      <c r="B110" s="11" t="s">
        <v>220</v>
      </c>
      <c r="C110" s="11"/>
    </row>
    <row r="111" spans="1:3">
      <c r="A111" s="13"/>
      <c r="B111" s="11" t="s">
        <v>221</v>
      </c>
      <c r="C111" s="11"/>
    </row>
    <row r="112" spans="1:3">
      <c r="A112" s="13"/>
      <c r="B112" s="11" t="s">
        <v>222</v>
      </c>
      <c r="C112" s="11"/>
    </row>
    <row r="113" spans="1:3">
      <c r="A113" s="13"/>
      <c r="B113" s="11" t="s">
        <v>223</v>
      </c>
      <c r="C113" s="11"/>
    </row>
    <row r="114" spans="1:3">
      <c r="A114" s="13"/>
      <c r="B114" s="11" t="s">
        <v>224</v>
      </c>
      <c r="C114" s="11"/>
    </row>
    <row r="115" spans="1:3">
      <c r="A115" s="13"/>
      <c r="B115" s="11" t="s">
        <v>225</v>
      </c>
      <c r="C115" s="11"/>
    </row>
    <row r="116" spans="1:3">
      <c r="A116" s="13"/>
      <c r="B116" s="11" t="s">
        <v>226</v>
      </c>
      <c r="C116" s="11"/>
    </row>
    <row r="117" spans="1:3">
      <c r="A117" s="13"/>
      <c r="B117" s="11" t="s">
        <v>227</v>
      </c>
      <c r="C117" s="11"/>
    </row>
    <row r="118" spans="1:3">
      <c r="A118" s="13"/>
      <c r="B118" s="11" t="s">
        <v>228</v>
      </c>
      <c r="C118" s="11"/>
    </row>
    <row r="119" spans="1:3">
      <c r="A119" s="13"/>
      <c r="B119" s="11" t="s">
        <v>229</v>
      </c>
      <c r="C119" s="11"/>
    </row>
    <row r="120" spans="1:3">
      <c r="A120" s="13"/>
      <c r="B120" s="11" t="s">
        <v>230</v>
      </c>
      <c r="C120" s="11"/>
    </row>
    <row r="121" spans="1:3">
      <c r="A121" s="13"/>
      <c r="B121" s="11" t="s">
        <v>231</v>
      </c>
      <c r="C121" s="11"/>
    </row>
    <row r="122" spans="1:3">
      <c r="A122" s="13"/>
      <c r="B122" s="11" t="s">
        <v>232</v>
      </c>
      <c r="C122" s="11"/>
    </row>
    <row r="123" spans="1:3">
      <c r="A123" s="13"/>
      <c r="B123" s="11" t="s">
        <v>233</v>
      </c>
      <c r="C123" s="11"/>
    </row>
    <row r="124" spans="1:3">
      <c r="A124" s="13"/>
      <c r="B124" s="11" t="s">
        <v>234</v>
      </c>
      <c r="C124" s="11"/>
    </row>
    <row r="125" spans="1:3">
      <c r="A125" s="13"/>
      <c r="B125" s="11" t="s">
        <v>235</v>
      </c>
      <c r="C125" s="11"/>
    </row>
    <row r="126" spans="1:3">
      <c r="A126" s="13"/>
      <c r="B126" s="11" t="s">
        <v>236</v>
      </c>
      <c r="C126" s="11"/>
    </row>
    <row r="127" spans="1:3">
      <c r="A127" s="13"/>
      <c r="B127" s="11" t="s">
        <v>237</v>
      </c>
      <c r="C127" s="11"/>
    </row>
    <row r="128" spans="1:3">
      <c r="A128" s="13"/>
      <c r="B128" s="11" t="s">
        <v>238</v>
      </c>
      <c r="C128" s="11"/>
    </row>
    <row r="129" spans="1:3">
      <c r="A129" s="13"/>
      <c r="B129" s="11" t="s">
        <v>239</v>
      </c>
      <c r="C129" s="11"/>
    </row>
    <row r="130" spans="1:3">
      <c r="A130" s="13"/>
      <c r="B130" s="11" t="s">
        <v>240</v>
      </c>
      <c r="C130" s="11"/>
    </row>
    <row r="131" spans="1:3">
      <c r="A131" s="13"/>
      <c r="B131" s="11" t="s">
        <v>241</v>
      </c>
      <c r="C131" s="11"/>
    </row>
    <row r="132" spans="1:3">
      <c r="A132" s="13"/>
      <c r="B132" s="11" t="s">
        <v>242</v>
      </c>
      <c r="C132" s="11"/>
    </row>
    <row r="133" spans="1:3">
      <c r="A133" s="13"/>
      <c r="B133" s="11" t="s">
        <v>243</v>
      </c>
      <c r="C133" s="11"/>
    </row>
    <row r="134" spans="1:3">
      <c r="A134" s="13"/>
      <c r="B134" s="11" t="s">
        <v>244</v>
      </c>
      <c r="C134" s="11"/>
    </row>
    <row r="135" spans="1:3">
      <c r="A135" s="13"/>
      <c r="B135" s="11" t="s">
        <v>245</v>
      </c>
      <c r="C135" s="11"/>
    </row>
    <row r="136" spans="1:3">
      <c r="A136" s="13"/>
      <c r="B136" s="11" t="s">
        <v>246</v>
      </c>
      <c r="C136" s="11"/>
    </row>
    <row r="137" spans="1:3">
      <c r="A137" s="13"/>
      <c r="B137" s="11" t="s">
        <v>247</v>
      </c>
      <c r="C137" s="11"/>
    </row>
    <row r="138" spans="1:3">
      <c r="A138" s="13"/>
      <c r="B138" s="11" t="s">
        <v>248</v>
      </c>
      <c r="C138" s="11"/>
    </row>
    <row r="139" spans="1:3">
      <c r="A139" s="13"/>
      <c r="B139" s="11" t="s">
        <v>249</v>
      </c>
      <c r="C139" s="11"/>
    </row>
    <row r="140" spans="1:3">
      <c r="A140" s="13"/>
      <c r="B140" s="11" t="s">
        <v>250</v>
      </c>
      <c r="C140" s="11"/>
    </row>
    <row r="141" spans="1:3">
      <c r="A141" s="13"/>
      <c r="B141" s="11" t="s">
        <v>251</v>
      </c>
      <c r="C141" s="11"/>
    </row>
    <row r="142" spans="1:3">
      <c r="A142" s="13"/>
      <c r="B142" s="11" t="s">
        <v>252</v>
      </c>
      <c r="C142" s="11"/>
    </row>
    <row r="143" spans="1:3">
      <c r="A143" s="13"/>
      <c r="B143" s="11" t="s">
        <v>253</v>
      </c>
      <c r="C143" s="11"/>
    </row>
    <row r="144" spans="1:3">
      <c r="A144" s="13"/>
      <c r="B144" s="11" t="s">
        <v>254</v>
      </c>
      <c r="C144" s="11"/>
    </row>
    <row r="145" spans="1:3">
      <c r="A145" s="13"/>
      <c r="B145" s="11" t="s">
        <v>255</v>
      </c>
      <c r="C145" s="11"/>
    </row>
    <row r="146" spans="1:3">
      <c r="A146" s="13"/>
      <c r="B146" s="11" t="s">
        <v>256</v>
      </c>
      <c r="C146" s="11"/>
    </row>
    <row r="147" spans="1:3">
      <c r="A147" s="28"/>
    </row>
    <row r="148" spans="1:3">
      <c r="A148" s="12"/>
    </row>
    <row r="149" spans="1:3">
      <c r="A149" s="13" t="s">
        <v>257</v>
      </c>
      <c r="B149" s="11" t="s">
        <v>258</v>
      </c>
      <c r="C149" s="11" t="s">
        <v>259</v>
      </c>
    </row>
    <row r="150" spans="1:3">
      <c r="A150" s="13" t="s">
        <v>260</v>
      </c>
      <c r="B150" s="11" t="s">
        <v>261</v>
      </c>
      <c r="C150" s="11"/>
    </row>
    <row r="151" spans="1:3">
      <c r="A151" s="11"/>
      <c r="B151" s="11" t="s">
        <v>262</v>
      </c>
      <c r="C151" s="11"/>
    </row>
    <row r="152" spans="1:3">
      <c r="A152" s="11"/>
      <c r="B152" s="11" t="s">
        <v>263</v>
      </c>
      <c r="C152" s="11"/>
    </row>
    <row r="153" spans="1:3">
      <c r="A153" s="11"/>
      <c r="B153" s="11" t="s">
        <v>264</v>
      </c>
      <c r="C153" s="11"/>
    </row>
    <row r="154" spans="1:3">
      <c r="A154" s="11"/>
      <c r="B154" s="11" t="s">
        <v>265</v>
      </c>
      <c r="C154" s="11"/>
    </row>
    <row r="155" spans="1:3">
      <c r="A155" s="11"/>
      <c r="B155" s="11" t="s">
        <v>266</v>
      </c>
      <c r="C155" s="11"/>
    </row>
    <row r="156" spans="1:3">
      <c r="A156" s="11"/>
      <c r="B156" s="11" t="s">
        <v>267</v>
      </c>
      <c r="C156" s="11"/>
    </row>
    <row r="157" spans="1:3">
      <c r="A157" s="11"/>
      <c r="B157" s="11" t="s">
        <v>268</v>
      </c>
      <c r="C157" s="11"/>
    </row>
    <row r="158" spans="1:3">
      <c r="A158" s="11"/>
      <c r="B158" s="11" t="s">
        <v>269</v>
      </c>
      <c r="C158" s="11"/>
    </row>
    <row r="159" spans="1:3">
      <c r="A159" s="11"/>
      <c r="B159" s="11" t="s">
        <v>270</v>
      </c>
      <c r="C159" s="11"/>
    </row>
    <row r="160" spans="1:3">
      <c r="A160" s="11"/>
      <c r="B160" s="11" t="s">
        <v>271</v>
      </c>
      <c r="C160" s="11"/>
    </row>
    <row r="161" spans="1:3">
      <c r="A161" s="11"/>
      <c r="B161" s="11" t="s">
        <v>272</v>
      </c>
      <c r="C161" s="11"/>
    </row>
    <row r="162" spans="1:3">
      <c r="A162" s="11"/>
      <c r="B162" s="11" t="s">
        <v>273</v>
      </c>
      <c r="C162" s="11"/>
    </row>
    <row r="163" spans="1:3">
      <c r="A163" s="11"/>
      <c r="B163" s="11" t="s">
        <v>274</v>
      </c>
      <c r="C163" s="11"/>
    </row>
    <row r="164" spans="1:3">
      <c r="A164" s="11"/>
      <c r="B164" s="11" t="s">
        <v>275</v>
      </c>
      <c r="C164" s="11"/>
    </row>
    <row r="165" spans="1:3">
      <c r="A165" s="11"/>
      <c r="B165" s="11" t="s">
        <v>276</v>
      </c>
      <c r="C165" s="11"/>
    </row>
    <row r="166" spans="1:3">
      <c r="A166" s="11"/>
      <c r="B166" s="11" t="s">
        <v>277</v>
      </c>
      <c r="C166" s="11"/>
    </row>
    <row r="167" spans="1:3">
      <c r="A167" s="11"/>
      <c r="B167" s="11" t="s">
        <v>278</v>
      </c>
      <c r="C167" s="11"/>
    </row>
    <row r="168" spans="1:3">
      <c r="A168" s="11"/>
      <c r="B168" s="11" t="s">
        <v>279</v>
      </c>
      <c r="C168" s="11"/>
    </row>
    <row r="169" spans="1:3">
      <c r="A169" s="11"/>
      <c r="B169" s="11" t="s">
        <v>280</v>
      </c>
      <c r="C169" s="11"/>
    </row>
    <row r="170" spans="1:3">
      <c r="A170" s="11"/>
      <c r="B170" s="11" t="s">
        <v>281</v>
      </c>
      <c r="C170" s="11"/>
    </row>
    <row r="171" spans="1:3">
      <c r="A171" s="11"/>
      <c r="B171" s="11" t="s">
        <v>282</v>
      </c>
      <c r="C171" s="11"/>
    </row>
    <row r="172" spans="1:3">
      <c r="A172" s="11"/>
      <c r="B172" s="11" t="s">
        <v>283</v>
      </c>
      <c r="C172" s="11"/>
    </row>
    <row r="173" spans="1:3">
      <c r="A173" s="11"/>
      <c r="B173" s="11" t="s">
        <v>284</v>
      </c>
      <c r="C173" s="11"/>
    </row>
    <row r="174" spans="1:3">
      <c r="A174" s="11"/>
      <c r="B174" s="11" t="s">
        <v>285</v>
      </c>
      <c r="C174" s="11"/>
    </row>
    <row r="175" spans="1:3">
      <c r="A175" s="11"/>
      <c r="B175" s="11" t="s">
        <v>286</v>
      </c>
      <c r="C175" s="11"/>
    </row>
    <row r="176" spans="1:3">
      <c r="A176" s="11"/>
      <c r="B176" s="11" t="s">
        <v>287</v>
      </c>
      <c r="C176" s="11"/>
    </row>
    <row r="177" spans="1:3">
      <c r="A177" s="11"/>
      <c r="B177" s="11" t="s">
        <v>288</v>
      </c>
      <c r="C177" s="11"/>
    </row>
    <row r="178" spans="1:3">
      <c r="A178" s="11"/>
      <c r="B178" s="11" t="s">
        <v>289</v>
      </c>
      <c r="C178" s="11"/>
    </row>
    <row r="179" spans="1:3">
      <c r="A179" s="11"/>
      <c r="B179" s="11" t="s">
        <v>290</v>
      </c>
      <c r="C179" s="11"/>
    </row>
    <row r="180" spans="1:3">
      <c r="A180" s="11"/>
      <c r="B180" s="11" t="s">
        <v>291</v>
      </c>
      <c r="C180" s="11"/>
    </row>
    <row r="181" spans="1:3">
      <c r="A181" s="11"/>
      <c r="B181" s="11" t="s">
        <v>292</v>
      </c>
      <c r="C181" s="11"/>
    </row>
    <row r="182" spans="1:3">
      <c r="A182" s="11"/>
      <c r="B182" s="11" t="s">
        <v>293</v>
      </c>
      <c r="C182" s="11"/>
    </row>
    <row r="183" spans="1:3">
      <c r="A183" s="11"/>
      <c r="B183" s="11" t="s">
        <v>294</v>
      </c>
      <c r="C183" s="11"/>
    </row>
    <row r="184" spans="1:3">
      <c r="A184" s="11"/>
      <c r="B184" s="11" t="s">
        <v>295</v>
      </c>
      <c r="C184" s="11"/>
    </row>
    <row r="185" spans="1:3">
      <c r="A185" s="11"/>
      <c r="B185" s="11" t="s">
        <v>296</v>
      </c>
      <c r="C185" s="11"/>
    </row>
    <row r="186" spans="1:3">
      <c r="A186" s="11"/>
      <c r="B186" s="11" t="s">
        <v>297</v>
      </c>
      <c r="C186" s="11"/>
    </row>
    <row r="187" spans="1:3">
      <c r="A187" s="11"/>
      <c r="B187" s="11" t="s">
        <v>298</v>
      </c>
      <c r="C187" s="11"/>
    </row>
    <row r="188" spans="1:3">
      <c r="A188" s="11"/>
      <c r="B188" s="11" t="s">
        <v>299</v>
      </c>
      <c r="C188" s="11"/>
    </row>
    <row r="189" spans="1:3">
      <c r="A189" s="11"/>
      <c r="B189" s="11" t="s">
        <v>300</v>
      </c>
      <c r="C189" s="11"/>
    </row>
    <row r="190" spans="1:3">
      <c r="A190" s="11"/>
      <c r="B190" s="11" t="s">
        <v>301</v>
      </c>
      <c r="C190" s="11"/>
    </row>
    <row r="191" spans="1:3">
      <c r="A191" s="11"/>
      <c r="B191" s="11" t="s">
        <v>302</v>
      </c>
      <c r="C191" s="11"/>
    </row>
    <row r="192" spans="1:3">
      <c r="A192" s="11"/>
      <c r="B192" s="11" t="s">
        <v>303</v>
      </c>
      <c r="C192" s="11"/>
    </row>
    <row r="193" spans="1:3">
      <c r="A193" s="11"/>
      <c r="B193" s="11" t="s">
        <v>304</v>
      </c>
      <c r="C193" s="11"/>
    </row>
    <row r="194" spans="1:3">
      <c r="A194" s="13" t="s">
        <v>305</v>
      </c>
      <c r="B194" s="11" t="s">
        <v>306</v>
      </c>
      <c r="C194" s="11" t="s">
        <v>307</v>
      </c>
    </row>
    <row r="195" spans="1:3">
      <c r="A195" s="13" t="s">
        <v>308</v>
      </c>
      <c r="B195" s="11" t="s">
        <v>309</v>
      </c>
      <c r="C195" s="11"/>
    </row>
    <row r="196" spans="1:3">
      <c r="A196" s="13" t="s">
        <v>310</v>
      </c>
      <c r="B196" s="11" t="s">
        <v>266</v>
      </c>
      <c r="C196" s="11"/>
    </row>
    <row r="197" spans="1:3">
      <c r="A197" s="11"/>
      <c r="B197" s="11" t="s">
        <v>311</v>
      </c>
      <c r="C197" s="11"/>
    </row>
    <row r="198" spans="1:3">
      <c r="A198" s="11"/>
      <c r="B198" s="11" t="s">
        <v>312</v>
      </c>
      <c r="C198" s="11"/>
    </row>
    <row r="199" spans="1:3">
      <c r="A199" s="11"/>
      <c r="B199" s="11" t="s">
        <v>313</v>
      </c>
      <c r="C199" s="11"/>
    </row>
    <row r="200" spans="1:3">
      <c r="A200" s="11"/>
      <c r="B200" s="11" t="s">
        <v>314</v>
      </c>
      <c r="C200" s="11"/>
    </row>
    <row r="201" spans="1:3">
      <c r="A201" s="11"/>
      <c r="B201" s="11" t="s">
        <v>315</v>
      </c>
      <c r="C201" s="11"/>
    </row>
    <row r="202" spans="1:3">
      <c r="A202" s="11"/>
      <c r="B202" s="11" t="s">
        <v>316</v>
      </c>
      <c r="C202" s="11"/>
    </row>
    <row r="203" spans="1:3">
      <c r="A203" s="11"/>
      <c r="B203" s="11" t="s">
        <v>317</v>
      </c>
      <c r="C203" s="11"/>
    </row>
    <row r="204" spans="1:3">
      <c r="A204" s="11"/>
      <c r="B204" s="11" t="s">
        <v>318</v>
      </c>
      <c r="C204" s="11"/>
    </row>
    <row r="205" spans="1:3">
      <c r="A205" s="11"/>
      <c r="B205" s="11" t="s">
        <v>319</v>
      </c>
      <c r="C205" s="11"/>
    </row>
    <row r="206" spans="1:3">
      <c r="A206" s="11"/>
      <c r="B206" s="11" t="s">
        <v>320</v>
      </c>
      <c r="C206" s="11"/>
    </row>
    <row r="207" spans="1:3">
      <c r="A207" s="11"/>
      <c r="B207" s="11" t="s">
        <v>321</v>
      </c>
      <c r="C207" s="11"/>
    </row>
    <row r="208" spans="1:3">
      <c r="A208" s="11"/>
      <c r="B208" s="11" t="s">
        <v>322</v>
      </c>
      <c r="C208" s="11"/>
    </row>
    <row r="209" spans="1:3">
      <c r="A209" s="11"/>
      <c r="B209" s="11" t="s">
        <v>323</v>
      </c>
      <c r="C209" s="11"/>
    </row>
    <row r="210" spans="1:3">
      <c r="A210" s="11"/>
      <c r="B210" s="11" t="s">
        <v>285</v>
      </c>
      <c r="C210" s="11"/>
    </row>
    <row r="211" spans="1:3">
      <c r="A211" s="11"/>
      <c r="B211" s="11" t="s">
        <v>324</v>
      </c>
      <c r="C211" s="11"/>
    </row>
    <row r="212" spans="1:3">
      <c r="A212" s="11"/>
      <c r="B212" s="11" t="s">
        <v>325</v>
      </c>
      <c r="C212" s="11"/>
    </row>
    <row r="213" spans="1:3">
      <c r="A213" s="11"/>
      <c r="B213" s="11" t="s">
        <v>326</v>
      </c>
      <c r="C213" s="11"/>
    </row>
    <row r="214" spans="1:3">
      <c r="A214" s="11"/>
      <c r="B214" s="11" t="s">
        <v>327</v>
      </c>
      <c r="C214" s="11"/>
    </row>
    <row r="215" spans="1:3">
      <c r="A215" s="11"/>
      <c r="B215" s="11" t="s">
        <v>328</v>
      </c>
      <c r="C215" s="11"/>
    </row>
    <row r="216" spans="1:3">
      <c r="A216" s="11"/>
      <c r="B216" s="11" t="s">
        <v>300</v>
      </c>
      <c r="C216" s="11"/>
    </row>
    <row r="217" spans="1:3">
      <c r="A217" s="11"/>
      <c r="B217" s="11" t="s">
        <v>329</v>
      </c>
      <c r="C217" s="11"/>
    </row>
    <row r="218" spans="1:3">
      <c r="A218" s="12"/>
    </row>
    <row r="219" spans="1:3">
      <c r="A219" s="12" t="s">
        <v>330</v>
      </c>
    </row>
    <row r="220" spans="1:3">
      <c r="A220" s="12" t="s">
        <v>331</v>
      </c>
    </row>
    <row r="221" spans="1:3">
      <c r="A221" s="10"/>
    </row>
  </sheetData>
  <mergeCells count="8">
    <mergeCell ref="E27:E28"/>
    <mergeCell ref="F27:F28"/>
    <mergeCell ref="B23:B24"/>
    <mergeCell ref="B25:B26"/>
    <mergeCell ref="C25:C26"/>
    <mergeCell ref="D25:D26"/>
    <mergeCell ref="C27:C28"/>
    <mergeCell ref="D27:D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EF03C-7240-6546-A13B-263F50B7F85F}">
  <dimension ref="A1:H20"/>
  <sheetViews>
    <sheetView workbookViewId="0">
      <selection activeCell="J67" sqref="J67:J74"/>
    </sheetView>
  </sheetViews>
  <sheetFormatPr defaultColWidth="11.42578125" defaultRowHeight="15"/>
  <cols>
    <col min="2" max="2" width="41.7109375" customWidth="1"/>
    <col min="3" max="3" width="13.7109375" customWidth="1"/>
    <col min="6" max="6" width="13.28515625" bestFit="1" customWidth="1"/>
  </cols>
  <sheetData>
    <row r="1" spans="1:8">
      <c r="A1" t="s">
        <v>1</v>
      </c>
      <c r="B1" s="4" t="s">
        <v>332</v>
      </c>
    </row>
    <row r="4" spans="1:8" ht="15.95">
      <c r="B4" s="29" t="s">
        <v>333</v>
      </c>
    </row>
    <row r="6" spans="1:8" ht="18">
      <c r="B6" s="30" t="s">
        <v>334</v>
      </c>
      <c r="C6" s="30" t="s">
        <v>335</v>
      </c>
    </row>
    <row r="7" spans="1:8" ht="18">
      <c r="B7" s="31" t="s">
        <v>336</v>
      </c>
      <c r="C7" s="32">
        <v>2472</v>
      </c>
      <c r="F7" s="33" t="s">
        <v>337</v>
      </c>
      <c r="G7" s="34">
        <f>C7+C8-G10</f>
        <v>5602.3600000000006</v>
      </c>
      <c r="H7" s="35">
        <f>G7/$G$11</f>
        <v>2.6978002927806461E-2</v>
      </c>
    </row>
    <row r="8" spans="1:8" ht="18">
      <c r="B8" s="31" t="s">
        <v>338</v>
      </c>
      <c r="C8" s="32">
        <v>5207</v>
      </c>
      <c r="F8" s="33" t="s">
        <v>339</v>
      </c>
      <c r="G8" s="34">
        <f>C13+C9+C10</f>
        <v>57282</v>
      </c>
      <c r="H8" s="35">
        <f>G8/$G$11</f>
        <v>0.27583981816780956</v>
      </c>
    </row>
    <row r="9" spans="1:8" ht="18">
      <c r="B9" s="31" t="s">
        <v>340</v>
      </c>
      <c r="C9" s="32">
        <v>9603</v>
      </c>
      <c r="F9" s="33" t="s">
        <v>30</v>
      </c>
      <c r="G9" s="34">
        <f>C11+C12</f>
        <v>142703</v>
      </c>
      <c r="H9" s="35">
        <f>G9/$G$11</f>
        <v>0.68718217890438404</v>
      </c>
    </row>
    <row r="10" spans="1:8" ht="18">
      <c r="B10" s="31" t="s">
        <v>341</v>
      </c>
      <c r="C10" s="32">
        <v>12188</v>
      </c>
      <c r="F10" s="33" t="s">
        <v>342</v>
      </c>
      <c r="G10" s="36">
        <v>2076.64</v>
      </c>
      <c r="H10" s="35">
        <f>G10/$G$11</f>
        <v>0.01</v>
      </c>
    </row>
    <row r="11" spans="1:8" ht="18">
      <c r="B11" s="31" t="s">
        <v>343</v>
      </c>
      <c r="C11" s="32">
        <v>86701</v>
      </c>
      <c r="G11" s="37">
        <f>SUM(G7:G10)</f>
        <v>207664</v>
      </c>
    </row>
    <row r="12" spans="1:8" ht="18">
      <c r="B12" s="31" t="s">
        <v>344</v>
      </c>
      <c r="C12" s="32">
        <v>56002</v>
      </c>
    </row>
    <row r="13" spans="1:8" ht="18">
      <c r="B13" s="31" t="s">
        <v>345</v>
      </c>
      <c r="C13" s="32">
        <v>35491</v>
      </c>
    </row>
    <row r="15" spans="1:8">
      <c r="C15" s="37">
        <f>SUM(C7:C13)</f>
        <v>207664</v>
      </c>
    </row>
    <row r="20" spans="2:2">
      <c r="B20" s="4"/>
    </row>
  </sheetData>
  <hyperlinks>
    <hyperlink ref="B1" r:id="rId1" xr:uid="{FEE2F2C2-24AB-9649-8D2E-5D8EBF740D4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BA4DD-3449-B148-B379-80F37F4B0D24}">
  <dimension ref="A1:M4564"/>
  <sheetViews>
    <sheetView workbookViewId="0">
      <selection activeCell="J67" sqref="J67:J74"/>
    </sheetView>
  </sheetViews>
  <sheetFormatPr defaultColWidth="12.42578125" defaultRowHeight="12.95"/>
  <cols>
    <col min="1" max="1" width="11.85546875" style="40" customWidth="1"/>
    <col min="2" max="2" width="17.140625" style="40" customWidth="1"/>
    <col min="3" max="3" width="10.140625" style="40" customWidth="1"/>
    <col min="4" max="4" width="11.7109375" style="40" customWidth="1"/>
    <col min="5" max="5" width="9.7109375" style="40" customWidth="1"/>
    <col min="6" max="6" width="11.7109375" style="40" customWidth="1"/>
    <col min="7" max="8" width="17.140625" style="40" customWidth="1"/>
    <col min="9" max="9" width="13.28515625" style="40" customWidth="1"/>
    <col min="10" max="10" width="4.42578125" style="40" customWidth="1"/>
    <col min="11" max="11" width="11.7109375" style="40" customWidth="1"/>
    <col min="12" max="12" width="9.7109375" style="40" customWidth="1"/>
    <col min="13" max="13" width="11.7109375" style="40" customWidth="1"/>
    <col min="14" max="14" width="17.140625" style="40" customWidth="1"/>
    <col min="15" max="102" width="17.140625" style="40" bestFit="1" customWidth="1"/>
    <col min="103" max="258" width="10.140625" style="40" customWidth="1"/>
    <col min="259" max="16384" width="12.42578125" style="40"/>
  </cols>
  <sheetData>
    <row r="1" spans="1:3" ht="12.95" customHeight="1">
      <c r="A1" s="38" t="s">
        <v>346</v>
      </c>
      <c r="B1" s="39"/>
      <c r="C1" s="39"/>
    </row>
    <row r="2" spans="1:3" ht="12.95" customHeight="1">
      <c r="A2" t="s">
        <v>347</v>
      </c>
      <c r="B2" s="39"/>
      <c r="C2" s="39"/>
    </row>
    <row r="3" spans="1:3" ht="12.95" customHeight="1">
      <c r="A3" s="39"/>
      <c r="B3" s="39"/>
      <c r="C3" s="39"/>
    </row>
    <row r="4" spans="1:3" ht="12.95" customHeight="1">
      <c r="A4" s="39"/>
      <c r="B4" s="41" t="s">
        <v>348</v>
      </c>
      <c r="C4" s="42"/>
    </row>
    <row r="5" spans="1:3" ht="12.95" customHeight="1">
      <c r="A5" s="39"/>
      <c r="B5" s="41" t="s">
        <v>349</v>
      </c>
      <c r="C5" s="41" t="s">
        <v>350</v>
      </c>
    </row>
    <row r="6" spans="1:3" ht="12.95" customHeight="1">
      <c r="A6" s="39"/>
      <c r="B6" s="42">
        <v>2006</v>
      </c>
      <c r="C6" s="43">
        <f t="shared" ref="C6:C18" si="0">SUMIF($C$31:$C$4564,B6,$F$31:$F$4564)/COUNTIF($C$31:$C$4564,B6)</f>
        <v>10.901017260273969</v>
      </c>
    </row>
    <row r="7" spans="1:3" ht="12.95" customHeight="1">
      <c r="A7" s="39"/>
      <c r="B7" s="42">
        <v>2007</v>
      </c>
      <c r="C7" s="43">
        <f t="shared" si="0"/>
        <v>10.926903013698627</v>
      </c>
    </row>
    <row r="8" spans="1:3" ht="12.95" customHeight="1">
      <c r="A8" s="39"/>
      <c r="B8" s="42">
        <v>2008</v>
      </c>
      <c r="C8" s="43">
        <f t="shared" si="0"/>
        <v>11.138301912568313</v>
      </c>
    </row>
    <row r="9" spans="1:3" ht="12.95" customHeight="1">
      <c r="A9" s="39"/>
      <c r="B9" s="42">
        <v>2009</v>
      </c>
      <c r="C9" s="43">
        <f t="shared" si="0"/>
        <v>13.509501369863028</v>
      </c>
    </row>
    <row r="10" spans="1:3" ht="12.95" customHeight="1">
      <c r="A10" s="39"/>
      <c r="B10" s="42">
        <v>2010</v>
      </c>
      <c r="C10" s="43">
        <f t="shared" si="0"/>
        <v>12.636678082191793</v>
      </c>
    </row>
    <row r="11" spans="1:3" ht="12.95" customHeight="1">
      <c r="A11" s="39"/>
      <c r="B11" s="42">
        <v>2011</v>
      </c>
      <c r="C11" s="43">
        <f t="shared" si="0"/>
        <v>12.427292876712329</v>
      </c>
    </row>
    <row r="12" spans="1:3" ht="12.95" customHeight="1">
      <c r="A12" s="39"/>
      <c r="B12" s="42">
        <v>2012</v>
      </c>
      <c r="C12" s="43">
        <f t="shared" si="0"/>
        <v>13.168531967213106</v>
      </c>
    </row>
    <row r="13" spans="1:3" ht="12.95" customHeight="1">
      <c r="A13" s="39"/>
      <c r="B13" s="42">
        <v>2013</v>
      </c>
      <c r="C13" s="43">
        <f t="shared" si="0"/>
        <v>12.767464383561641</v>
      </c>
    </row>
    <row r="14" spans="1:3" ht="12.95" customHeight="1">
      <c r="A14" s="39"/>
      <c r="B14" s="42">
        <v>2014</v>
      </c>
      <c r="C14" s="43">
        <f t="shared" si="0"/>
        <v>13.298290410958895</v>
      </c>
    </row>
    <row r="15" spans="1:3" ht="12.95" customHeight="1">
      <c r="A15" s="39"/>
      <c r="B15" s="42">
        <v>2015</v>
      </c>
      <c r="C15" s="43">
        <f t="shared" si="0"/>
        <v>15.854175890410984</v>
      </c>
    </row>
    <row r="16" spans="1:3" ht="12.95" customHeight="1">
      <c r="A16" s="39"/>
      <c r="B16" s="42">
        <v>2016</v>
      </c>
      <c r="C16" s="43">
        <f t="shared" si="0"/>
        <v>18.656701092896164</v>
      </c>
    </row>
    <row r="17" spans="1:13" ht="12.95" customHeight="1">
      <c r="A17" s="39"/>
      <c r="B17" s="42">
        <v>2017</v>
      </c>
      <c r="C17" s="43">
        <f t="shared" si="0"/>
        <v>18.929111232876703</v>
      </c>
    </row>
    <row r="18" spans="1:13" ht="12.95" customHeight="1">
      <c r="A18" s="39"/>
      <c r="B18" s="42">
        <v>2018</v>
      </c>
      <c r="C18" s="43">
        <f t="shared" si="0"/>
        <v>18.822825165562914</v>
      </c>
    </row>
    <row r="19" spans="1:13" ht="12.95" customHeight="1">
      <c r="A19" s="39"/>
      <c r="B19" s="44">
        <v>2019</v>
      </c>
      <c r="C19" s="45">
        <f t="shared" ref="C19:C25" si="1">SUMIF($J$31:$J$4564,B19,$M$31:$M$4564)/COUNTIF($J$31:$J$4564,B19)</f>
        <v>19.261770410958889</v>
      </c>
    </row>
    <row r="20" spans="1:13" ht="12.95" customHeight="1">
      <c r="A20" s="39"/>
      <c r="B20" s="44">
        <v>2020</v>
      </c>
      <c r="C20" s="45">
        <f t="shared" si="1"/>
        <v>21.496090163934426</v>
      </c>
    </row>
    <row r="21" spans="1:13" ht="12.95" customHeight="1">
      <c r="A21" s="39"/>
      <c r="B21" s="44">
        <v>2021</v>
      </c>
      <c r="C21" s="45">
        <f t="shared" si="1"/>
        <v>20.281794246575341</v>
      </c>
    </row>
    <row r="22" spans="1:13" ht="12.95" customHeight="1">
      <c r="A22" s="39"/>
      <c r="B22" s="44">
        <v>2022</v>
      </c>
      <c r="C22" s="45">
        <f t="shared" si="1"/>
        <v>20.124999726027369</v>
      </c>
    </row>
    <row r="23" spans="1:13" ht="12.95" customHeight="1">
      <c r="A23" s="39"/>
      <c r="B23" s="44">
        <v>2023</v>
      </c>
      <c r="C23" s="45">
        <f t="shared" si="1"/>
        <v>17.762000273972614</v>
      </c>
    </row>
    <row r="24" spans="1:13" ht="12.95" customHeight="1">
      <c r="A24" s="39"/>
      <c r="B24" s="44">
        <v>2024</v>
      </c>
      <c r="C24" s="45">
        <f t="shared" si="1"/>
        <v>18.302356284152999</v>
      </c>
    </row>
    <row r="25" spans="1:13" ht="12.95" customHeight="1">
      <c r="A25" s="39"/>
      <c r="B25" s="44">
        <v>2025</v>
      </c>
      <c r="C25" s="45">
        <f t="shared" si="1"/>
        <v>20.518101785714286</v>
      </c>
    </row>
    <row r="26" spans="1:13" ht="12.95" customHeight="1">
      <c r="A26" s="39"/>
      <c r="B26" s="39"/>
      <c r="C26" s="39"/>
    </row>
    <row r="27" spans="1:13" ht="12.95" customHeight="1">
      <c r="A27" s="41" t="s">
        <v>351</v>
      </c>
      <c r="B27" s="39"/>
      <c r="C27" s="39"/>
      <c r="H27" s="46" t="s">
        <v>352</v>
      </c>
      <c r="I27" s="4" t="s">
        <v>353</v>
      </c>
    </row>
    <row r="28" spans="1:13" ht="15">
      <c r="A28" s="47" t="s">
        <v>354</v>
      </c>
      <c r="B28" s="48"/>
      <c r="C28" s="48"/>
      <c r="H28" s="49" t="s">
        <v>354</v>
      </c>
      <c r="I28" s="49"/>
      <c r="J28"/>
      <c r="K28"/>
      <c r="L28"/>
    </row>
    <row r="29" spans="1:13" ht="12.95" customHeight="1">
      <c r="A29" s="50" t="s">
        <v>355</v>
      </c>
      <c r="B29" s="51" t="s">
        <v>356</v>
      </c>
      <c r="C29" s="51" t="s">
        <v>357</v>
      </c>
      <c r="D29" s="51" t="s">
        <v>358</v>
      </c>
      <c r="E29" s="51" t="s">
        <v>359</v>
      </c>
      <c r="F29" s="51" t="s">
        <v>360</v>
      </c>
      <c r="H29" s="52" t="s">
        <v>355</v>
      </c>
      <c r="I29" s="53" t="s">
        <v>356</v>
      </c>
      <c r="J29" s="53" t="s">
        <v>357</v>
      </c>
      <c r="K29" s="54" t="s">
        <v>358</v>
      </c>
      <c r="L29" s="54" t="s">
        <v>359</v>
      </c>
      <c r="M29" s="54" t="s">
        <v>360</v>
      </c>
    </row>
    <row r="30" spans="1:13" ht="12.95" customHeight="1">
      <c r="A30" s="55"/>
      <c r="H30" s="56"/>
      <c r="I30"/>
      <c r="J30"/>
      <c r="K30"/>
      <c r="L30"/>
      <c r="M30"/>
    </row>
    <row r="31" spans="1:13">
      <c r="A31" s="57" t="s">
        <v>361</v>
      </c>
      <c r="B31" s="58">
        <f t="shared" ref="B31:B94" si="2">DATE(RIGHT(A31,4),LEFT(RIGHT(A31,7),2),LEFT(A31,2))</f>
        <v>38718</v>
      </c>
      <c r="C31" s="59">
        <f t="shared" ref="C31:C94" si="3">YEAR(B31)</f>
        <v>2006</v>
      </c>
      <c r="D31" s="60" t="s">
        <v>362</v>
      </c>
      <c r="E31" s="60" t="s">
        <v>362</v>
      </c>
      <c r="F31" s="61">
        <v>10.710900000000001</v>
      </c>
      <c r="H31" s="62" t="s">
        <v>363</v>
      </c>
      <c r="I31" s="58">
        <f>DATE(RIGHT(H31,4),LEFT(RIGHT(A31,7),2),LEFT(A31,2))</f>
        <v>43466</v>
      </c>
      <c r="J31" s="60">
        <f t="shared" ref="J31:J94" si="4">YEAR(I31)</f>
        <v>2019</v>
      </c>
      <c r="K31" s="63" t="s">
        <v>362</v>
      </c>
      <c r="L31" s="63" t="s">
        <v>362</v>
      </c>
      <c r="M31" s="64">
        <v>19.656600000000001</v>
      </c>
    </row>
    <row r="32" spans="1:13">
      <c r="A32" s="65" t="s">
        <v>364</v>
      </c>
      <c r="B32" s="66">
        <f t="shared" si="2"/>
        <v>38719</v>
      </c>
      <c r="C32" s="67">
        <f t="shared" si="3"/>
        <v>2006</v>
      </c>
      <c r="D32" s="68">
        <v>10.625299999999999</v>
      </c>
      <c r="E32" s="68">
        <v>10.634399999999999</v>
      </c>
      <c r="F32" s="68">
        <v>10.710900000000001</v>
      </c>
      <c r="H32" s="69" t="s">
        <v>365</v>
      </c>
      <c r="I32" s="66">
        <f t="shared" ref="I32:I95" si="5">DATE(RIGHT(H32,4),LEFT(RIGHT(A32,7),2),LEFT(A32,2))</f>
        <v>43467</v>
      </c>
      <c r="J32" s="70">
        <f t="shared" si="4"/>
        <v>2019</v>
      </c>
      <c r="K32" s="71">
        <v>19.587800000000001</v>
      </c>
      <c r="L32" s="71">
        <v>19.651199999999999</v>
      </c>
      <c r="M32" s="71">
        <v>19.656600000000001</v>
      </c>
    </row>
    <row r="33" spans="1:13">
      <c r="A33" s="57" t="s">
        <v>366</v>
      </c>
      <c r="B33" s="58">
        <f t="shared" si="2"/>
        <v>38720</v>
      </c>
      <c r="C33" s="59">
        <f t="shared" si="3"/>
        <v>2006</v>
      </c>
      <c r="D33" s="61">
        <v>10.6455</v>
      </c>
      <c r="E33" s="61">
        <v>10.625299999999999</v>
      </c>
      <c r="F33" s="61">
        <v>10.634399999999999</v>
      </c>
      <c r="H33" s="62" t="s">
        <v>367</v>
      </c>
      <c r="I33" s="58">
        <f t="shared" si="5"/>
        <v>43468</v>
      </c>
      <c r="J33" s="60">
        <f t="shared" si="4"/>
        <v>2019</v>
      </c>
      <c r="K33" s="64">
        <v>19.607299999999999</v>
      </c>
      <c r="L33" s="64">
        <v>19.587800000000001</v>
      </c>
      <c r="M33" s="64">
        <v>19.651199999999999</v>
      </c>
    </row>
    <row r="34" spans="1:13">
      <c r="A34" s="65" t="s">
        <v>368</v>
      </c>
      <c r="B34" s="66">
        <f t="shared" si="2"/>
        <v>38721</v>
      </c>
      <c r="C34" s="67">
        <f t="shared" si="3"/>
        <v>2006</v>
      </c>
      <c r="D34" s="68">
        <v>10.5815</v>
      </c>
      <c r="E34" s="68">
        <v>10.6455</v>
      </c>
      <c r="F34" s="68">
        <v>10.625299999999999</v>
      </c>
      <c r="H34" s="69" t="s">
        <v>369</v>
      </c>
      <c r="I34" s="66">
        <f t="shared" si="5"/>
        <v>43469</v>
      </c>
      <c r="J34" s="70">
        <f t="shared" si="4"/>
        <v>2019</v>
      </c>
      <c r="K34" s="71">
        <v>19.490200000000002</v>
      </c>
      <c r="L34" s="71">
        <v>19.607299999999999</v>
      </c>
      <c r="M34" s="71">
        <v>19.587800000000001</v>
      </c>
    </row>
    <row r="35" spans="1:13">
      <c r="A35" s="57" t="s">
        <v>370</v>
      </c>
      <c r="B35" s="58">
        <f t="shared" si="2"/>
        <v>38722</v>
      </c>
      <c r="C35" s="59">
        <f t="shared" si="3"/>
        <v>2006</v>
      </c>
      <c r="D35" s="61">
        <v>10.5907</v>
      </c>
      <c r="E35" s="61">
        <v>10.5815</v>
      </c>
      <c r="F35" s="61">
        <v>10.6455</v>
      </c>
      <c r="H35" s="62" t="s">
        <v>371</v>
      </c>
      <c r="I35" s="58">
        <f t="shared" si="5"/>
        <v>43470</v>
      </c>
      <c r="J35" s="60">
        <f t="shared" si="4"/>
        <v>2019</v>
      </c>
      <c r="K35" s="63" t="s">
        <v>362</v>
      </c>
      <c r="L35" s="63" t="s">
        <v>362</v>
      </c>
      <c r="M35" s="64">
        <v>19.607299999999999</v>
      </c>
    </row>
    <row r="36" spans="1:13">
      <c r="A36" s="65" t="s">
        <v>372</v>
      </c>
      <c r="B36" s="66">
        <f t="shared" si="2"/>
        <v>38723</v>
      </c>
      <c r="C36" s="67">
        <f t="shared" si="3"/>
        <v>2006</v>
      </c>
      <c r="D36" s="68">
        <v>10.5726</v>
      </c>
      <c r="E36" s="68">
        <v>10.5907</v>
      </c>
      <c r="F36" s="68">
        <v>10.5815</v>
      </c>
      <c r="H36" s="69" t="s">
        <v>373</v>
      </c>
      <c r="I36" s="66">
        <f t="shared" si="5"/>
        <v>43471</v>
      </c>
      <c r="J36" s="70">
        <f t="shared" si="4"/>
        <v>2019</v>
      </c>
      <c r="K36" s="72" t="s">
        <v>362</v>
      </c>
      <c r="L36" s="72" t="s">
        <v>362</v>
      </c>
      <c r="M36" s="71">
        <v>19.607299999999999</v>
      </c>
    </row>
    <row r="37" spans="1:13">
      <c r="A37" s="57" t="s">
        <v>374</v>
      </c>
      <c r="B37" s="58">
        <f t="shared" si="2"/>
        <v>38724</v>
      </c>
      <c r="C37" s="59">
        <f t="shared" si="3"/>
        <v>2006</v>
      </c>
      <c r="D37" s="60" t="s">
        <v>362</v>
      </c>
      <c r="E37" s="60" t="s">
        <v>362</v>
      </c>
      <c r="F37" s="61">
        <v>10.5907</v>
      </c>
      <c r="H37" s="62" t="s">
        <v>375</v>
      </c>
      <c r="I37" s="58">
        <f t="shared" si="5"/>
        <v>43472</v>
      </c>
      <c r="J37" s="60">
        <f t="shared" si="4"/>
        <v>2019</v>
      </c>
      <c r="K37" s="64">
        <v>19.320799999999998</v>
      </c>
      <c r="L37" s="64">
        <v>19.490200000000002</v>
      </c>
      <c r="M37" s="64">
        <v>19.607299999999999</v>
      </c>
    </row>
    <row r="38" spans="1:13">
      <c r="A38" s="65" t="s">
        <v>376</v>
      </c>
      <c r="B38" s="66">
        <f t="shared" si="2"/>
        <v>38725</v>
      </c>
      <c r="C38" s="67">
        <f t="shared" si="3"/>
        <v>2006</v>
      </c>
      <c r="D38" s="70" t="s">
        <v>362</v>
      </c>
      <c r="E38" s="70" t="s">
        <v>362</v>
      </c>
      <c r="F38" s="68">
        <v>10.5907</v>
      </c>
      <c r="H38" s="69" t="s">
        <v>377</v>
      </c>
      <c r="I38" s="66">
        <f t="shared" si="5"/>
        <v>43473</v>
      </c>
      <c r="J38" s="70">
        <f t="shared" si="4"/>
        <v>2019</v>
      </c>
      <c r="K38" s="71">
        <v>19.347899999999999</v>
      </c>
      <c r="L38" s="71">
        <v>19.320799999999998</v>
      </c>
      <c r="M38" s="71">
        <v>19.490200000000002</v>
      </c>
    </row>
    <row r="39" spans="1:13">
      <c r="A39" s="57" t="s">
        <v>378</v>
      </c>
      <c r="B39" s="58">
        <f t="shared" si="2"/>
        <v>38726</v>
      </c>
      <c r="C39" s="59">
        <f t="shared" si="3"/>
        <v>2006</v>
      </c>
      <c r="D39" s="61">
        <v>10.544600000000001</v>
      </c>
      <c r="E39" s="61">
        <v>10.5726</v>
      </c>
      <c r="F39" s="61">
        <v>10.5907</v>
      </c>
      <c r="H39" s="62" t="s">
        <v>379</v>
      </c>
      <c r="I39" s="58">
        <f t="shared" si="5"/>
        <v>43474</v>
      </c>
      <c r="J39" s="60">
        <f t="shared" si="4"/>
        <v>2019</v>
      </c>
      <c r="K39" s="64">
        <v>19.2456</v>
      </c>
      <c r="L39" s="64">
        <v>19.347899999999999</v>
      </c>
      <c r="M39" s="64">
        <v>19.320799999999998</v>
      </c>
    </row>
    <row r="40" spans="1:13">
      <c r="A40" s="65" t="s">
        <v>380</v>
      </c>
      <c r="B40" s="66">
        <f t="shared" si="2"/>
        <v>38727</v>
      </c>
      <c r="C40" s="67">
        <f t="shared" si="3"/>
        <v>2006</v>
      </c>
      <c r="D40" s="68">
        <v>10.599</v>
      </c>
      <c r="E40" s="68">
        <v>10.544600000000001</v>
      </c>
      <c r="F40" s="68">
        <v>10.5726</v>
      </c>
      <c r="H40" s="69" t="s">
        <v>381</v>
      </c>
      <c r="I40" s="66">
        <f t="shared" si="5"/>
        <v>43475</v>
      </c>
      <c r="J40" s="70">
        <f t="shared" si="4"/>
        <v>2019</v>
      </c>
      <c r="K40" s="71">
        <v>19.171399999999998</v>
      </c>
      <c r="L40" s="71">
        <v>19.2456</v>
      </c>
      <c r="M40" s="71">
        <v>19.347899999999999</v>
      </c>
    </row>
    <row r="41" spans="1:13">
      <c r="A41" s="57" t="s">
        <v>382</v>
      </c>
      <c r="B41" s="58">
        <f t="shared" si="2"/>
        <v>38728</v>
      </c>
      <c r="C41" s="59">
        <f t="shared" si="3"/>
        <v>2006</v>
      </c>
      <c r="D41" s="61">
        <v>10.6097</v>
      </c>
      <c r="E41" s="61">
        <v>10.599</v>
      </c>
      <c r="F41" s="61">
        <v>10.544600000000001</v>
      </c>
      <c r="H41" s="62" t="s">
        <v>383</v>
      </c>
      <c r="I41" s="58">
        <f t="shared" si="5"/>
        <v>43476</v>
      </c>
      <c r="J41" s="60">
        <f t="shared" si="4"/>
        <v>2019</v>
      </c>
      <c r="K41" s="64">
        <v>19.1236</v>
      </c>
      <c r="L41" s="64">
        <v>19.171399999999998</v>
      </c>
      <c r="M41" s="64">
        <v>19.2456</v>
      </c>
    </row>
    <row r="42" spans="1:13">
      <c r="A42" s="65" t="s">
        <v>384</v>
      </c>
      <c r="B42" s="66">
        <f t="shared" si="2"/>
        <v>38729</v>
      </c>
      <c r="C42" s="67">
        <f t="shared" si="3"/>
        <v>2006</v>
      </c>
      <c r="D42" s="68">
        <v>10.5732</v>
      </c>
      <c r="E42" s="68">
        <v>10.6097</v>
      </c>
      <c r="F42" s="68">
        <v>10.599</v>
      </c>
      <c r="H42" s="69" t="s">
        <v>385</v>
      </c>
      <c r="I42" s="66">
        <f t="shared" si="5"/>
        <v>43477</v>
      </c>
      <c r="J42" s="70">
        <f t="shared" si="4"/>
        <v>2019</v>
      </c>
      <c r="K42" s="72" t="s">
        <v>362</v>
      </c>
      <c r="L42" s="72" t="s">
        <v>362</v>
      </c>
      <c r="M42" s="71">
        <v>19.171399999999998</v>
      </c>
    </row>
    <row r="43" spans="1:13">
      <c r="A43" s="57" t="s">
        <v>386</v>
      </c>
      <c r="B43" s="58">
        <f t="shared" si="2"/>
        <v>38730</v>
      </c>
      <c r="C43" s="59">
        <f t="shared" si="3"/>
        <v>2006</v>
      </c>
      <c r="D43" s="61">
        <v>10.575200000000001</v>
      </c>
      <c r="E43" s="61">
        <v>10.5732</v>
      </c>
      <c r="F43" s="61">
        <v>10.6097</v>
      </c>
      <c r="H43" s="62" t="s">
        <v>387</v>
      </c>
      <c r="I43" s="58">
        <f t="shared" si="5"/>
        <v>43478</v>
      </c>
      <c r="J43" s="60">
        <f t="shared" si="4"/>
        <v>2019</v>
      </c>
      <c r="K43" s="63" t="s">
        <v>362</v>
      </c>
      <c r="L43" s="63" t="s">
        <v>362</v>
      </c>
      <c r="M43" s="64">
        <v>19.171399999999998</v>
      </c>
    </row>
    <row r="44" spans="1:13">
      <c r="A44" s="65" t="s">
        <v>388</v>
      </c>
      <c r="B44" s="66">
        <f t="shared" si="2"/>
        <v>38731</v>
      </c>
      <c r="C44" s="67">
        <f t="shared" si="3"/>
        <v>2006</v>
      </c>
      <c r="D44" s="70" t="s">
        <v>362</v>
      </c>
      <c r="E44" s="70" t="s">
        <v>362</v>
      </c>
      <c r="F44" s="68">
        <v>10.5732</v>
      </c>
      <c r="H44" s="69" t="s">
        <v>389</v>
      </c>
      <c r="I44" s="66">
        <f t="shared" si="5"/>
        <v>43479</v>
      </c>
      <c r="J44" s="70">
        <f t="shared" si="4"/>
        <v>2019</v>
      </c>
      <c r="K44" s="71">
        <v>19.006399999999999</v>
      </c>
      <c r="L44" s="71">
        <v>19.1236</v>
      </c>
      <c r="M44" s="71">
        <v>19.171399999999998</v>
      </c>
    </row>
    <row r="45" spans="1:13">
      <c r="A45" s="57" t="s">
        <v>390</v>
      </c>
      <c r="B45" s="58">
        <f t="shared" si="2"/>
        <v>38732</v>
      </c>
      <c r="C45" s="59">
        <f t="shared" si="3"/>
        <v>2006</v>
      </c>
      <c r="D45" s="60" t="s">
        <v>362</v>
      </c>
      <c r="E45" s="60" t="s">
        <v>362</v>
      </c>
      <c r="F45" s="61">
        <v>10.5732</v>
      </c>
      <c r="H45" s="62" t="s">
        <v>391</v>
      </c>
      <c r="I45" s="58">
        <f t="shared" si="5"/>
        <v>43480</v>
      </c>
      <c r="J45" s="60">
        <f t="shared" si="4"/>
        <v>2019</v>
      </c>
      <c r="K45" s="64">
        <v>19.0457</v>
      </c>
      <c r="L45" s="64">
        <v>19.006399999999999</v>
      </c>
      <c r="M45" s="64">
        <v>19.1236</v>
      </c>
    </row>
    <row r="46" spans="1:13">
      <c r="A46" s="65" t="s">
        <v>392</v>
      </c>
      <c r="B46" s="66">
        <f t="shared" si="2"/>
        <v>38733</v>
      </c>
      <c r="C46" s="67">
        <f t="shared" si="3"/>
        <v>2006</v>
      </c>
      <c r="D46" s="68">
        <v>10.558999999999999</v>
      </c>
      <c r="E46" s="68">
        <v>10.575200000000001</v>
      </c>
      <c r="F46" s="68">
        <v>10.5732</v>
      </c>
      <c r="H46" s="69" t="s">
        <v>393</v>
      </c>
      <c r="I46" s="66">
        <f t="shared" si="5"/>
        <v>43481</v>
      </c>
      <c r="J46" s="70">
        <f t="shared" si="4"/>
        <v>2019</v>
      </c>
      <c r="K46" s="71">
        <v>18.9908</v>
      </c>
      <c r="L46" s="71">
        <v>19.0457</v>
      </c>
      <c r="M46" s="71">
        <v>19.006399999999999</v>
      </c>
    </row>
    <row r="47" spans="1:13">
      <c r="A47" s="57" t="s">
        <v>394</v>
      </c>
      <c r="B47" s="58">
        <f t="shared" si="2"/>
        <v>38734</v>
      </c>
      <c r="C47" s="59">
        <f t="shared" si="3"/>
        <v>2006</v>
      </c>
      <c r="D47" s="61">
        <v>10.5372</v>
      </c>
      <c r="E47" s="61">
        <v>10.558999999999999</v>
      </c>
      <c r="F47" s="61">
        <v>10.575200000000001</v>
      </c>
      <c r="H47" s="62" t="s">
        <v>395</v>
      </c>
      <c r="I47" s="58">
        <f t="shared" si="5"/>
        <v>43482</v>
      </c>
      <c r="J47" s="60">
        <f t="shared" si="4"/>
        <v>2019</v>
      </c>
      <c r="K47" s="64">
        <v>19.062999999999999</v>
      </c>
      <c r="L47" s="64">
        <v>18.9908</v>
      </c>
      <c r="M47" s="64">
        <v>19.0457</v>
      </c>
    </row>
    <row r="48" spans="1:13">
      <c r="A48" s="65" t="s">
        <v>396</v>
      </c>
      <c r="B48" s="66">
        <f t="shared" si="2"/>
        <v>38735</v>
      </c>
      <c r="C48" s="67">
        <f t="shared" si="3"/>
        <v>2006</v>
      </c>
      <c r="D48" s="68">
        <v>10.5778</v>
      </c>
      <c r="E48" s="68">
        <v>10.5372</v>
      </c>
      <c r="F48" s="68">
        <v>10.558999999999999</v>
      </c>
      <c r="H48" s="69" t="s">
        <v>397</v>
      </c>
      <c r="I48" s="66">
        <f t="shared" si="5"/>
        <v>43483</v>
      </c>
      <c r="J48" s="70">
        <f t="shared" si="4"/>
        <v>2019</v>
      </c>
      <c r="K48" s="71">
        <v>19.084399999999999</v>
      </c>
      <c r="L48" s="71">
        <v>19.062999999999999</v>
      </c>
      <c r="M48" s="71">
        <v>18.9908</v>
      </c>
    </row>
    <row r="49" spans="1:13">
      <c r="A49" s="57" t="s">
        <v>398</v>
      </c>
      <c r="B49" s="58">
        <f t="shared" si="2"/>
        <v>38736</v>
      </c>
      <c r="C49" s="59">
        <f t="shared" si="3"/>
        <v>2006</v>
      </c>
      <c r="D49" s="61">
        <v>10.5589</v>
      </c>
      <c r="E49" s="61">
        <v>10.5778</v>
      </c>
      <c r="F49" s="61">
        <v>10.5372</v>
      </c>
      <c r="H49" s="62" t="s">
        <v>399</v>
      </c>
      <c r="I49" s="58">
        <f t="shared" si="5"/>
        <v>43484</v>
      </c>
      <c r="J49" s="60">
        <f t="shared" si="4"/>
        <v>2019</v>
      </c>
      <c r="K49" s="63" t="s">
        <v>362</v>
      </c>
      <c r="L49" s="63" t="s">
        <v>362</v>
      </c>
      <c r="M49" s="64">
        <v>19.062999999999999</v>
      </c>
    </row>
    <row r="50" spans="1:13">
      <c r="A50" s="65" t="s">
        <v>400</v>
      </c>
      <c r="B50" s="66">
        <f t="shared" si="2"/>
        <v>38737</v>
      </c>
      <c r="C50" s="67">
        <f t="shared" si="3"/>
        <v>2006</v>
      </c>
      <c r="D50" s="68">
        <v>10.5078</v>
      </c>
      <c r="E50" s="68">
        <v>10.5589</v>
      </c>
      <c r="F50" s="68">
        <v>10.5778</v>
      </c>
      <c r="H50" s="69" t="s">
        <v>401</v>
      </c>
      <c r="I50" s="66">
        <f t="shared" si="5"/>
        <v>43485</v>
      </c>
      <c r="J50" s="70">
        <f t="shared" si="4"/>
        <v>2019</v>
      </c>
      <c r="K50" s="72" t="s">
        <v>362</v>
      </c>
      <c r="L50" s="72" t="s">
        <v>362</v>
      </c>
      <c r="M50" s="71">
        <v>19.062999999999999</v>
      </c>
    </row>
    <row r="51" spans="1:13">
      <c r="A51" s="57" t="s">
        <v>402</v>
      </c>
      <c r="B51" s="58">
        <f t="shared" si="2"/>
        <v>38738</v>
      </c>
      <c r="C51" s="59">
        <f t="shared" si="3"/>
        <v>2006</v>
      </c>
      <c r="D51" s="60" t="s">
        <v>362</v>
      </c>
      <c r="E51" s="60" t="s">
        <v>362</v>
      </c>
      <c r="F51" s="61">
        <v>10.5589</v>
      </c>
      <c r="H51" s="62" t="s">
        <v>403</v>
      </c>
      <c r="I51" s="58">
        <f t="shared" si="5"/>
        <v>43486</v>
      </c>
      <c r="J51" s="60">
        <f t="shared" si="4"/>
        <v>2019</v>
      </c>
      <c r="K51" s="64">
        <v>19.190200000000001</v>
      </c>
      <c r="L51" s="64">
        <v>19.084399999999999</v>
      </c>
      <c r="M51" s="64">
        <v>19.062999999999999</v>
      </c>
    </row>
    <row r="52" spans="1:13">
      <c r="A52" s="65" t="s">
        <v>404</v>
      </c>
      <c r="B52" s="66">
        <f t="shared" si="2"/>
        <v>38739</v>
      </c>
      <c r="C52" s="67">
        <f t="shared" si="3"/>
        <v>2006</v>
      </c>
      <c r="D52" s="70" t="s">
        <v>362</v>
      </c>
      <c r="E52" s="70" t="s">
        <v>362</v>
      </c>
      <c r="F52" s="68">
        <v>10.5589</v>
      </c>
      <c r="H52" s="69" t="s">
        <v>405</v>
      </c>
      <c r="I52" s="66">
        <f t="shared" si="5"/>
        <v>43487</v>
      </c>
      <c r="J52" s="70">
        <f t="shared" si="4"/>
        <v>2019</v>
      </c>
      <c r="K52" s="71">
        <v>19.1297</v>
      </c>
      <c r="L52" s="71">
        <v>19.190200000000001</v>
      </c>
      <c r="M52" s="71">
        <v>19.084399999999999</v>
      </c>
    </row>
    <row r="53" spans="1:13">
      <c r="A53" s="57" t="s">
        <v>406</v>
      </c>
      <c r="B53" s="58">
        <f t="shared" si="2"/>
        <v>38740</v>
      </c>
      <c r="C53" s="59">
        <f t="shared" si="3"/>
        <v>2006</v>
      </c>
      <c r="D53" s="61">
        <v>10.520799999999999</v>
      </c>
      <c r="E53" s="61">
        <v>10.5078</v>
      </c>
      <c r="F53" s="61">
        <v>10.5589</v>
      </c>
      <c r="H53" s="62" t="s">
        <v>407</v>
      </c>
      <c r="I53" s="58">
        <f t="shared" si="5"/>
        <v>43488</v>
      </c>
      <c r="J53" s="60">
        <f t="shared" si="4"/>
        <v>2019</v>
      </c>
      <c r="K53" s="64">
        <v>19.077100000000002</v>
      </c>
      <c r="L53" s="64">
        <v>19.1297</v>
      </c>
      <c r="M53" s="64">
        <v>19.190200000000001</v>
      </c>
    </row>
    <row r="54" spans="1:13">
      <c r="A54" s="65" t="s">
        <v>408</v>
      </c>
      <c r="B54" s="66">
        <f t="shared" si="2"/>
        <v>38741</v>
      </c>
      <c r="C54" s="67">
        <f t="shared" si="3"/>
        <v>2006</v>
      </c>
      <c r="D54" s="68">
        <v>10.5063</v>
      </c>
      <c r="E54" s="68">
        <v>10.520799999999999</v>
      </c>
      <c r="F54" s="68">
        <v>10.5078</v>
      </c>
      <c r="H54" s="69" t="s">
        <v>409</v>
      </c>
      <c r="I54" s="66">
        <f t="shared" si="5"/>
        <v>43489</v>
      </c>
      <c r="J54" s="70">
        <f t="shared" si="4"/>
        <v>2019</v>
      </c>
      <c r="K54" s="71">
        <v>18.985900000000001</v>
      </c>
      <c r="L54" s="71">
        <v>19.077100000000002</v>
      </c>
      <c r="M54" s="71">
        <v>19.1297</v>
      </c>
    </row>
    <row r="55" spans="1:13">
      <c r="A55" s="57" t="s">
        <v>410</v>
      </c>
      <c r="B55" s="58">
        <f t="shared" si="2"/>
        <v>38742</v>
      </c>
      <c r="C55" s="59">
        <f t="shared" si="3"/>
        <v>2006</v>
      </c>
      <c r="D55" s="61">
        <v>10.500400000000001</v>
      </c>
      <c r="E55" s="61">
        <v>10.5063</v>
      </c>
      <c r="F55" s="61">
        <v>10.520799999999999</v>
      </c>
      <c r="H55" s="62" t="s">
        <v>411</v>
      </c>
      <c r="I55" s="58">
        <f t="shared" si="5"/>
        <v>43490</v>
      </c>
      <c r="J55" s="60">
        <f t="shared" si="4"/>
        <v>2019</v>
      </c>
      <c r="K55" s="64">
        <v>18.928000000000001</v>
      </c>
      <c r="L55" s="64">
        <v>18.985900000000001</v>
      </c>
      <c r="M55" s="64">
        <v>19.077100000000002</v>
      </c>
    </row>
    <row r="56" spans="1:13">
      <c r="A56" s="65" t="s">
        <v>412</v>
      </c>
      <c r="B56" s="66">
        <f t="shared" si="2"/>
        <v>38743</v>
      </c>
      <c r="C56" s="67">
        <f t="shared" si="3"/>
        <v>2006</v>
      </c>
      <c r="D56" s="68">
        <v>10.5039</v>
      </c>
      <c r="E56" s="68">
        <v>10.500400000000001</v>
      </c>
      <c r="F56" s="68">
        <v>10.5063</v>
      </c>
      <c r="H56" s="69" t="s">
        <v>413</v>
      </c>
      <c r="I56" s="66">
        <f t="shared" si="5"/>
        <v>43491</v>
      </c>
      <c r="J56" s="70">
        <f t="shared" si="4"/>
        <v>2019</v>
      </c>
      <c r="K56" s="72" t="s">
        <v>362</v>
      </c>
      <c r="L56" s="72" t="s">
        <v>362</v>
      </c>
      <c r="M56" s="71">
        <v>18.985900000000001</v>
      </c>
    </row>
    <row r="57" spans="1:13">
      <c r="A57" s="57" t="s">
        <v>414</v>
      </c>
      <c r="B57" s="58">
        <f t="shared" si="2"/>
        <v>38744</v>
      </c>
      <c r="C57" s="59">
        <f t="shared" si="3"/>
        <v>2006</v>
      </c>
      <c r="D57" s="61">
        <v>10.4598</v>
      </c>
      <c r="E57" s="61">
        <v>10.5039</v>
      </c>
      <c r="F57" s="61">
        <v>10.500400000000001</v>
      </c>
      <c r="H57" s="62" t="s">
        <v>415</v>
      </c>
      <c r="I57" s="58">
        <f t="shared" si="5"/>
        <v>43492</v>
      </c>
      <c r="J57" s="60">
        <f t="shared" si="4"/>
        <v>2019</v>
      </c>
      <c r="K57" s="63" t="s">
        <v>362</v>
      </c>
      <c r="L57" s="63" t="s">
        <v>362</v>
      </c>
      <c r="M57" s="64">
        <v>18.985900000000001</v>
      </c>
    </row>
    <row r="58" spans="1:13">
      <c r="A58" s="65" t="s">
        <v>416</v>
      </c>
      <c r="B58" s="66">
        <f t="shared" si="2"/>
        <v>38745</v>
      </c>
      <c r="C58" s="67">
        <f t="shared" si="3"/>
        <v>2006</v>
      </c>
      <c r="D58" s="70" t="s">
        <v>362</v>
      </c>
      <c r="E58" s="70" t="s">
        <v>362</v>
      </c>
      <c r="F58" s="68">
        <v>10.5039</v>
      </c>
      <c r="H58" s="69" t="s">
        <v>417</v>
      </c>
      <c r="I58" s="66">
        <f t="shared" si="5"/>
        <v>43493</v>
      </c>
      <c r="J58" s="70">
        <f t="shared" si="4"/>
        <v>2019</v>
      </c>
      <c r="K58" s="71">
        <v>19.0381</v>
      </c>
      <c r="L58" s="71">
        <v>18.928000000000001</v>
      </c>
      <c r="M58" s="71">
        <v>18.985900000000001</v>
      </c>
    </row>
    <row r="59" spans="1:13">
      <c r="A59" s="57" t="s">
        <v>418</v>
      </c>
      <c r="B59" s="58">
        <f t="shared" si="2"/>
        <v>38746</v>
      </c>
      <c r="C59" s="59">
        <f t="shared" si="3"/>
        <v>2006</v>
      </c>
      <c r="D59" s="60" t="s">
        <v>362</v>
      </c>
      <c r="E59" s="60" t="s">
        <v>362</v>
      </c>
      <c r="F59" s="61">
        <v>10.5039</v>
      </c>
      <c r="H59" s="62" t="s">
        <v>419</v>
      </c>
      <c r="I59" s="58">
        <f t="shared" si="5"/>
        <v>43494</v>
      </c>
      <c r="J59" s="60">
        <f t="shared" si="4"/>
        <v>2019</v>
      </c>
      <c r="K59" s="64">
        <v>18.997199999999999</v>
      </c>
      <c r="L59" s="64">
        <v>19.0381</v>
      </c>
      <c r="M59" s="64">
        <v>18.928000000000001</v>
      </c>
    </row>
    <row r="60" spans="1:13">
      <c r="A60" s="65" t="s">
        <v>420</v>
      </c>
      <c r="B60" s="66">
        <f t="shared" si="2"/>
        <v>38747</v>
      </c>
      <c r="C60" s="67">
        <f t="shared" si="3"/>
        <v>2006</v>
      </c>
      <c r="D60" s="68">
        <v>10.441599999999999</v>
      </c>
      <c r="E60" s="68">
        <v>10.4598</v>
      </c>
      <c r="F60" s="68">
        <v>10.5039</v>
      </c>
      <c r="H60" s="69" t="s">
        <v>421</v>
      </c>
      <c r="I60" s="66">
        <f t="shared" si="5"/>
        <v>43495</v>
      </c>
      <c r="J60" s="70">
        <f t="shared" si="4"/>
        <v>2019</v>
      </c>
      <c r="K60" s="71">
        <v>19.162299999999998</v>
      </c>
      <c r="L60" s="71">
        <v>18.997199999999999</v>
      </c>
      <c r="M60" s="71">
        <v>19.0381</v>
      </c>
    </row>
    <row r="61" spans="1:13">
      <c r="A61" s="57" t="s">
        <v>422</v>
      </c>
      <c r="B61" s="58">
        <f t="shared" si="2"/>
        <v>38748</v>
      </c>
      <c r="C61" s="59">
        <f t="shared" si="3"/>
        <v>2006</v>
      </c>
      <c r="D61" s="61">
        <v>10.443300000000001</v>
      </c>
      <c r="E61" s="61">
        <v>10.441599999999999</v>
      </c>
      <c r="F61" s="61">
        <v>10.4598</v>
      </c>
      <c r="H61" s="62" t="s">
        <v>423</v>
      </c>
      <c r="I61" s="58">
        <f t="shared" si="5"/>
        <v>43496</v>
      </c>
      <c r="J61" s="60">
        <f t="shared" si="4"/>
        <v>2019</v>
      </c>
      <c r="K61" s="64">
        <v>19.038799999999998</v>
      </c>
      <c r="L61" s="64">
        <v>19.162299999999998</v>
      </c>
      <c r="M61" s="64">
        <v>18.997199999999999</v>
      </c>
    </row>
    <row r="62" spans="1:13">
      <c r="A62" s="65" t="s">
        <v>424</v>
      </c>
      <c r="B62" s="66">
        <f t="shared" si="2"/>
        <v>38749</v>
      </c>
      <c r="C62" s="67">
        <f t="shared" si="3"/>
        <v>2006</v>
      </c>
      <c r="D62" s="68">
        <v>10.430300000000001</v>
      </c>
      <c r="E62" s="68">
        <v>10.443300000000001</v>
      </c>
      <c r="F62" s="68">
        <v>10.441599999999999</v>
      </c>
      <c r="H62" s="69" t="s">
        <v>425</v>
      </c>
      <c r="I62" s="66">
        <f t="shared" si="5"/>
        <v>43497</v>
      </c>
      <c r="J62" s="70">
        <f t="shared" si="4"/>
        <v>2019</v>
      </c>
      <c r="K62" s="71">
        <v>19.1098</v>
      </c>
      <c r="L62" s="71">
        <v>19.038799999999998</v>
      </c>
      <c r="M62" s="71">
        <v>19.162299999999998</v>
      </c>
    </row>
    <row r="63" spans="1:13">
      <c r="A63" s="57" t="s">
        <v>426</v>
      </c>
      <c r="B63" s="58">
        <f t="shared" si="2"/>
        <v>38750</v>
      </c>
      <c r="C63" s="59">
        <f t="shared" si="3"/>
        <v>2006</v>
      </c>
      <c r="D63" s="61">
        <v>10.480499999999999</v>
      </c>
      <c r="E63" s="61">
        <v>10.430300000000001</v>
      </c>
      <c r="F63" s="61">
        <v>10.443300000000001</v>
      </c>
      <c r="H63" s="62" t="s">
        <v>427</v>
      </c>
      <c r="I63" s="58">
        <f t="shared" si="5"/>
        <v>43498</v>
      </c>
      <c r="J63" s="60">
        <f t="shared" si="4"/>
        <v>2019</v>
      </c>
      <c r="K63" s="63" t="s">
        <v>362</v>
      </c>
      <c r="L63" s="63" t="s">
        <v>362</v>
      </c>
      <c r="M63" s="64">
        <v>19.038799999999998</v>
      </c>
    </row>
    <row r="64" spans="1:13">
      <c r="A64" s="65" t="s">
        <v>428</v>
      </c>
      <c r="B64" s="66">
        <f t="shared" si="2"/>
        <v>38751</v>
      </c>
      <c r="C64" s="67">
        <f t="shared" si="3"/>
        <v>2006</v>
      </c>
      <c r="D64" s="68">
        <v>10.498100000000001</v>
      </c>
      <c r="E64" s="68">
        <v>10.480499999999999</v>
      </c>
      <c r="F64" s="68">
        <v>10.430300000000001</v>
      </c>
      <c r="H64" s="69" t="s">
        <v>429</v>
      </c>
      <c r="I64" s="66">
        <f t="shared" si="5"/>
        <v>43499</v>
      </c>
      <c r="J64" s="70">
        <f t="shared" si="4"/>
        <v>2019</v>
      </c>
      <c r="K64" s="72" t="s">
        <v>362</v>
      </c>
      <c r="L64" s="72" t="s">
        <v>362</v>
      </c>
      <c r="M64" s="71">
        <v>19.038799999999998</v>
      </c>
    </row>
    <row r="65" spans="1:13">
      <c r="A65" s="57" t="s">
        <v>430</v>
      </c>
      <c r="B65" s="58">
        <f t="shared" si="2"/>
        <v>38752</v>
      </c>
      <c r="C65" s="59">
        <f t="shared" si="3"/>
        <v>2006</v>
      </c>
      <c r="D65" s="60" t="s">
        <v>362</v>
      </c>
      <c r="E65" s="60" t="s">
        <v>362</v>
      </c>
      <c r="F65" s="61">
        <v>10.480499999999999</v>
      </c>
      <c r="H65" s="62" t="s">
        <v>431</v>
      </c>
      <c r="I65" s="58">
        <f t="shared" si="5"/>
        <v>43500</v>
      </c>
      <c r="J65" s="60">
        <f t="shared" si="4"/>
        <v>2019</v>
      </c>
      <c r="K65" s="63" t="s">
        <v>362</v>
      </c>
      <c r="L65" s="63" t="s">
        <v>362</v>
      </c>
      <c r="M65" s="64">
        <v>19.038799999999998</v>
      </c>
    </row>
    <row r="66" spans="1:13">
      <c r="A66" s="65" t="s">
        <v>432</v>
      </c>
      <c r="B66" s="66">
        <f t="shared" si="2"/>
        <v>38753</v>
      </c>
      <c r="C66" s="67">
        <f t="shared" si="3"/>
        <v>2006</v>
      </c>
      <c r="D66" s="70" t="s">
        <v>362</v>
      </c>
      <c r="E66" s="70" t="s">
        <v>362</v>
      </c>
      <c r="F66" s="68">
        <v>10.480499999999999</v>
      </c>
      <c r="H66" s="69" t="s">
        <v>433</v>
      </c>
      <c r="I66" s="66">
        <f t="shared" si="5"/>
        <v>43501</v>
      </c>
      <c r="J66" s="70">
        <f t="shared" si="4"/>
        <v>2019</v>
      </c>
      <c r="K66" s="71">
        <v>19.0824</v>
      </c>
      <c r="L66" s="71">
        <v>19.1098</v>
      </c>
      <c r="M66" s="71">
        <v>19.038799999999998</v>
      </c>
    </row>
    <row r="67" spans="1:13">
      <c r="A67" s="57" t="s">
        <v>434</v>
      </c>
      <c r="B67" s="58">
        <f t="shared" si="2"/>
        <v>38754</v>
      </c>
      <c r="C67" s="59">
        <f t="shared" si="3"/>
        <v>2006</v>
      </c>
      <c r="D67" s="60" t="s">
        <v>362</v>
      </c>
      <c r="E67" s="60" t="s">
        <v>362</v>
      </c>
      <c r="F67" s="61">
        <v>10.480499999999999</v>
      </c>
      <c r="H67" s="62" t="s">
        <v>435</v>
      </c>
      <c r="I67" s="58">
        <f t="shared" si="5"/>
        <v>43502</v>
      </c>
      <c r="J67" s="60">
        <f t="shared" si="4"/>
        <v>2019</v>
      </c>
      <c r="K67" s="64">
        <v>19.105799999999999</v>
      </c>
      <c r="L67" s="64">
        <v>19.0824</v>
      </c>
      <c r="M67" s="64">
        <v>19.1098</v>
      </c>
    </row>
    <row r="68" spans="1:13">
      <c r="A68" s="65" t="s">
        <v>436</v>
      </c>
      <c r="B68" s="66">
        <f t="shared" si="2"/>
        <v>38755</v>
      </c>
      <c r="C68" s="67">
        <f t="shared" si="3"/>
        <v>2006</v>
      </c>
      <c r="D68" s="68">
        <v>10.4758</v>
      </c>
      <c r="E68" s="68">
        <v>10.498100000000001</v>
      </c>
      <c r="F68" s="68">
        <v>10.480499999999999</v>
      </c>
      <c r="H68" s="69" t="s">
        <v>437</v>
      </c>
      <c r="I68" s="66">
        <f t="shared" si="5"/>
        <v>43503</v>
      </c>
      <c r="J68" s="70">
        <f t="shared" si="4"/>
        <v>2019</v>
      </c>
      <c r="K68" s="71">
        <v>19.079999999999998</v>
      </c>
      <c r="L68" s="71">
        <v>19.105799999999999</v>
      </c>
      <c r="M68" s="71">
        <v>19.0824</v>
      </c>
    </row>
    <row r="69" spans="1:13">
      <c r="A69" s="57" t="s">
        <v>438</v>
      </c>
      <c r="B69" s="58">
        <f t="shared" si="2"/>
        <v>38756</v>
      </c>
      <c r="C69" s="59">
        <f t="shared" si="3"/>
        <v>2006</v>
      </c>
      <c r="D69" s="61">
        <v>10.527699999999999</v>
      </c>
      <c r="E69" s="61">
        <v>10.4758</v>
      </c>
      <c r="F69" s="61">
        <v>10.498100000000001</v>
      </c>
      <c r="H69" s="62" t="s">
        <v>439</v>
      </c>
      <c r="I69" s="58">
        <f t="shared" si="5"/>
        <v>43504</v>
      </c>
      <c r="J69" s="60">
        <f t="shared" si="4"/>
        <v>2019</v>
      </c>
      <c r="K69" s="64">
        <v>19.089300000000001</v>
      </c>
      <c r="L69" s="64">
        <v>19.079999999999998</v>
      </c>
      <c r="M69" s="64">
        <v>19.105799999999999</v>
      </c>
    </row>
    <row r="70" spans="1:13">
      <c r="A70" s="65" t="s">
        <v>440</v>
      </c>
      <c r="B70" s="66">
        <f t="shared" si="2"/>
        <v>38757</v>
      </c>
      <c r="C70" s="67">
        <f t="shared" si="3"/>
        <v>2006</v>
      </c>
      <c r="D70" s="68">
        <v>10.4803</v>
      </c>
      <c r="E70" s="68">
        <v>10.527699999999999</v>
      </c>
      <c r="F70" s="68">
        <v>10.4758</v>
      </c>
      <c r="H70" s="69" t="s">
        <v>441</v>
      </c>
      <c r="I70" s="66">
        <f t="shared" si="5"/>
        <v>43505</v>
      </c>
      <c r="J70" s="70">
        <f t="shared" si="4"/>
        <v>2019</v>
      </c>
      <c r="K70" s="72" t="s">
        <v>362</v>
      </c>
      <c r="L70" s="72" t="s">
        <v>362</v>
      </c>
      <c r="M70" s="71">
        <v>19.079999999999998</v>
      </c>
    </row>
    <row r="71" spans="1:13">
      <c r="A71" s="57" t="s">
        <v>442</v>
      </c>
      <c r="B71" s="58">
        <f t="shared" si="2"/>
        <v>38758</v>
      </c>
      <c r="C71" s="59">
        <f t="shared" si="3"/>
        <v>2006</v>
      </c>
      <c r="D71" s="61">
        <v>10.487</v>
      </c>
      <c r="E71" s="61">
        <v>10.4803</v>
      </c>
      <c r="F71" s="61">
        <v>10.527699999999999</v>
      </c>
      <c r="H71" s="62" t="s">
        <v>443</v>
      </c>
      <c r="I71" s="58">
        <f t="shared" si="5"/>
        <v>43506</v>
      </c>
      <c r="J71" s="60">
        <f t="shared" si="4"/>
        <v>2019</v>
      </c>
      <c r="K71" s="63" t="s">
        <v>362</v>
      </c>
      <c r="L71" s="63" t="s">
        <v>362</v>
      </c>
      <c r="M71" s="64">
        <v>19.079999999999998</v>
      </c>
    </row>
    <row r="72" spans="1:13">
      <c r="A72" s="65" t="s">
        <v>444</v>
      </c>
      <c r="B72" s="66">
        <f t="shared" si="2"/>
        <v>38759</v>
      </c>
      <c r="C72" s="67">
        <f t="shared" si="3"/>
        <v>2006</v>
      </c>
      <c r="D72" s="70" t="s">
        <v>362</v>
      </c>
      <c r="E72" s="70" t="s">
        <v>362</v>
      </c>
      <c r="F72" s="68">
        <v>10.4803</v>
      </c>
      <c r="H72" s="69" t="s">
        <v>445</v>
      </c>
      <c r="I72" s="66">
        <f t="shared" si="5"/>
        <v>43507</v>
      </c>
      <c r="J72" s="70">
        <f t="shared" si="4"/>
        <v>2019</v>
      </c>
      <c r="K72" s="71">
        <v>19.252400000000002</v>
      </c>
      <c r="L72" s="71">
        <v>19.089300000000001</v>
      </c>
      <c r="M72" s="71">
        <v>19.079999999999998</v>
      </c>
    </row>
    <row r="73" spans="1:13">
      <c r="A73" s="57" t="s">
        <v>446</v>
      </c>
      <c r="B73" s="58">
        <f t="shared" si="2"/>
        <v>38760</v>
      </c>
      <c r="C73" s="59">
        <f t="shared" si="3"/>
        <v>2006</v>
      </c>
      <c r="D73" s="60" t="s">
        <v>362</v>
      </c>
      <c r="E73" s="60" t="s">
        <v>362</v>
      </c>
      <c r="F73" s="61">
        <v>10.4803</v>
      </c>
      <c r="H73" s="62" t="s">
        <v>447</v>
      </c>
      <c r="I73" s="58">
        <f t="shared" si="5"/>
        <v>43508</v>
      </c>
      <c r="J73" s="60">
        <f t="shared" si="4"/>
        <v>2019</v>
      </c>
      <c r="K73" s="64">
        <v>19.2592</v>
      </c>
      <c r="L73" s="64">
        <v>19.252400000000002</v>
      </c>
      <c r="M73" s="64">
        <v>19.089300000000001</v>
      </c>
    </row>
    <row r="74" spans="1:13">
      <c r="A74" s="65" t="s">
        <v>448</v>
      </c>
      <c r="B74" s="66">
        <f t="shared" si="2"/>
        <v>38761</v>
      </c>
      <c r="C74" s="67">
        <f t="shared" si="3"/>
        <v>2006</v>
      </c>
      <c r="D74" s="68">
        <v>10.5258</v>
      </c>
      <c r="E74" s="68">
        <v>10.487</v>
      </c>
      <c r="F74" s="68">
        <v>10.4803</v>
      </c>
      <c r="H74" s="69" t="s">
        <v>449</v>
      </c>
      <c r="I74" s="66">
        <f t="shared" si="5"/>
        <v>43509</v>
      </c>
      <c r="J74" s="70">
        <f t="shared" si="4"/>
        <v>2019</v>
      </c>
      <c r="K74" s="71">
        <v>19.4084</v>
      </c>
      <c r="L74" s="71">
        <v>19.2592</v>
      </c>
      <c r="M74" s="71">
        <v>19.252400000000002</v>
      </c>
    </row>
    <row r="75" spans="1:13">
      <c r="A75" s="57" t="s">
        <v>450</v>
      </c>
      <c r="B75" s="58">
        <f t="shared" si="2"/>
        <v>38762</v>
      </c>
      <c r="C75" s="59">
        <f t="shared" si="3"/>
        <v>2006</v>
      </c>
      <c r="D75" s="61">
        <v>10.524900000000001</v>
      </c>
      <c r="E75" s="61">
        <v>10.5258</v>
      </c>
      <c r="F75" s="61">
        <v>10.487</v>
      </c>
      <c r="H75" s="62" t="s">
        <v>451</v>
      </c>
      <c r="I75" s="58">
        <f t="shared" si="5"/>
        <v>43510</v>
      </c>
      <c r="J75" s="60">
        <f t="shared" si="4"/>
        <v>2019</v>
      </c>
      <c r="K75" s="64">
        <v>19.3569</v>
      </c>
      <c r="L75" s="64">
        <v>19.4084</v>
      </c>
      <c r="M75" s="64">
        <v>19.2592</v>
      </c>
    </row>
    <row r="76" spans="1:13">
      <c r="A76" s="65" t="s">
        <v>452</v>
      </c>
      <c r="B76" s="66">
        <f t="shared" si="2"/>
        <v>38763</v>
      </c>
      <c r="C76" s="67">
        <f t="shared" si="3"/>
        <v>2006</v>
      </c>
      <c r="D76" s="68">
        <v>10.516999999999999</v>
      </c>
      <c r="E76" s="68">
        <v>10.524900000000001</v>
      </c>
      <c r="F76" s="68">
        <v>10.5258</v>
      </c>
      <c r="H76" s="69" t="s">
        <v>453</v>
      </c>
      <c r="I76" s="66">
        <f t="shared" si="5"/>
        <v>43511</v>
      </c>
      <c r="J76" s="70">
        <f t="shared" si="4"/>
        <v>2019</v>
      </c>
      <c r="K76" s="71">
        <v>19.362500000000001</v>
      </c>
      <c r="L76" s="71">
        <v>19.3569</v>
      </c>
      <c r="M76" s="71">
        <v>19.4084</v>
      </c>
    </row>
    <row r="77" spans="1:13">
      <c r="A77" s="57" t="s">
        <v>454</v>
      </c>
      <c r="B77" s="58">
        <f t="shared" si="2"/>
        <v>38764</v>
      </c>
      <c r="C77" s="59">
        <f t="shared" si="3"/>
        <v>2006</v>
      </c>
      <c r="D77" s="61">
        <v>10.5175</v>
      </c>
      <c r="E77" s="61">
        <v>10.516999999999999</v>
      </c>
      <c r="F77" s="61">
        <v>10.524900000000001</v>
      </c>
      <c r="H77" s="62" t="s">
        <v>455</v>
      </c>
      <c r="I77" s="58">
        <f t="shared" si="5"/>
        <v>43512</v>
      </c>
      <c r="J77" s="60">
        <f t="shared" si="4"/>
        <v>2019</v>
      </c>
      <c r="K77" s="63" t="s">
        <v>362</v>
      </c>
      <c r="L77" s="63" t="s">
        <v>362</v>
      </c>
      <c r="M77" s="64">
        <v>19.3569</v>
      </c>
    </row>
    <row r="78" spans="1:13">
      <c r="A78" s="65" t="s">
        <v>456</v>
      </c>
      <c r="B78" s="66">
        <f t="shared" si="2"/>
        <v>38765</v>
      </c>
      <c r="C78" s="67">
        <f t="shared" si="3"/>
        <v>2006</v>
      </c>
      <c r="D78" s="68">
        <v>10.4528</v>
      </c>
      <c r="E78" s="68">
        <v>10.5175</v>
      </c>
      <c r="F78" s="68">
        <v>10.516999999999999</v>
      </c>
      <c r="H78" s="69" t="s">
        <v>457</v>
      </c>
      <c r="I78" s="66">
        <f t="shared" si="5"/>
        <v>43513</v>
      </c>
      <c r="J78" s="70">
        <f t="shared" si="4"/>
        <v>2019</v>
      </c>
      <c r="K78" s="72" t="s">
        <v>362</v>
      </c>
      <c r="L78" s="72" t="s">
        <v>362</v>
      </c>
      <c r="M78" s="71">
        <v>19.3569</v>
      </c>
    </row>
    <row r="79" spans="1:13">
      <c r="A79" s="57" t="s">
        <v>458</v>
      </c>
      <c r="B79" s="58">
        <f t="shared" si="2"/>
        <v>38766</v>
      </c>
      <c r="C79" s="59">
        <f t="shared" si="3"/>
        <v>2006</v>
      </c>
      <c r="D79" s="60" t="s">
        <v>362</v>
      </c>
      <c r="E79" s="60" t="s">
        <v>362</v>
      </c>
      <c r="F79" s="61">
        <v>10.5175</v>
      </c>
      <c r="H79" s="62" t="s">
        <v>459</v>
      </c>
      <c r="I79" s="58">
        <f t="shared" si="5"/>
        <v>43514</v>
      </c>
      <c r="J79" s="60">
        <f t="shared" si="4"/>
        <v>2019</v>
      </c>
      <c r="K79" s="64">
        <v>19.2578</v>
      </c>
      <c r="L79" s="64">
        <v>19.362500000000001</v>
      </c>
      <c r="M79" s="64">
        <v>19.3569</v>
      </c>
    </row>
    <row r="80" spans="1:13">
      <c r="A80" s="65" t="s">
        <v>460</v>
      </c>
      <c r="B80" s="66">
        <f t="shared" si="2"/>
        <v>38767</v>
      </c>
      <c r="C80" s="67">
        <f t="shared" si="3"/>
        <v>2006</v>
      </c>
      <c r="D80" s="70" t="s">
        <v>362</v>
      </c>
      <c r="E80" s="70" t="s">
        <v>362</v>
      </c>
      <c r="F80" s="68">
        <v>10.5175</v>
      </c>
      <c r="H80" s="69" t="s">
        <v>461</v>
      </c>
      <c r="I80" s="66">
        <f t="shared" si="5"/>
        <v>43515</v>
      </c>
      <c r="J80" s="70">
        <f t="shared" si="4"/>
        <v>2019</v>
      </c>
      <c r="K80" s="71">
        <v>19.177800000000001</v>
      </c>
      <c r="L80" s="71">
        <v>19.2578</v>
      </c>
      <c r="M80" s="71">
        <v>19.362500000000001</v>
      </c>
    </row>
    <row r="81" spans="1:13">
      <c r="A81" s="57" t="s">
        <v>462</v>
      </c>
      <c r="B81" s="58">
        <f t="shared" si="2"/>
        <v>38768</v>
      </c>
      <c r="C81" s="59">
        <f t="shared" si="3"/>
        <v>2006</v>
      </c>
      <c r="D81" s="61">
        <v>10.440099999999999</v>
      </c>
      <c r="E81" s="61">
        <v>10.4528</v>
      </c>
      <c r="F81" s="61">
        <v>10.5175</v>
      </c>
      <c r="H81" s="62" t="s">
        <v>463</v>
      </c>
      <c r="I81" s="58">
        <f t="shared" si="5"/>
        <v>43516</v>
      </c>
      <c r="J81" s="60">
        <f t="shared" si="4"/>
        <v>2019</v>
      </c>
      <c r="K81" s="64">
        <v>19.183499999999999</v>
      </c>
      <c r="L81" s="64">
        <v>19.177800000000001</v>
      </c>
      <c r="M81" s="64">
        <v>19.2578</v>
      </c>
    </row>
    <row r="82" spans="1:13">
      <c r="A82" s="65" t="s">
        <v>464</v>
      </c>
      <c r="B82" s="66">
        <f t="shared" si="2"/>
        <v>38769</v>
      </c>
      <c r="C82" s="67">
        <f t="shared" si="3"/>
        <v>2006</v>
      </c>
      <c r="D82" s="68">
        <v>10.438800000000001</v>
      </c>
      <c r="E82" s="68">
        <v>10.440099999999999</v>
      </c>
      <c r="F82" s="68">
        <v>10.4528</v>
      </c>
      <c r="H82" s="69" t="s">
        <v>465</v>
      </c>
      <c r="I82" s="66">
        <f t="shared" si="5"/>
        <v>43517</v>
      </c>
      <c r="J82" s="70">
        <f t="shared" si="4"/>
        <v>2019</v>
      </c>
      <c r="K82" s="71">
        <v>19.2652</v>
      </c>
      <c r="L82" s="71">
        <v>19.183499999999999</v>
      </c>
      <c r="M82" s="71">
        <v>19.177800000000001</v>
      </c>
    </row>
    <row r="83" spans="1:13">
      <c r="A83" s="57" t="s">
        <v>466</v>
      </c>
      <c r="B83" s="58">
        <f t="shared" si="2"/>
        <v>38770</v>
      </c>
      <c r="C83" s="59">
        <f t="shared" si="3"/>
        <v>2006</v>
      </c>
      <c r="D83" s="61">
        <v>10.499000000000001</v>
      </c>
      <c r="E83" s="61">
        <v>10.438800000000001</v>
      </c>
      <c r="F83" s="61">
        <v>10.440099999999999</v>
      </c>
      <c r="H83" s="62" t="s">
        <v>467</v>
      </c>
      <c r="I83" s="58">
        <f t="shared" si="5"/>
        <v>43518</v>
      </c>
      <c r="J83" s="60">
        <f t="shared" si="4"/>
        <v>2019</v>
      </c>
      <c r="K83" s="64">
        <v>19.139399999999998</v>
      </c>
      <c r="L83" s="64">
        <v>19.2652</v>
      </c>
      <c r="M83" s="64">
        <v>19.183499999999999</v>
      </c>
    </row>
    <row r="84" spans="1:13">
      <c r="A84" s="65" t="s">
        <v>468</v>
      </c>
      <c r="B84" s="66">
        <f t="shared" si="2"/>
        <v>38771</v>
      </c>
      <c r="C84" s="67">
        <f t="shared" si="3"/>
        <v>2006</v>
      </c>
      <c r="D84" s="68">
        <v>10.4885</v>
      </c>
      <c r="E84" s="68">
        <v>10.499000000000001</v>
      </c>
      <c r="F84" s="68">
        <v>10.438800000000001</v>
      </c>
      <c r="H84" s="69" t="s">
        <v>469</v>
      </c>
      <c r="I84" s="66">
        <f t="shared" si="5"/>
        <v>43519</v>
      </c>
      <c r="J84" s="70">
        <f t="shared" si="4"/>
        <v>2019</v>
      </c>
      <c r="K84" s="72" t="s">
        <v>362</v>
      </c>
      <c r="L84" s="72" t="s">
        <v>362</v>
      </c>
      <c r="M84" s="71">
        <v>19.2652</v>
      </c>
    </row>
    <row r="85" spans="1:13">
      <c r="A85" s="57" t="s">
        <v>470</v>
      </c>
      <c r="B85" s="58">
        <f t="shared" si="2"/>
        <v>38772</v>
      </c>
      <c r="C85" s="59">
        <f t="shared" si="3"/>
        <v>2006</v>
      </c>
      <c r="D85" s="61">
        <v>10.476100000000001</v>
      </c>
      <c r="E85" s="61">
        <v>10.4885</v>
      </c>
      <c r="F85" s="61">
        <v>10.499000000000001</v>
      </c>
      <c r="H85" s="62" t="s">
        <v>471</v>
      </c>
      <c r="I85" s="58">
        <f t="shared" si="5"/>
        <v>43520</v>
      </c>
      <c r="J85" s="60">
        <f t="shared" si="4"/>
        <v>2019</v>
      </c>
      <c r="K85" s="63" t="s">
        <v>362</v>
      </c>
      <c r="L85" s="63" t="s">
        <v>362</v>
      </c>
      <c r="M85" s="64">
        <v>19.2652</v>
      </c>
    </row>
    <row r="86" spans="1:13">
      <c r="A86" s="65" t="s">
        <v>472</v>
      </c>
      <c r="B86" s="66">
        <f t="shared" si="2"/>
        <v>38773</v>
      </c>
      <c r="C86" s="67">
        <f t="shared" si="3"/>
        <v>2006</v>
      </c>
      <c r="D86" s="70" t="s">
        <v>362</v>
      </c>
      <c r="E86" s="70" t="s">
        <v>362</v>
      </c>
      <c r="F86" s="68">
        <v>10.4885</v>
      </c>
      <c r="H86" s="69" t="s">
        <v>473</v>
      </c>
      <c r="I86" s="66">
        <f t="shared" si="5"/>
        <v>43521</v>
      </c>
      <c r="J86" s="70">
        <f t="shared" si="4"/>
        <v>2019</v>
      </c>
      <c r="K86" s="71">
        <v>19.118500000000001</v>
      </c>
      <c r="L86" s="71">
        <v>19.139399999999998</v>
      </c>
      <c r="M86" s="71">
        <v>19.2652</v>
      </c>
    </row>
    <row r="87" spans="1:13">
      <c r="A87" s="57" t="s">
        <v>474</v>
      </c>
      <c r="B87" s="58">
        <f t="shared" si="2"/>
        <v>38774</v>
      </c>
      <c r="C87" s="59">
        <f t="shared" si="3"/>
        <v>2006</v>
      </c>
      <c r="D87" s="60" t="s">
        <v>362</v>
      </c>
      <c r="E87" s="60" t="s">
        <v>362</v>
      </c>
      <c r="F87" s="61">
        <v>10.4885</v>
      </c>
      <c r="H87" s="62" t="s">
        <v>475</v>
      </c>
      <c r="I87" s="58">
        <f t="shared" si="5"/>
        <v>43522</v>
      </c>
      <c r="J87" s="60">
        <f t="shared" si="4"/>
        <v>2019</v>
      </c>
      <c r="K87" s="64">
        <v>19.163</v>
      </c>
      <c r="L87" s="64">
        <v>19.118500000000001</v>
      </c>
      <c r="M87" s="64">
        <v>19.139399999999998</v>
      </c>
    </row>
    <row r="88" spans="1:13">
      <c r="A88" s="65" t="s">
        <v>476</v>
      </c>
      <c r="B88" s="66">
        <f t="shared" si="2"/>
        <v>38775</v>
      </c>
      <c r="C88" s="67">
        <f t="shared" si="3"/>
        <v>2006</v>
      </c>
      <c r="D88" s="68">
        <v>10.466100000000001</v>
      </c>
      <c r="E88" s="68">
        <v>10.476100000000001</v>
      </c>
      <c r="F88" s="68">
        <v>10.4885</v>
      </c>
      <c r="H88" s="69" t="s">
        <v>477</v>
      </c>
      <c r="I88" s="66">
        <f t="shared" si="5"/>
        <v>43523</v>
      </c>
      <c r="J88" s="70">
        <f t="shared" si="4"/>
        <v>2019</v>
      </c>
      <c r="K88" s="71">
        <v>19.220099999999999</v>
      </c>
      <c r="L88" s="71">
        <v>19.163</v>
      </c>
      <c r="M88" s="71">
        <v>19.118500000000001</v>
      </c>
    </row>
    <row r="89" spans="1:13">
      <c r="A89" s="57" t="s">
        <v>478</v>
      </c>
      <c r="B89" s="58">
        <f t="shared" si="2"/>
        <v>38776</v>
      </c>
      <c r="C89" s="59">
        <f t="shared" si="3"/>
        <v>2006</v>
      </c>
      <c r="D89" s="61">
        <v>10.456</v>
      </c>
      <c r="E89" s="61">
        <v>10.466100000000001</v>
      </c>
      <c r="F89" s="61">
        <v>10.476100000000001</v>
      </c>
      <c r="H89" s="62" t="s">
        <v>479</v>
      </c>
      <c r="I89" s="58">
        <f t="shared" si="5"/>
        <v>43524</v>
      </c>
      <c r="J89" s="60">
        <f t="shared" si="4"/>
        <v>2019</v>
      </c>
      <c r="K89" s="64">
        <v>19.2607</v>
      </c>
      <c r="L89" s="64">
        <v>19.220099999999999</v>
      </c>
      <c r="M89" s="64">
        <v>19.163</v>
      </c>
    </row>
    <row r="90" spans="1:13">
      <c r="A90" s="65" t="s">
        <v>480</v>
      </c>
      <c r="B90" s="66">
        <f t="shared" si="2"/>
        <v>38777</v>
      </c>
      <c r="C90" s="67">
        <f t="shared" si="3"/>
        <v>2006</v>
      </c>
      <c r="D90" s="68">
        <v>10.4673</v>
      </c>
      <c r="E90" s="68">
        <v>10.456</v>
      </c>
      <c r="F90" s="68">
        <v>10.466100000000001</v>
      </c>
      <c r="H90" s="69" t="s">
        <v>481</v>
      </c>
      <c r="I90" s="66">
        <f t="shared" si="5"/>
        <v>43525</v>
      </c>
      <c r="J90" s="70">
        <f t="shared" si="4"/>
        <v>2019</v>
      </c>
      <c r="K90" s="71">
        <v>19.297799999999999</v>
      </c>
      <c r="L90" s="71">
        <v>19.2607</v>
      </c>
      <c r="M90" s="71">
        <v>19.220099999999999</v>
      </c>
    </row>
    <row r="91" spans="1:13">
      <c r="A91" s="57" t="s">
        <v>482</v>
      </c>
      <c r="B91" s="58">
        <f t="shared" si="2"/>
        <v>38778</v>
      </c>
      <c r="C91" s="59">
        <f t="shared" si="3"/>
        <v>2006</v>
      </c>
      <c r="D91" s="61">
        <v>10.5113</v>
      </c>
      <c r="E91" s="61">
        <v>10.4673</v>
      </c>
      <c r="F91" s="61">
        <v>10.456</v>
      </c>
      <c r="H91" s="62" t="s">
        <v>483</v>
      </c>
      <c r="I91" s="58">
        <f t="shared" si="5"/>
        <v>43526</v>
      </c>
      <c r="J91" s="60">
        <f t="shared" si="4"/>
        <v>2019</v>
      </c>
      <c r="K91" s="63" t="s">
        <v>362</v>
      </c>
      <c r="L91" s="63" t="s">
        <v>362</v>
      </c>
      <c r="M91" s="64">
        <v>19.2607</v>
      </c>
    </row>
    <row r="92" spans="1:13">
      <c r="A92" s="65" t="s">
        <v>484</v>
      </c>
      <c r="B92" s="66">
        <f t="shared" si="2"/>
        <v>38779</v>
      </c>
      <c r="C92" s="67">
        <f t="shared" si="3"/>
        <v>2006</v>
      </c>
      <c r="D92" s="68">
        <v>10.575900000000001</v>
      </c>
      <c r="E92" s="68">
        <v>10.5113</v>
      </c>
      <c r="F92" s="68">
        <v>10.4673</v>
      </c>
      <c r="H92" s="69" t="s">
        <v>485</v>
      </c>
      <c r="I92" s="66">
        <f t="shared" si="5"/>
        <v>43527</v>
      </c>
      <c r="J92" s="70">
        <f t="shared" si="4"/>
        <v>2019</v>
      </c>
      <c r="K92" s="72" t="s">
        <v>362</v>
      </c>
      <c r="L92" s="72" t="s">
        <v>362</v>
      </c>
      <c r="M92" s="71">
        <v>19.2607</v>
      </c>
    </row>
    <row r="93" spans="1:13">
      <c r="A93" s="57" t="s">
        <v>486</v>
      </c>
      <c r="B93" s="58">
        <f t="shared" si="2"/>
        <v>38780</v>
      </c>
      <c r="C93" s="59">
        <f t="shared" si="3"/>
        <v>2006</v>
      </c>
      <c r="D93" s="60" t="s">
        <v>362</v>
      </c>
      <c r="E93" s="60" t="s">
        <v>362</v>
      </c>
      <c r="F93" s="61">
        <v>10.5113</v>
      </c>
      <c r="H93" s="62" t="s">
        <v>487</v>
      </c>
      <c r="I93" s="58">
        <f t="shared" si="5"/>
        <v>43528</v>
      </c>
      <c r="J93" s="60">
        <f t="shared" si="4"/>
        <v>2019</v>
      </c>
      <c r="K93" s="64">
        <v>19.303899999999999</v>
      </c>
      <c r="L93" s="64">
        <v>19.297799999999999</v>
      </c>
      <c r="M93" s="64">
        <v>19.2607</v>
      </c>
    </row>
    <row r="94" spans="1:13">
      <c r="A94" s="65" t="s">
        <v>488</v>
      </c>
      <c r="B94" s="66">
        <f t="shared" si="2"/>
        <v>38781</v>
      </c>
      <c r="C94" s="67">
        <f t="shared" si="3"/>
        <v>2006</v>
      </c>
      <c r="D94" s="70" t="s">
        <v>362</v>
      </c>
      <c r="E94" s="70" t="s">
        <v>362</v>
      </c>
      <c r="F94" s="68">
        <v>10.5113</v>
      </c>
      <c r="H94" s="69" t="s">
        <v>489</v>
      </c>
      <c r="I94" s="66">
        <f t="shared" si="5"/>
        <v>43529</v>
      </c>
      <c r="J94" s="70">
        <f t="shared" si="4"/>
        <v>2019</v>
      </c>
      <c r="K94" s="71">
        <v>19.259699999999999</v>
      </c>
      <c r="L94" s="71">
        <v>19.303899999999999</v>
      </c>
      <c r="M94" s="71">
        <v>19.297799999999999</v>
      </c>
    </row>
    <row r="95" spans="1:13">
      <c r="A95" s="57" t="s">
        <v>490</v>
      </c>
      <c r="B95" s="58">
        <f t="shared" ref="B95:B158" si="6">DATE(RIGHT(A95,4),LEFT(RIGHT(A95,7),2),LEFT(A95,2))</f>
        <v>38782</v>
      </c>
      <c r="C95" s="59">
        <f t="shared" ref="C95:C158" si="7">YEAR(B95)</f>
        <v>2006</v>
      </c>
      <c r="D95" s="61">
        <v>10.611800000000001</v>
      </c>
      <c r="E95" s="61">
        <v>10.575900000000001</v>
      </c>
      <c r="F95" s="61">
        <v>10.5113</v>
      </c>
      <c r="H95" s="62" t="s">
        <v>491</v>
      </c>
      <c r="I95" s="58">
        <f t="shared" si="5"/>
        <v>43530</v>
      </c>
      <c r="J95" s="60">
        <f t="shared" ref="J95:J158" si="8">YEAR(I95)</f>
        <v>2019</v>
      </c>
      <c r="K95" s="64">
        <v>19.370799999999999</v>
      </c>
      <c r="L95" s="64">
        <v>19.259699999999999</v>
      </c>
      <c r="M95" s="64">
        <v>19.303899999999999</v>
      </c>
    </row>
    <row r="96" spans="1:13">
      <c r="A96" s="65" t="s">
        <v>492</v>
      </c>
      <c r="B96" s="66">
        <f t="shared" si="6"/>
        <v>38783</v>
      </c>
      <c r="C96" s="67">
        <f t="shared" si="7"/>
        <v>2006</v>
      </c>
      <c r="D96" s="68">
        <v>10.7003</v>
      </c>
      <c r="E96" s="68">
        <v>10.611800000000001</v>
      </c>
      <c r="F96" s="68">
        <v>10.575900000000001</v>
      </c>
      <c r="H96" s="69" t="s">
        <v>493</v>
      </c>
      <c r="I96" s="66">
        <f t="shared" ref="I96:I159" si="9">DATE(RIGHT(H96,4),LEFT(RIGHT(A96,7),2),LEFT(A96,2))</f>
        <v>43531</v>
      </c>
      <c r="J96" s="70">
        <f t="shared" si="8"/>
        <v>2019</v>
      </c>
      <c r="K96" s="71">
        <v>19.522500000000001</v>
      </c>
      <c r="L96" s="71">
        <v>19.370799999999999</v>
      </c>
      <c r="M96" s="71">
        <v>19.259699999999999</v>
      </c>
    </row>
    <row r="97" spans="1:13">
      <c r="A97" s="57" t="s">
        <v>494</v>
      </c>
      <c r="B97" s="58">
        <f t="shared" si="6"/>
        <v>38784</v>
      </c>
      <c r="C97" s="59">
        <f t="shared" si="7"/>
        <v>2006</v>
      </c>
      <c r="D97" s="61">
        <v>10.756</v>
      </c>
      <c r="E97" s="61">
        <v>10.7003</v>
      </c>
      <c r="F97" s="61">
        <v>10.611800000000001</v>
      </c>
      <c r="H97" s="62" t="s">
        <v>495</v>
      </c>
      <c r="I97" s="58">
        <f t="shared" si="9"/>
        <v>43532</v>
      </c>
      <c r="J97" s="60">
        <f t="shared" si="8"/>
        <v>2019</v>
      </c>
      <c r="K97" s="64">
        <v>19.490200000000002</v>
      </c>
      <c r="L97" s="64">
        <v>19.522500000000001</v>
      </c>
      <c r="M97" s="64">
        <v>19.370799999999999</v>
      </c>
    </row>
    <row r="98" spans="1:13">
      <c r="A98" s="65" t="s">
        <v>496</v>
      </c>
      <c r="B98" s="66">
        <f t="shared" si="6"/>
        <v>38785</v>
      </c>
      <c r="C98" s="67">
        <f t="shared" si="7"/>
        <v>2006</v>
      </c>
      <c r="D98" s="68">
        <v>10.7094</v>
      </c>
      <c r="E98" s="68">
        <v>10.756</v>
      </c>
      <c r="F98" s="68">
        <v>10.7003</v>
      </c>
      <c r="H98" s="69" t="s">
        <v>497</v>
      </c>
      <c r="I98" s="66">
        <f t="shared" si="9"/>
        <v>43533</v>
      </c>
      <c r="J98" s="70">
        <f t="shared" si="8"/>
        <v>2019</v>
      </c>
      <c r="K98" s="72" t="s">
        <v>362</v>
      </c>
      <c r="L98" s="72" t="s">
        <v>362</v>
      </c>
      <c r="M98" s="71">
        <v>19.522500000000001</v>
      </c>
    </row>
    <row r="99" spans="1:13">
      <c r="A99" s="57" t="s">
        <v>498</v>
      </c>
      <c r="B99" s="58">
        <f t="shared" si="6"/>
        <v>38786</v>
      </c>
      <c r="C99" s="59">
        <f t="shared" si="7"/>
        <v>2006</v>
      </c>
      <c r="D99" s="61">
        <v>10.7125</v>
      </c>
      <c r="E99" s="61">
        <v>10.7094</v>
      </c>
      <c r="F99" s="61">
        <v>10.756</v>
      </c>
      <c r="H99" s="62" t="s">
        <v>499</v>
      </c>
      <c r="I99" s="58">
        <f t="shared" si="9"/>
        <v>43534</v>
      </c>
      <c r="J99" s="60">
        <f t="shared" si="8"/>
        <v>2019</v>
      </c>
      <c r="K99" s="63" t="s">
        <v>362</v>
      </c>
      <c r="L99" s="63" t="s">
        <v>362</v>
      </c>
      <c r="M99" s="64">
        <v>19.522500000000001</v>
      </c>
    </row>
    <row r="100" spans="1:13">
      <c r="A100" s="65" t="s">
        <v>500</v>
      </c>
      <c r="B100" s="66">
        <f t="shared" si="6"/>
        <v>38787</v>
      </c>
      <c r="C100" s="67">
        <f t="shared" si="7"/>
        <v>2006</v>
      </c>
      <c r="D100" s="70" t="s">
        <v>362</v>
      </c>
      <c r="E100" s="70" t="s">
        <v>362</v>
      </c>
      <c r="F100" s="68">
        <v>10.7094</v>
      </c>
      <c r="H100" s="69" t="s">
        <v>501</v>
      </c>
      <c r="I100" s="66">
        <f t="shared" si="9"/>
        <v>43535</v>
      </c>
      <c r="J100" s="70">
        <f t="shared" si="8"/>
        <v>2019</v>
      </c>
      <c r="K100" s="71">
        <v>19.424299999999999</v>
      </c>
      <c r="L100" s="71">
        <v>19.490200000000002</v>
      </c>
      <c r="M100" s="71">
        <v>19.522500000000001</v>
      </c>
    </row>
    <row r="101" spans="1:13">
      <c r="A101" s="57" t="s">
        <v>502</v>
      </c>
      <c r="B101" s="58">
        <f t="shared" si="6"/>
        <v>38788</v>
      </c>
      <c r="C101" s="59">
        <f t="shared" si="7"/>
        <v>2006</v>
      </c>
      <c r="D101" s="60" t="s">
        <v>362</v>
      </c>
      <c r="E101" s="60" t="s">
        <v>362</v>
      </c>
      <c r="F101" s="61">
        <v>10.7094</v>
      </c>
      <c r="H101" s="62" t="s">
        <v>503</v>
      </c>
      <c r="I101" s="58">
        <f t="shared" si="9"/>
        <v>43536</v>
      </c>
      <c r="J101" s="60">
        <f t="shared" si="8"/>
        <v>2019</v>
      </c>
      <c r="K101" s="64">
        <v>19.3049</v>
      </c>
      <c r="L101" s="64">
        <v>19.424299999999999</v>
      </c>
      <c r="M101" s="64">
        <v>19.490200000000002</v>
      </c>
    </row>
    <row r="102" spans="1:13">
      <c r="A102" s="65" t="s">
        <v>504</v>
      </c>
      <c r="B102" s="66">
        <f t="shared" si="6"/>
        <v>38789</v>
      </c>
      <c r="C102" s="67">
        <f t="shared" si="7"/>
        <v>2006</v>
      </c>
      <c r="D102" s="68">
        <v>10.7126</v>
      </c>
      <c r="E102" s="68">
        <v>10.7125</v>
      </c>
      <c r="F102" s="68">
        <v>10.7094</v>
      </c>
      <c r="H102" s="69" t="s">
        <v>505</v>
      </c>
      <c r="I102" s="66">
        <f t="shared" si="9"/>
        <v>43537</v>
      </c>
      <c r="J102" s="70">
        <f t="shared" si="8"/>
        <v>2019</v>
      </c>
      <c r="K102" s="71">
        <v>19.332000000000001</v>
      </c>
      <c r="L102" s="71">
        <v>19.3049</v>
      </c>
      <c r="M102" s="71">
        <v>19.424299999999999</v>
      </c>
    </row>
    <row r="103" spans="1:13">
      <c r="A103" s="57" t="s">
        <v>506</v>
      </c>
      <c r="B103" s="58">
        <f t="shared" si="6"/>
        <v>38790</v>
      </c>
      <c r="C103" s="59">
        <f t="shared" si="7"/>
        <v>2006</v>
      </c>
      <c r="D103" s="61">
        <v>10.6942</v>
      </c>
      <c r="E103" s="61">
        <v>10.7126</v>
      </c>
      <c r="F103" s="61">
        <v>10.7125</v>
      </c>
      <c r="H103" s="62" t="s">
        <v>507</v>
      </c>
      <c r="I103" s="58">
        <f t="shared" si="9"/>
        <v>43538</v>
      </c>
      <c r="J103" s="60">
        <f t="shared" si="8"/>
        <v>2019</v>
      </c>
      <c r="K103" s="64">
        <v>19.3233</v>
      </c>
      <c r="L103" s="64">
        <v>19.332000000000001</v>
      </c>
      <c r="M103" s="64">
        <v>19.3049</v>
      </c>
    </row>
    <row r="104" spans="1:13">
      <c r="A104" s="65" t="s">
        <v>508</v>
      </c>
      <c r="B104" s="66">
        <f t="shared" si="6"/>
        <v>38791</v>
      </c>
      <c r="C104" s="67">
        <f t="shared" si="7"/>
        <v>2006</v>
      </c>
      <c r="D104" s="68">
        <v>10.666700000000001</v>
      </c>
      <c r="E104" s="68">
        <v>10.6942</v>
      </c>
      <c r="F104" s="68">
        <v>10.7126</v>
      </c>
      <c r="H104" s="69" t="s">
        <v>509</v>
      </c>
      <c r="I104" s="66">
        <f t="shared" si="9"/>
        <v>43539</v>
      </c>
      <c r="J104" s="70">
        <f t="shared" si="8"/>
        <v>2019</v>
      </c>
      <c r="K104" s="71">
        <v>19.217600000000001</v>
      </c>
      <c r="L104" s="71">
        <v>19.3233</v>
      </c>
      <c r="M104" s="71">
        <v>19.332000000000001</v>
      </c>
    </row>
    <row r="105" spans="1:13">
      <c r="A105" s="57" t="s">
        <v>510</v>
      </c>
      <c r="B105" s="58">
        <f t="shared" si="6"/>
        <v>38792</v>
      </c>
      <c r="C105" s="59">
        <f t="shared" si="7"/>
        <v>2006</v>
      </c>
      <c r="D105" s="61">
        <v>10.6212</v>
      </c>
      <c r="E105" s="61">
        <v>10.666700000000001</v>
      </c>
      <c r="F105" s="61">
        <v>10.6942</v>
      </c>
      <c r="H105" s="62" t="s">
        <v>511</v>
      </c>
      <c r="I105" s="58">
        <f t="shared" si="9"/>
        <v>43540</v>
      </c>
      <c r="J105" s="60">
        <f t="shared" si="8"/>
        <v>2019</v>
      </c>
      <c r="K105" s="63" t="s">
        <v>362</v>
      </c>
      <c r="L105" s="63" t="s">
        <v>362</v>
      </c>
      <c r="M105" s="64">
        <v>19.3233</v>
      </c>
    </row>
    <row r="106" spans="1:13">
      <c r="A106" s="65" t="s">
        <v>512</v>
      </c>
      <c r="B106" s="66">
        <f t="shared" si="6"/>
        <v>38793</v>
      </c>
      <c r="C106" s="67">
        <f t="shared" si="7"/>
        <v>2006</v>
      </c>
      <c r="D106" s="68">
        <v>10.688499999999999</v>
      </c>
      <c r="E106" s="68">
        <v>10.6212</v>
      </c>
      <c r="F106" s="68">
        <v>10.666700000000001</v>
      </c>
      <c r="H106" s="69" t="s">
        <v>513</v>
      </c>
      <c r="I106" s="66">
        <f t="shared" si="9"/>
        <v>43541</v>
      </c>
      <c r="J106" s="70">
        <f t="shared" si="8"/>
        <v>2019</v>
      </c>
      <c r="K106" s="72" t="s">
        <v>362</v>
      </c>
      <c r="L106" s="72" t="s">
        <v>362</v>
      </c>
      <c r="M106" s="71">
        <v>19.3233</v>
      </c>
    </row>
    <row r="107" spans="1:13">
      <c r="A107" s="57" t="s">
        <v>514</v>
      </c>
      <c r="B107" s="58">
        <f t="shared" si="6"/>
        <v>38794</v>
      </c>
      <c r="C107" s="59">
        <f t="shared" si="7"/>
        <v>2006</v>
      </c>
      <c r="D107" s="60" t="s">
        <v>362</v>
      </c>
      <c r="E107" s="60" t="s">
        <v>362</v>
      </c>
      <c r="F107" s="61">
        <v>10.6212</v>
      </c>
      <c r="H107" s="62" t="s">
        <v>515</v>
      </c>
      <c r="I107" s="58">
        <f t="shared" si="9"/>
        <v>43542</v>
      </c>
      <c r="J107" s="60">
        <f t="shared" si="8"/>
        <v>2019</v>
      </c>
      <c r="K107" s="63" t="s">
        <v>362</v>
      </c>
      <c r="L107" s="63" t="s">
        <v>362</v>
      </c>
      <c r="M107" s="64">
        <v>19.3233</v>
      </c>
    </row>
    <row r="108" spans="1:13">
      <c r="A108" s="65" t="s">
        <v>516</v>
      </c>
      <c r="B108" s="66">
        <f t="shared" si="6"/>
        <v>38795</v>
      </c>
      <c r="C108" s="67">
        <f t="shared" si="7"/>
        <v>2006</v>
      </c>
      <c r="D108" s="70" t="s">
        <v>362</v>
      </c>
      <c r="E108" s="70" t="s">
        <v>362</v>
      </c>
      <c r="F108" s="68">
        <v>10.6212</v>
      </c>
      <c r="H108" s="69" t="s">
        <v>517</v>
      </c>
      <c r="I108" s="66">
        <f t="shared" si="9"/>
        <v>43543</v>
      </c>
      <c r="J108" s="70">
        <f t="shared" si="8"/>
        <v>2019</v>
      </c>
      <c r="K108" s="71">
        <v>19.000399999999999</v>
      </c>
      <c r="L108" s="71">
        <v>19.217600000000001</v>
      </c>
      <c r="M108" s="71">
        <v>19.3233</v>
      </c>
    </row>
    <row r="109" spans="1:13">
      <c r="A109" s="57" t="s">
        <v>518</v>
      </c>
      <c r="B109" s="58">
        <f t="shared" si="6"/>
        <v>38796</v>
      </c>
      <c r="C109" s="59">
        <f t="shared" si="7"/>
        <v>2006</v>
      </c>
      <c r="D109" s="61">
        <v>10.7568</v>
      </c>
      <c r="E109" s="61">
        <v>10.688499999999999</v>
      </c>
      <c r="F109" s="61">
        <v>10.6212</v>
      </c>
      <c r="H109" s="62" t="s">
        <v>519</v>
      </c>
      <c r="I109" s="58">
        <f t="shared" si="9"/>
        <v>43544</v>
      </c>
      <c r="J109" s="60">
        <f t="shared" si="8"/>
        <v>2019</v>
      </c>
      <c r="K109" s="64">
        <v>18.909800000000001</v>
      </c>
      <c r="L109" s="64">
        <v>19.000399999999999</v>
      </c>
      <c r="M109" s="64">
        <v>19.217600000000001</v>
      </c>
    </row>
    <row r="110" spans="1:13">
      <c r="A110" s="65" t="s">
        <v>520</v>
      </c>
      <c r="B110" s="66">
        <f t="shared" si="6"/>
        <v>38797</v>
      </c>
      <c r="C110" s="67">
        <f t="shared" si="7"/>
        <v>2006</v>
      </c>
      <c r="D110" s="70" t="s">
        <v>362</v>
      </c>
      <c r="E110" s="70" t="s">
        <v>362</v>
      </c>
      <c r="F110" s="68">
        <v>10.688499999999999</v>
      </c>
      <c r="H110" s="69" t="s">
        <v>521</v>
      </c>
      <c r="I110" s="66">
        <f t="shared" si="9"/>
        <v>43545</v>
      </c>
      <c r="J110" s="70">
        <f t="shared" si="8"/>
        <v>2019</v>
      </c>
      <c r="K110" s="71">
        <v>18.869399999999999</v>
      </c>
      <c r="L110" s="71">
        <v>18.909800000000001</v>
      </c>
      <c r="M110" s="71">
        <v>19.000399999999999</v>
      </c>
    </row>
    <row r="111" spans="1:13">
      <c r="A111" s="57" t="s">
        <v>522</v>
      </c>
      <c r="B111" s="58">
        <f t="shared" si="6"/>
        <v>38798</v>
      </c>
      <c r="C111" s="59">
        <f t="shared" si="7"/>
        <v>2006</v>
      </c>
      <c r="D111" s="61">
        <v>10.8628</v>
      </c>
      <c r="E111" s="61">
        <v>10.7568</v>
      </c>
      <c r="F111" s="61">
        <v>10.688499999999999</v>
      </c>
      <c r="H111" s="62" t="s">
        <v>523</v>
      </c>
      <c r="I111" s="58">
        <f t="shared" si="9"/>
        <v>43546</v>
      </c>
      <c r="J111" s="60">
        <f t="shared" si="8"/>
        <v>2019</v>
      </c>
      <c r="K111" s="64">
        <v>19.136900000000001</v>
      </c>
      <c r="L111" s="64">
        <v>18.869399999999999</v>
      </c>
      <c r="M111" s="64">
        <v>18.909800000000001</v>
      </c>
    </row>
    <row r="112" spans="1:13">
      <c r="A112" s="65" t="s">
        <v>524</v>
      </c>
      <c r="B112" s="66">
        <f t="shared" si="6"/>
        <v>38799</v>
      </c>
      <c r="C112" s="67">
        <f t="shared" si="7"/>
        <v>2006</v>
      </c>
      <c r="D112" s="68">
        <v>10.8612</v>
      </c>
      <c r="E112" s="68">
        <v>10.8628</v>
      </c>
      <c r="F112" s="68">
        <v>10.7568</v>
      </c>
      <c r="H112" s="69" t="s">
        <v>525</v>
      </c>
      <c r="I112" s="66">
        <f t="shared" si="9"/>
        <v>43547</v>
      </c>
      <c r="J112" s="70">
        <f t="shared" si="8"/>
        <v>2019</v>
      </c>
      <c r="K112" s="72" t="s">
        <v>362</v>
      </c>
      <c r="L112" s="72" t="s">
        <v>362</v>
      </c>
      <c r="M112" s="71">
        <v>18.869399999999999</v>
      </c>
    </row>
    <row r="113" spans="1:13">
      <c r="A113" s="57" t="s">
        <v>526</v>
      </c>
      <c r="B113" s="58">
        <f t="shared" si="6"/>
        <v>38800</v>
      </c>
      <c r="C113" s="59">
        <f t="shared" si="7"/>
        <v>2006</v>
      </c>
      <c r="D113" s="61">
        <v>10.8568</v>
      </c>
      <c r="E113" s="61">
        <v>10.8612</v>
      </c>
      <c r="F113" s="61">
        <v>10.8628</v>
      </c>
      <c r="H113" s="62" t="s">
        <v>527</v>
      </c>
      <c r="I113" s="58">
        <f t="shared" si="9"/>
        <v>43548</v>
      </c>
      <c r="J113" s="60">
        <f t="shared" si="8"/>
        <v>2019</v>
      </c>
      <c r="K113" s="63" t="s">
        <v>362</v>
      </c>
      <c r="L113" s="63" t="s">
        <v>362</v>
      </c>
      <c r="M113" s="64">
        <v>18.869399999999999</v>
      </c>
    </row>
    <row r="114" spans="1:13">
      <c r="A114" s="65" t="s">
        <v>528</v>
      </c>
      <c r="B114" s="66">
        <f t="shared" si="6"/>
        <v>38801</v>
      </c>
      <c r="C114" s="67">
        <f t="shared" si="7"/>
        <v>2006</v>
      </c>
      <c r="D114" s="70" t="s">
        <v>362</v>
      </c>
      <c r="E114" s="70" t="s">
        <v>362</v>
      </c>
      <c r="F114" s="68">
        <v>10.8612</v>
      </c>
      <c r="H114" s="69" t="s">
        <v>529</v>
      </c>
      <c r="I114" s="66">
        <f t="shared" si="9"/>
        <v>43549</v>
      </c>
      <c r="J114" s="70">
        <f t="shared" si="8"/>
        <v>2019</v>
      </c>
      <c r="K114" s="71">
        <v>19.0151</v>
      </c>
      <c r="L114" s="71">
        <v>19.136900000000001</v>
      </c>
      <c r="M114" s="71">
        <v>18.869399999999999</v>
      </c>
    </row>
    <row r="115" spans="1:13">
      <c r="A115" s="57" t="s">
        <v>530</v>
      </c>
      <c r="B115" s="58">
        <f t="shared" si="6"/>
        <v>38802</v>
      </c>
      <c r="C115" s="59">
        <f t="shared" si="7"/>
        <v>2006</v>
      </c>
      <c r="D115" s="60" t="s">
        <v>362</v>
      </c>
      <c r="E115" s="60" t="s">
        <v>362</v>
      </c>
      <c r="F115" s="61">
        <v>10.8612</v>
      </c>
      <c r="H115" s="62" t="s">
        <v>531</v>
      </c>
      <c r="I115" s="58">
        <f t="shared" si="9"/>
        <v>43550</v>
      </c>
      <c r="J115" s="60">
        <f t="shared" si="8"/>
        <v>2019</v>
      </c>
      <c r="K115" s="64">
        <v>19.0989</v>
      </c>
      <c r="L115" s="64">
        <v>19.0151</v>
      </c>
      <c r="M115" s="64">
        <v>19.136900000000001</v>
      </c>
    </row>
    <row r="116" spans="1:13">
      <c r="A116" s="65" t="s">
        <v>532</v>
      </c>
      <c r="B116" s="66">
        <f t="shared" si="6"/>
        <v>38803</v>
      </c>
      <c r="C116" s="67">
        <f t="shared" si="7"/>
        <v>2006</v>
      </c>
      <c r="D116" s="68">
        <v>10.9329</v>
      </c>
      <c r="E116" s="68">
        <v>10.8568</v>
      </c>
      <c r="F116" s="68">
        <v>10.8612</v>
      </c>
      <c r="H116" s="69" t="s">
        <v>533</v>
      </c>
      <c r="I116" s="66">
        <f t="shared" si="9"/>
        <v>43551</v>
      </c>
      <c r="J116" s="70">
        <f t="shared" si="8"/>
        <v>2019</v>
      </c>
      <c r="K116" s="71">
        <v>19.3201</v>
      </c>
      <c r="L116" s="71">
        <v>19.0989</v>
      </c>
      <c r="M116" s="71">
        <v>19.0151</v>
      </c>
    </row>
    <row r="117" spans="1:13">
      <c r="A117" s="57" t="s">
        <v>534</v>
      </c>
      <c r="B117" s="58">
        <f t="shared" si="6"/>
        <v>38804</v>
      </c>
      <c r="C117" s="59">
        <f t="shared" si="7"/>
        <v>2006</v>
      </c>
      <c r="D117" s="61">
        <v>10.9633</v>
      </c>
      <c r="E117" s="61">
        <v>10.9329</v>
      </c>
      <c r="F117" s="61">
        <v>10.8568</v>
      </c>
      <c r="H117" s="62" t="s">
        <v>535</v>
      </c>
      <c r="I117" s="58">
        <f t="shared" si="9"/>
        <v>43552</v>
      </c>
      <c r="J117" s="60">
        <f t="shared" si="8"/>
        <v>2019</v>
      </c>
      <c r="K117" s="64">
        <v>19.379300000000001</v>
      </c>
      <c r="L117" s="64">
        <v>19.3201</v>
      </c>
      <c r="M117" s="64">
        <v>19.0989</v>
      </c>
    </row>
    <row r="118" spans="1:13">
      <c r="A118" s="65" t="s">
        <v>536</v>
      </c>
      <c r="B118" s="66">
        <f t="shared" si="6"/>
        <v>38805</v>
      </c>
      <c r="C118" s="67">
        <f t="shared" si="7"/>
        <v>2006</v>
      </c>
      <c r="D118" s="68">
        <v>10.951000000000001</v>
      </c>
      <c r="E118" s="68">
        <v>10.9633</v>
      </c>
      <c r="F118" s="68">
        <v>10.9329</v>
      </c>
      <c r="H118" s="69" t="s">
        <v>537</v>
      </c>
      <c r="I118" s="66">
        <f t="shared" si="9"/>
        <v>43553</v>
      </c>
      <c r="J118" s="70">
        <f t="shared" si="8"/>
        <v>2019</v>
      </c>
      <c r="K118" s="71">
        <v>19.3779</v>
      </c>
      <c r="L118" s="71">
        <v>19.379300000000001</v>
      </c>
      <c r="M118" s="71">
        <v>19.3201</v>
      </c>
    </row>
    <row r="119" spans="1:13">
      <c r="A119" s="57" t="s">
        <v>538</v>
      </c>
      <c r="B119" s="58">
        <f t="shared" si="6"/>
        <v>38806</v>
      </c>
      <c r="C119" s="59">
        <f t="shared" si="7"/>
        <v>2006</v>
      </c>
      <c r="D119" s="61">
        <v>10.922800000000001</v>
      </c>
      <c r="E119" s="61">
        <v>10.951000000000001</v>
      </c>
      <c r="F119" s="61">
        <v>10.9633</v>
      </c>
      <c r="H119" s="62" t="s">
        <v>539</v>
      </c>
      <c r="I119" s="58">
        <f t="shared" si="9"/>
        <v>43554</v>
      </c>
      <c r="J119" s="60">
        <f t="shared" si="8"/>
        <v>2019</v>
      </c>
      <c r="K119" s="63" t="s">
        <v>362</v>
      </c>
      <c r="L119" s="63" t="s">
        <v>362</v>
      </c>
      <c r="M119" s="64">
        <v>19.379300000000001</v>
      </c>
    </row>
    <row r="120" spans="1:13">
      <c r="A120" s="65" t="s">
        <v>540</v>
      </c>
      <c r="B120" s="66">
        <f t="shared" si="6"/>
        <v>38807</v>
      </c>
      <c r="C120" s="67">
        <f t="shared" si="7"/>
        <v>2006</v>
      </c>
      <c r="D120" s="68">
        <v>10.8935</v>
      </c>
      <c r="E120" s="68">
        <v>10.922800000000001</v>
      </c>
      <c r="F120" s="68">
        <v>10.951000000000001</v>
      </c>
      <c r="H120" s="69" t="s">
        <v>541</v>
      </c>
      <c r="I120" s="66">
        <f t="shared" si="9"/>
        <v>43555</v>
      </c>
      <c r="J120" s="70">
        <f t="shared" si="8"/>
        <v>2019</v>
      </c>
      <c r="K120" s="72" t="s">
        <v>362</v>
      </c>
      <c r="L120" s="72" t="s">
        <v>362</v>
      </c>
      <c r="M120" s="71">
        <v>19.379300000000001</v>
      </c>
    </row>
    <row r="121" spans="1:13">
      <c r="A121" s="57" t="s">
        <v>542</v>
      </c>
      <c r="B121" s="58">
        <f t="shared" si="6"/>
        <v>38808</v>
      </c>
      <c r="C121" s="59">
        <f t="shared" si="7"/>
        <v>2006</v>
      </c>
      <c r="D121" s="60" t="s">
        <v>362</v>
      </c>
      <c r="E121" s="60" t="s">
        <v>362</v>
      </c>
      <c r="F121" s="61">
        <v>10.922800000000001</v>
      </c>
      <c r="H121" s="62" t="s">
        <v>543</v>
      </c>
      <c r="I121" s="58">
        <f t="shared" si="9"/>
        <v>43556</v>
      </c>
      <c r="J121" s="60">
        <f t="shared" si="8"/>
        <v>2019</v>
      </c>
      <c r="K121" s="64">
        <v>19.216899999999999</v>
      </c>
      <c r="L121" s="64">
        <v>19.3779</v>
      </c>
      <c r="M121" s="64">
        <v>19.379300000000001</v>
      </c>
    </row>
    <row r="122" spans="1:13">
      <c r="A122" s="65" t="s">
        <v>544</v>
      </c>
      <c r="B122" s="66">
        <f t="shared" si="6"/>
        <v>38809</v>
      </c>
      <c r="C122" s="67">
        <f t="shared" si="7"/>
        <v>2006</v>
      </c>
      <c r="D122" s="70" t="s">
        <v>362</v>
      </c>
      <c r="E122" s="70" t="s">
        <v>362</v>
      </c>
      <c r="F122" s="68">
        <v>10.922800000000001</v>
      </c>
      <c r="H122" s="69" t="s">
        <v>545</v>
      </c>
      <c r="I122" s="66">
        <f t="shared" si="9"/>
        <v>43557</v>
      </c>
      <c r="J122" s="70">
        <f t="shared" si="8"/>
        <v>2019</v>
      </c>
      <c r="K122" s="71">
        <v>19.227900000000002</v>
      </c>
      <c r="L122" s="71">
        <v>19.216899999999999</v>
      </c>
      <c r="M122" s="71">
        <v>19.3779</v>
      </c>
    </row>
    <row r="123" spans="1:13">
      <c r="A123" s="57" t="s">
        <v>546</v>
      </c>
      <c r="B123" s="58">
        <f t="shared" si="6"/>
        <v>38810</v>
      </c>
      <c r="C123" s="59">
        <f t="shared" si="7"/>
        <v>2006</v>
      </c>
      <c r="D123" s="61">
        <v>10.871700000000001</v>
      </c>
      <c r="E123" s="61">
        <v>10.8935</v>
      </c>
      <c r="F123" s="61">
        <v>10.922800000000001</v>
      </c>
      <c r="H123" s="62" t="s">
        <v>547</v>
      </c>
      <c r="I123" s="58">
        <f t="shared" si="9"/>
        <v>43558</v>
      </c>
      <c r="J123" s="60">
        <f t="shared" si="8"/>
        <v>2019</v>
      </c>
      <c r="K123" s="64">
        <v>19.180499999999999</v>
      </c>
      <c r="L123" s="64">
        <v>19.227900000000002</v>
      </c>
      <c r="M123" s="64">
        <v>19.216899999999999</v>
      </c>
    </row>
    <row r="124" spans="1:13">
      <c r="A124" s="65" t="s">
        <v>548</v>
      </c>
      <c r="B124" s="66">
        <f t="shared" si="6"/>
        <v>38811</v>
      </c>
      <c r="C124" s="67">
        <f t="shared" si="7"/>
        <v>2006</v>
      </c>
      <c r="D124" s="68">
        <v>10.854799999999999</v>
      </c>
      <c r="E124" s="68">
        <v>10.871700000000001</v>
      </c>
      <c r="F124" s="68">
        <v>10.8935</v>
      </c>
      <c r="H124" s="69" t="s">
        <v>549</v>
      </c>
      <c r="I124" s="66">
        <f t="shared" si="9"/>
        <v>43559</v>
      </c>
      <c r="J124" s="70">
        <f t="shared" si="8"/>
        <v>2019</v>
      </c>
      <c r="K124" s="71">
        <v>19.172799999999999</v>
      </c>
      <c r="L124" s="71">
        <v>19.180499999999999</v>
      </c>
      <c r="M124" s="71">
        <v>19.227900000000002</v>
      </c>
    </row>
    <row r="125" spans="1:13">
      <c r="A125" s="57" t="s">
        <v>550</v>
      </c>
      <c r="B125" s="58">
        <f t="shared" si="6"/>
        <v>38812</v>
      </c>
      <c r="C125" s="59">
        <f t="shared" si="7"/>
        <v>2006</v>
      </c>
      <c r="D125" s="61">
        <v>10.9467</v>
      </c>
      <c r="E125" s="61">
        <v>10.854799999999999</v>
      </c>
      <c r="F125" s="61">
        <v>10.871700000000001</v>
      </c>
      <c r="H125" s="62" t="s">
        <v>551</v>
      </c>
      <c r="I125" s="58">
        <f t="shared" si="9"/>
        <v>43560</v>
      </c>
      <c r="J125" s="60">
        <f t="shared" si="8"/>
        <v>2019</v>
      </c>
      <c r="K125" s="64">
        <v>19.080500000000001</v>
      </c>
      <c r="L125" s="64">
        <v>19.172799999999999</v>
      </c>
      <c r="M125" s="64">
        <v>19.180499999999999</v>
      </c>
    </row>
    <row r="126" spans="1:13">
      <c r="A126" s="65" t="s">
        <v>552</v>
      </c>
      <c r="B126" s="66">
        <f t="shared" si="6"/>
        <v>38813</v>
      </c>
      <c r="C126" s="67">
        <f t="shared" si="7"/>
        <v>2006</v>
      </c>
      <c r="D126" s="68">
        <v>11.0557</v>
      </c>
      <c r="E126" s="68">
        <v>10.9467</v>
      </c>
      <c r="F126" s="68">
        <v>10.854799999999999</v>
      </c>
      <c r="H126" s="69" t="s">
        <v>553</v>
      </c>
      <c r="I126" s="66">
        <f t="shared" si="9"/>
        <v>43561</v>
      </c>
      <c r="J126" s="70">
        <f t="shared" si="8"/>
        <v>2019</v>
      </c>
      <c r="K126" s="72" t="s">
        <v>362</v>
      </c>
      <c r="L126" s="72" t="s">
        <v>362</v>
      </c>
      <c r="M126" s="71">
        <v>19.172799999999999</v>
      </c>
    </row>
    <row r="127" spans="1:13">
      <c r="A127" s="57" t="s">
        <v>554</v>
      </c>
      <c r="B127" s="58">
        <f t="shared" si="6"/>
        <v>38814</v>
      </c>
      <c r="C127" s="59">
        <f t="shared" si="7"/>
        <v>2006</v>
      </c>
      <c r="D127" s="61">
        <v>11.144299999999999</v>
      </c>
      <c r="E127" s="61">
        <v>11.0557</v>
      </c>
      <c r="F127" s="61">
        <v>10.9467</v>
      </c>
      <c r="H127" s="62" t="s">
        <v>555</v>
      </c>
      <c r="I127" s="58">
        <f t="shared" si="9"/>
        <v>43562</v>
      </c>
      <c r="J127" s="60">
        <f t="shared" si="8"/>
        <v>2019</v>
      </c>
      <c r="K127" s="63" t="s">
        <v>362</v>
      </c>
      <c r="L127" s="63" t="s">
        <v>362</v>
      </c>
      <c r="M127" s="64">
        <v>19.172799999999999</v>
      </c>
    </row>
    <row r="128" spans="1:13">
      <c r="A128" s="65" t="s">
        <v>556</v>
      </c>
      <c r="B128" s="66">
        <f t="shared" si="6"/>
        <v>38815</v>
      </c>
      <c r="C128" s="67">
        <f t="shared" si="7"/>
        <v>2006</v>
      </c>
      <c r="D128" s="70" t="s">
        <v>362</v>
      </c>
      <c r="E128" s="70" t="s">
        <v>362</v>
      </c>
      <c r="F128" s="68">
        <v>11.0557</v>
      </c>
      <c r="H128" s="69" t="s">
        <v>557</v>
      </c>
      <c r="I128" s="66">
        <f t="shared" si="9"/>
        <v>43563</v>
      </c>
      <c r="J128" s="70">
        <f t="shared" si="8"/>
        <v>2019</v>
      </c>
      <c r="K128" s="71">
        <v>18.970099999999999</v>
      </c>
      <c r="L128" s="71">
        <v>19.080500000000001</v>
      </c>
      <c r="M128" s="71">
        <v>19.172799999999999</v>
      </c>
    </row>
    <row r="129" spans="1:13">
      <c r="A129" s="57" t="s">
        <v>558</v>
      </c>
      <c r="B129" s="58">
        <f t="shared" si="6"/>
        <v>38816</v>
      </c>
      <c r="C129" s="59">
        <f t="shared" si="7"/>
        <v>2006</v>
      </c>
      <c r="D129" s="60" t="s">
        <v>362</v>
      </c>
      <c r="E129" s="60" t="s">
        <v>362</v>
      </c>
      <c r="F129" s="61">
        <v>11.0557</v>
      </c>
      <c r="H129" s="62" t="s">
        <v>559</v>
      </c>
      <c r="I129" s="58">
        <f t="shared" si="9"/>
        <v>43564</v>
      </c>
      <c r="J129" s="60">
        <f t="shared" si="8"/>
        <v>2019</v>
      </c>
      <c r="K129" s="64">
        <v>18.922899999999998</v>
      </c>
      <c r="L129" s="64">
        <v>18.970099999999999</v>
      </c>
      <c r="M129" s="64">
        <v>19.080500000000001</v>
      </c>
    </row>
    <row r="130" spans="1:13">
      <c r="A130" s="65" t="s">
        <v>560</v>
      </c>
      <c r="B130" s="66">
        <f t="shared" si="6"/>
        <v>38817</v>
      </c>
      <c r="C130" s="67">
        <f t="shared" si="7"/>
        <v>2006</v>
      </c>
      <c r="D130" s="68">
        <v>11.095599999999999</v>
      </c>
      <c r="E130" s="68">
        <v>11.144299999999999</v>
      </c>
      <c r="F130" s="68">
        <v>11.0557</v>
      </c>
      <c r="H130" s="69" t="s">
        <v>561</v>
      </c>
      <c r="I130" s="66">
        <f t="shared" si="9"/>
        <v>43565</v>
      </c>
      <c r="J130" s="70">
        <f t="shared" si="8"/>
        <v>2019</v>
      </c>
      <c r="K130" s="71">
        <v>18.835999999999999</v>
      </c>
      <c r="L130" s="71">
        <v>18.922899999999998</v>
      </c>
      <c r="M130" s="71">
        <v>18.970099999999999</v>
      </c>
    </row>
    <row r="131" spans="1:13">
      <c r="A131" s="57" t="s">
        <v>562</v>
      </c>
      <c r="B131" s="58">
        <f t="shared" si="6"/>
        <v>38818</v>
      </c>
      <c r="C131" s="59">
        <f t="shared" si="7"/>
        <v>2006</v>
      </c>
      <c r="D131" s="61">
        <v>11.0708</v>
      </c>
      <c r="E131" s="61">
        <v>11.095599999999999</v>
      </c>
      <c r="F131" s="61">
        <v>11.144299999999999</v>
      </c>
      <c r="H131" s="62" t="s">
        <v>563</v>
      </c>
      <c r="I131" s="58">
        <f t="shared" si="9"/>
        <v>43566</v>
      </c>
      <c r="J131" s="60">
        <f t="shared" si="8"/>
        <v>2019</v>
      </c>
      <c r="K131" s="64">
        <v>18.8432</v>
      </c>
      <c r="L131" s="64">
        <v>18.835999999999999</v>
      </c>
      <c r="M131" s="64">
        <v>18.922899999999998</v>
      </c>
    </row>
    <row r="132" spans="1:13">
      <c r="A132" s="65" t="s">
        <v>564</v>
      </c>
      <c r="B132" s="66">
        <f t="shared" si="6"/>
        <v>38819</v>
      </c>
      <c r="C132" s="67">
        <f t="shared" si="7"/>
        <v>2006</v>
      </c>
      <c r="D132" s="68">
        <v>11.047700000000001</v>
      </c>
      <c r="E132" s="68">
        <v>11.0708</v>
      </c>
      <c r="F132" s="68">
        <v>11.095599999999999</v>
      </c>
      <c r="H132" s="69" t="s">
        <v>565</v>
      </c>
      <c r="I132" s="66">
        <f t="shared" si="9"/>
        <v>43567</v>
      </c>
      <c r="J132" s="70">
        <f t="shared" si="8"/>
        <v>2019</v>
      </c>
      <c r="K132" s="71">
        <v>18.771899999999999</v>
      </c>
      <c r="L132" s="71">
        <v>18.8432</v>
      </c>
      <c r="M132" s="71">
        <v>18.835999999999999</v>
      </c>
    </row>
    <row r="133" spans="1:13">
      <c r="A133" s="57" t="s">
        <v>566</v>
      </c>
      <c r="B133" s="58">
        <f t="shared" si="6"/>
        <v>38820</v>
      </c>
      <c r="C133" s="59">
        <f t="shared" si="7"/>
        <v>2006</v>
      </c>
      <c r="D133" s="60" t="s">
        <v>362</v>
      </c>
      <c r="E133" s="60" t="s">
        <v>362</v>
      </c>
      <c r="F133" s="61">
        <v>11.0708</v>
      </c>
      <c r="H133" s="62" t="s">
        <v>567</v>
      </c>
      <c r="I133" s="58">
        <f t="shared" si="9"/>
        <v>43568</v>
      </c>
      <c r="J133" s="60">
        <f t="shared" si="8"/>
        <v>2019</v>
      </c>
      <c r="K133" s="63" t="s">
        <v>362</v>
      </c>
      <c r="L133" s="63" t="s">
        <v>362</v>
      </c>
      <c r="M133" s="64">
        <v>18.8432</v>
      </c>
    </row>
    <row r="134" spans="1:13">
      <c r="A134" s="65" t="s">
        <v>568</v>
      </c>
      <c r="B134" s="66">
        <f t="shared" si="6"/>
        <v>38821</v>
      </c>
      <c r="C134" s="67">
        <f t="shared" si="7"/>
        <v>2006</v>
      </c>
      <c r="D134" s="70" t="s">
        <v>362</v>
      </c>
      <c r="E134" s="70" t="s">
        <v>362</v>
      </c>
      <c r="F134" s="68">
        <v>11.0708</v>
      </c>
      <c r="H134" s="69" t="s">
        <v>569</v>
      </c>
      <c r="I134" s="66">
        <f t="shared" si="9"/>
        <v>43569</v>
      </c>
      <c r="J134" s="70">
        <f t="shared" si="8"/>
        <v>2019</v>
      </c>
      <c r="K134" s="72" t="s">
        <v>362</v>
      </c>
      <c r="L134" s="72" t="s">
        <v>362</v>
      </c>
      <c r="M134" s="71">
        <v>18.8432</v>
      </c>
    </row>
    <row r="135" spans="1:13">
      <c r="A135" s="57" t="s">
        <v>570</v>
      </c>
      <c r="B135" s="58">
        <f t="shared" si="6"/>
        <v>38822</v>
      </c>
      <c r="C135" s="59">
        <f t="shared" si="7"/>
        <v>2006</v>
      </c>
      <c r="D135" s="60" t="s">
        <v>362</v>
      </c>
      <c r="E135" s="60" t="s">
        <v>362</v>
      </c>
      <c r="F135" s="61">
        <v>11.0708</v>
      </c>
      <c r="H135" s="62" t="s">
        <v>571</v>
      </c>
      <c r="I135" s="58">
        <f t="shared" si="9"/>
        <v>43570</v>
      </c>
      <c r="J135" s="60">
        <f t="shared" si="8"/>
        <v>2019</v>
      </c>
      <c r="K135" s="64">
        <v>18.8489</v>
      </c>
      <c r="L135" s="64">
        <v>18.771899999999999</v>
      </c>
      <c r="M135" s="64">
        <v>18.8432</v>
      </c>
    </row>
    <row r="136" spans="1:13">
      <c r="A136" s="65" t="s">
        <v>572</v>
      </c>
      <c r="B136" s="66">
        <f t="shared" si="6"/>
        <v>38823</v>
      </c>
      <c r="C136" s="67">
        <f t="shared" si="7"/>
        <v>2006</v>
      </c>
      <c r="D136" s="70" t="s">
        <v>362</v>
      </c>
      <c r="E136" s="70" t="s">
        <v>362</v>
      </c>
      <c r="F136" s="68">
        <v>11.0708</v>
      </c>
      <c r="H136" s="69" t="s">
        <v>573</v>
      </c>
      <c r="I136" s="66">
        <f t="shared" si="9"/>
        <v>43571</v>
      </c>
      <c r="J136" s="70">
        <f t="shared" si="8"/>
        <v>2019</v>
      </c>
      <c r="K136" s="71">
        <v>18.951599999999999</v>
      </c>
      <c r="L136" s="71">
        <v>18.8489</v>
      </c>
      <c r="M136" s="71">
        <v>18.771899999999999</v>
      </c>
    </row>
    <row r="137" spans="1:13">
      <c r="A137" s="57" t="s">
        <v>574</v>
      </c>
      <c r="B137" s="58">
        <f t="shared" si="6"/>
        <v>38824</v>
      </c>
      <c r="C137" s="59">
        <f t="shared" si="7"/>
        <v>2006</v>
      </c>
      <c r="D137" s="61">
        <v>11.084199999999999</v>
      </c>
      <c r="E137" s="61">
        <v>11.047700000000001</v>
      </c>
      <c r="F137" s="61">
        <v>11.0708</v>
      </c>
      <c r="H137" s="62" t="s">
        <v>575</v>
      </c>
      <c r="I137" s="58">
        <f t="shared" si="9"/>
        <v>43572</v>
      </c>
      <c r="J137" s="60">
        <f t="shared" si="8"/>
        <v>2019</v>
      </c>
      <c r="K137" s="64">
        <v>18.847999999999999</v>
      </c>
      <c r="L137" s="64">
        <v>18.951599999999999</v>
      </c>
      <c r="M137" s="64">
        <v>18.8489</v>
      </c>
    </row>
    <row r="138" spans="1:13">
      <c r="A138" s="65" t="s">
        <v>576</v>
      </c>
      <c r="B138" s="66">
        <f t="shared" si="6"/>
        <v>38825</v>
      </c>
      <c r="C138" s="67">
        <f t="shared" si="7"/>
        <v>2006</v>
      </c>
      <c r="D138" s="68">
        <v>11.001099999999999</v>
      </c>
      <c r="E138" s="68">
        <v>11.084199999999999</v>
      </c>
      <c r="F138" s="68">
        <v>11.047700000000001</v>
      </c>
      <c r="H138" s="69" t="s">
        <v>577</v>
      </c>
      <c r="I138" s="66">
        <f t="shared" si="9"/>
        <v>43573</v>
      </c>
      <c r="J138" s="70">
        <f t="shared" si="8"/>
        <v>2019</v>
      </c>
      <c r="K138" s="72" t="s">
        <v>362</v>
      </c>
      <c r="L138" s="72" t="s">
        <v>362</v>
      </c>
      <c r="M138" s="71">
        <v>18.951599999999999</v>
      </c>
    </row>
    <row r="139" spans="1:13">
      <c r="A139" s="57" t="s">
        <v>578</v>
      </c>
      <c r="B139" s="58">
        <f t="shared" si="6"/>
        <v>38826</v>
      </c>
      <c r="C139" s="59">
        <f t="shared" si="7"/>
        <v>2006</v>
      </c>
      <c r="D139" s="61">
        <v>10.9773</v>
      </c>
      <c r="E139" s="61">
        <v>11.001099999999999</v>
      </c>
      <c r="F139" s="61">
        <v>11.084199999999999</v>
      </c>
      <c r="H139" s="62" t="s">
        <v>579</v>
      </c>
      <c r="I139" s="58">
        <f t="shared" si="9"/>
        <v>43574</v>
      </c>
      <c r="J139" s="60">
        <f t="shared" si="8"/>
        <v>2019</v>
      </c>
      <c r="K139" s="63" t="s">
        <v>362</v>
      </c>
      <c r="L139" s="63" t="s">
        <v>362</v>
      </c>
      <c r="M139" s="64">
        <v>18.951599999999999</v>
      </c>
    </row>
    <row r="140" spans="1:13">
      <c r="A140" s="65" t="s">
        <v>580</v>
      </c>
      <c r="B140" s="66">
        <f t="shared" si="6"/>
        <v>38827</v>
      </c>
      <c r="C140" s="67">
        <f t="shared" si="7"/>
        <v>2006</v>
      </c>
      <c r="D140" s="68">
        <v>11.030200000000001</v>
      </c>
      <c r="E140" s="68">
        <v>10.9773</v>
      </c>
      <c r="F140" s="68">
        <v>11.001099999999999</v>
      </c>
      <c r="H140" s="69" t="s">
        <v>581</v>
      </c>
      <c r="I140" s="66">
        <f t="shared" si="9"/>
        <v>43575</v>
      </c>
      <c r="J140" s="70">
        <f t="shared" si="8"/>
        <v>2019</v>
      </c>
      <c r="K140" s="72" t="s">
        <v>362</v>
      </c>
      <c r="L140" s="72" t="s">
        <v>362</v>
      </c>
      <c r="M140" s="71">
        <v>18.951599999999999</v>
      </c>
    </row>
    <row r="141" spans="1:13">
      <c r="A141" s="57" t="s">
        <v>582</v>
      </c>
      <c r="B141" s="58">
        <f t="shared" si="6"/>
        <v>38828</v>
      </c>
      <c r="C141" s="59">
        <f t="shared" si="7"/>
        <v>2006</v>
      </c>
      <c r="D141" s="61">
        <v>11.066700000000001</v>
      </c>
      <c r="E141" s="61">
        <v>11.030200000000001</v>
      </c>
      <c r="F141" s="61">
        <v>10.9773</v>
      </c>
      <c r="H141" s="62" t="s">
        <v>583</v>
      </c>
      <c r="I141" s="58">
        <f t="shared" si="9"/>
        <v>43576</v>
      </c>
      <c r="J141" s="60">
        <f t="shared" si="8"/>
        <v>2019</v>
      </c>
      <c r="K141" s="63" t="s">
        <v>362</v>
      </c>
      <c r="L141" s="63" t="s">
        <v>362</v>
      </c>
      <c r="M141" s="64">
        <v>18.951599999999999</v>
      </c>
    </row>
    <row r="142" spans="1:13">
      <c r="A142" s="65" t="s">
        <v>584</v>
      </c>
      <c r="B142" s="66">
        <f t="shared" si="6"/>
        <v>38829</v>
      </c>
      <c r="C142" s="67">
        <f t="shared" si="7"/>
        <v>2006</v>
      </c>
      <c r="D142" s="70" t="s">
        <v>362</v>
      </c>
      <c r="E142" s="70" t="s">
        <v>362</v>
      </c>
      <c r="F142" s="68">
        <v>11.030200000000001</v>
      </c>
      <c r="H142" s="69" t="s">
        <v>585</v>
      </c>
      <c r="I142" s="66">
        <f t="shared" si="9"/>
        <v>43577</v>
      </c>
      <c r="J142" s="70">
        <f t="shared" si="8"/>
        <v>2019</v>
      </c>
      <c r="K142" s="71">
        <v>18.835899999999999</v>
      </c>
      <c r="L142" s="71">
        <v>18.847999999999999</v>
      </c>
      <c r="M142" s="71">
        <v>18.951599999999999</v>
      </c>
    </row>
    <row r="143" spans="1:13">
      <c r="A143" s="57" t="s">
        <v>586</v>
      </c>
      <c r="B143" s="58">
        <f t="shared" si="6"/>
        <v>38830</v>
      </c>
      <c r="C143" s="59">
        <f t="shared" si="7"/>
        <v>2006</v>
      </c>
      <c r="D143" s="60" t="s">
        <v>362</v>
      </c>
      <c r="E143" s="60" t="s">
        <v>362</v>
      </c>
      <c r="F143" s="61">
        <v>11.030200000000001</v>
      </c>
      <c r="H143" s="62" t="s">
        <v>587</v>
      </c>
      <c r="I143" s="58">
        <f t="shared" si="9"/>
        <v>43578</v>
      </c>
      <c r="J143" s="60">
        <f t="shared" si="8"/>
        <v>2019</v>
      </c>
      <c r="K143" s="64">
        <v>18.957799999999999</v>
      </c>
      <c r="L143" s="64">
        <v>18.835899999999999</v>
      </c>
      <c r="M143" s="64">
        <v>18.847999999999999</v>
      </c>
    </row>
    <row r="144" spans="1:13">
      <c r="A144" s="65" t="s">
        <v>588</v>
      </c>
      <c r="B144" s="66">
        <f t="shared" si="6"/>
        <v>38831</v>
      </c>
      <c r="C144" s="67">
        <f t="shared" si="7"/>
        <v>2006</v>
      </c>
      <c r="D144" s="68">
        <v>11.0656</v>
      </c>
      <c r="E144" s="68">
        <v>11.066700000000001</v>
      </c>
      <c r="F144" s="68">
        <v>11.030200000000001</v>
      </c>
      <c r="H144" s="69" t="s">
        <v>589</v>
      </c>
      <c r="I144" s="66">
        <f t="shared" si="9"/>
        <v>43579</v>
      </c>
      <c r="J144" s="70">
        <f t="shared" si="8"/>
        <v>2019</v>
      </c>
      <c r="K144" s="71">
        <v>19.0046</v>
      </c>
      <c r="L144" s="71">
        <v>18.957799999999999</v>
      </c>
      <c r="M144" s="71">
        <v>18.835899999999999</v>
      </c>
    </row>
    <row r="145" spans="1:13">
      <c r="A145" s="57" t="s">
        <v>590</v>
      </c>
      <c r="B145" s="58">
        <f t="shared" si="6"/>
        <v>38832</v>
      </c>
      <c r="C145" s="59">
        <f t="shared" si="7"/>
        <v>2006</v>
      </c>
      <c r="D145" s="61">
        <v>11.084199999999999</v>
      </c>
      <c r="E145" s="61">
        <v>11.0656</v>
      </c>
      <c r="F145" s="61">
        <v>11.066700000000001</v>
      </c>
      <c r="H145" s="62" t="s">
        <v>591</v>
      </c>
      <c r="I145" s="58">
        <f t="shared" si="9"/>
        <v>43580</v>
      </c>
      <c r="J145" s="60">
        <f t="shared" si="8"/>
        <v>2019</v>
      </c>
      <c r="K145" s="64">
        <v>19.094200000000001</v>
      </c>
      <c r="L145" s="64">
        <v>19.0046</v>
      </c>
      <c r="M145" s="64">
        <v>18.957799999999999</v>
      </c>
    </row>
    <row r="146" spans="1:13">
      <c r="A146" s="65" t="s">
        <v>592</v>
      </c>
      <c r="B146" s="66">
        <f t="shared" si="6"/>
        <v>38833</v>
      </c>
      <c r="C146" s="67">
        <f t="shared" si="7"/>
        <v>2006</v>
      </c>
      <c r="D146" s="68">
        <v>11.1578</v>
      </c>
      <c r="E146" s="68">
        <v>11.084199999999999</v>
      </c>
      <c r="F146" s="68">
        <v>11.0656</v>
      </c>
      <c r="H146" s="69" t="s">
        <v>593</v>
      </c>
      <c r="I146" s="66">
        <f t="shared" si="9"/>
        <v>43581</v>
      </c>
      <c r="J146" s="70">
        <f t="shared" si="8"/>
        <v>2019</v>
      </c>
      <c r="K146" s="71">
        <v>18.941400000000002</v>
      </c>
      <c r="L146" s="71">
        <v>19.094200000000001</v>
      </c>
      <c r="M146" s="71">
        <v>19.0046</v>
      </c>
    </row>
    <row r="147" spans="1:13">
      <c r="A147" s="57" t="s">
        <v>594</v>
      </c>
      <c r="B147" s="58">
        <f t="shared" si="6"/>
        <v>38834</v>
      </c>
      <c r="C147" s="59">
        <f t="shared" si="7"/>
        <v>2006</v>
      </c>
      <c r="D147" s="61">
        <v>11.1135</v>
      </c>
      <c r="E147" s="61">
        <v>11.1578</v>
      </c>
      <c r="F147" s="61">
        <v>11.084199999999999</v>
      </c>
      <c r="H147" s="62" t="s">
        <v>595</v>
      </c>
      <c r="I147" s="58">
        <f t="shared" si="9"/>
        <v>43582</v>
      </c>
      <c r="J147" s="60">
        <f t="shared" si="8"/>
        <v>2019</v>
      </c>
      <c r="K147" s="63" t="s">
        <v>362</v>
      </c>
      <c r="L147" s="63" t="s">
        <v>362</v>
      </c>
      <c r="M147" s="64">
        <v>19.094200000000001</v>
      </c>
    </row>
    <row r="148" spans="1:13">
      <c r="A148" s="65" t="s">
        <v>596</v>
      </c>
      <c r="B148" s="66">
        <f t="shared" si="6"/>
        <v>38835</v>
      </c>
      <c r="C148" s="67">
        <f t="shared" si="7"/>
        <v>2006</v>
      </c>
      <c r="D148" s="68">
        <v>11.090299999999999</v>
      </c>
      <c r="E148" s="68">
        <v>11.1135</v>
      </c>
      <c r="F148" s="68">
        <v>11.1578</v>
      </c>
      <c r="H148" s="69" t="s">
        <v>597</v>
      </c>
      <c r="I148" s="66">
        <f t="shared" si="9"/>
        <v>43583</v>
      </c>
      <c r="J148" s="70">
        <f t="shared" si="8"/>
        <v>2019</v>
      </c>
      <c r="K148" s="72" t="s">
        <v>362</v>
      </c>
      <c r="L148" s="72" t="s">
        <v>362</v>
      </c>
      <c r="M148" s="71">
        <v>19.094200000000001</v>
      </c>
    </row>
    <row r="149" spans="1:13">
      <c r="A149" s="57" t="s">
        <v>598</v>
      </c>
      <c r="B149" s="58">
        <f t="shared" si="6"/>
        <v>38836</v>
      </c>
      <c r="C149" s="59">
        <f t="shared" si="7"/>
        <v>2006</v>
      </c>
      <c r="D149" s="60" t="s">
        <v>362</v>
      </c>
      <c r="E149" s="60" t="s">
        <v>362</v>
      </c>
      <c r="F149" s="61">
        <v>11.1135</v>
      </c>
      <c r="H149" s="62" t="s">
        <v>599</v>
      </c>
      <c r="I149" s="58">
        <f t="shared" si="9"/>
        <v>43584</v>
      </c>
      <c r="J149" s="60">
        <f t="shared" si="8"/>
        <v>2019</v>
      </c>
      <c r="K149" s="64">
        <v>19.012</v>
      </c>
      <c r="L149" s="64">
        <v>18.941400000000002</v>
      </c>
      <c r="M149" s="64">
        <v>19.094200000000001</v>
      </c>
    </row>
    <row r="150" spans="1:13">
      <c r="A150" s="65" t="s">
        <v>600</v>
      </c>
      <c r="B150" s="66">
        <f t="shared" si="6"/>
        <v>38837</v>
      </c>
      <c r="C150" s="67">
        <f t="shared" si="7"/>
        <v>2006</v>
      </c>
      <c r="D150" s="70" t="s">
        <v>362</v>
      </c>
      <c r="E150" s="70" t="s">
        <v>362</v>
      </c>
      <c r="F150" s="68">
        <v>11.1135</v>
      </c>
      <c r="H150" s="69" t="s">
        <v>601</v>
      </c>
      <c r="I150" s="66">
        <f t="shared" si="9"/>
        <v>43585</v>
      </c>
      <c r="J150" s="70">
        <f t="shared" si="8"/>
        <v>2019</v>
      </c>
      <c r="K150" s="71">
        <v>19.009899999999998</v>
      </c>
      <c r="L150" s="71">
        <v>19.012</v>
      </c>
      <c r="M150" s="71">
        <v>18.941400000000002</v>
      </c>
    </row>
    <row r="151" spans="1:13">
      <c r="A151" s="57" t="s">
        <v>602</v>
      </c>
      <c r="B151" s="58">
        <f t="shared" si="6"/>
        <v>38838</v>
      </c>
      <c r="C151" s="59">
        <f t="shared" si="7"/>
        <v>2006</v>
      </c>
      <c r="D151" s="60" t="s">
        <v>362</v>
      </c>
      <c r="E151" s="60" t="s">
        <v>362</v>
      </c>
      <c r="F151" s="61">
        <v>11.1135</v>
      </c>
      <c r="H151" s="62" t="s">
        <v>603</v>
      </c>
      <c r="I151" s="58">
        <f t="shared" si="9"/>
        <v>43586</v>
      </c>
      <c r="J151" s="60">
        <f t="shared" si="8"/>
        <v>2019</v>
      </c>
      <c r="K151" s="63" t="s">
        <v>362</v>
      </c>
      <c r="L151" s="63" t="s">
        <v>362</v>
      </c>
      <c r="M151" s="64">
        <v>19.012</v>
      </c>
    </row>
    <row r="152" spans="1:13">
      <c r="A152" s="65" t="s">
        <v>604</v>
      </c>
      <c r="B152" s="66">
        <f t="shared" si="6"/>
        <v>38839</v>
      </c>
      <c r="C152" s="67">
        <f t="shared" si="7"/>
        <v>2006</v>
      </c>
      <c r="D152" s="68">
        <v>11.032299999999999</v>
      </c>
      <c r="E152" s="68">
        <v>11.090299999999999</v>
      </c>
      <c r="F152" s="68">
        <v>11.1135</v>
      </c>
      <c r="H152" s="69" t="s">
        <v>605</v>
      </c>
      <c r="I152" s="66">
        <f t="shared" si="9"/>
        <v>43587</v>
      </c>
      <c r="J152" s="70">
        <f t="shared" si="8"/>
        <v>2019</v>
      </c>
      <c r="K152" s="71">
        <v>19.101400000000002</v>
      </c>
      <c r="L152" s="71">
        <v>19.009899999999998</v>
      </c>
      <c r="M152" s="71">
        <v>19.012</v>
      </c>
    </row>
    <row r="153" spans="1:13">
      <c r="A153" s="57" t="s">
        <v>606</v>
      </c>
      <c r="B153" s="58">
        <f t="shared" si="6"/>
        <v>38840</v>
      </c>
      <c r="C153" s="59">
        <f t="shared" si="7"/>
        <v>2006</v>
      </c>
      <c r="D153" s="61">
        <v>10.960800000000001</v>
      </c>
      <c r="E153" s="61">
        <v>11.032299999999999</v>
      </c>
      <c r="F153" s="61">
        <v>11.090299999999999</v>
      </c>
      <c r="H153" s="62" t="s">
        <v>607</v>
      </c>
      <c r="I153" s="58">
        <f t="shared" si="9"/>
        <v>43588</v>
      </c>
      <c r="J153" s="60">
        <f t="shared" si="8"/>
        <v>2019</v>
      </c>
      <c r="K153" s="64">
        <v>19.001200000000001</v>
      </c>
      <c r="L153" s="64">
        <v>19.101400000000002</v>
      </c>
      <c r="M153" s="64">
        <v>19.009899999999998</v>
      </c>
    </row>
    <row r="154" spans="1:13">
      <c r="A154" s="65" t="s">
        <v>608</v>
      </c>
      <c r="B154" s="66">
        <f t="shared" si="6"/>
        <v>38841</v>
      </c>
      <c r="C154" s="67">
        <f t="shared" si="7"/>
        <v>2006</v>
      </c>
      <c r="D154" s="68">
        <v>10.9694</v>
      </c>
      <c r="E154" s="68">
        <v>10.960800000000001</v>
      </c>
      <c r="F154" s="68">
        <v>11.032299999999999</v>
      </c>
      <c r="H154" s="69" t="s">
        <v>609</v>
      </c>
      <c r="I154" s="66">
        <f t="shared" si="9"/>
        <v>43589</v>
      </c>
      <c r="J154" s="70">
        <f t="shared" si="8"/>
        <v>2019</v>
      </c>
      <c r="K154" s="72" t="s">
        <v>362</v>
      </c>
      <c r="L154" s="72" t="s">
        <v>362</v>
      </c>
      <c r="M154" s="71">
        <v>19.101400000000002</v>
      </c>
    </row>
    <row r="155" spans="1:13">
      <c r="A155" s="57" t="s">
        <v>610</v>
      </c>
      <c r="B155" s="58">
        <f t="shared" si="6"/>
        <v>38842</v>
      </c>
      <c r="C155" s="59">
        <f t="shared" si="7"/>
        <v>2006</v>
      </c>
      <c r="D155" s="61">
        <v>10.9587</v>
      </c>
      <c r="E155" s="61">
        <v>10.9694</v>
      </c>
      <c r="F155" s="61">
        <v>10.960800000000001</v>
      </c>
      <c r="H155" s="62" t="s">
        <v>611</v>
      </c>
      <c r="I155" s="58">
        <f t="shared" si="9"/>
        <v>43590</v>
      </c>
      <c r="J155" s="60">
        <f t="shared" si="8"/>
        <v>2019</v>
      </c>
      <c r="K155" s="63" t="s">
        <v>362</v>
      </c>
      <c r="L155" s="63" t="s">
        <v>362</v>
      </c>
      <c r="M155" s="64">
        <v>19.101400000000002</v>
      </c>
    </row>
    <row r="156" spans="1:13">
      <c r="A156" s="65" t="s">
        <v>612</v>
      </c>
      <c r="B156" s="66">
        <f t="shared" si="6"/>
        <v>38843</v>
      </c>
      <c r="C156" s="67">
        <f t="shared" si="7"/>
        <v>2006</v>
      </c>
      <c r="D156" s="70" t="s">
        <v>362</v>
      </c>
      <c r="E156" s="70" t="s">
        <v>362</v>
      </c>
      <c r="F156" s="68">
        <v>10.9694</v>
      </c>
      <c r="H156" s="69" t="s">
        <v>613</v>
      </c>
      <c r="I156" s="66">
        <f t="shared" si="9"/>
        <v>43591</v>
      </c>
      <c r="J156" s="70">
        <f t="shared" si="8"/>
        <v>2019</v>
      </c>
      <c r="K156" s="71">
        <v>18.978100000000001</v>
      </c>
      <c r="L156" s="71">
        <v>19.001200000000001</v>
      </c>
      <c r="M156" s="71">
        <v>19.101400000000002</v>
      </c>
    </row>
    <row r="157" spans="1:13">
      <c r="A157" s="57" t="s">
        <v>614</v>
      </c>
      <c r="B157" s="58">
        <f t="shared" si="6"/>
        <v>38844</v>
      </c>
      <c r="C157" s="59">
        <f t="shared" si="7"/>
        <v>2006</v>
      </c>
      <c r="D157" s="60" t="s">
        <v>362</v>
      </c>
      <c r="E157" s="60" t="s">
        <v>362</v>
      </c>
      <c r="F157" s="61">
        <v>10.9694</v>
      </c>
      <c r="H157" s="62" t="s">
        <v>615</v>
      </c>
      <c r="I157" s="58">
        <f t="shared" si="9"/>
        <v>43592</v>
      </c>
      <c r="J157" s="60">
        <f t="shared" si="8"/>
        <v>2019</v>
      </c>
      <c r="K157" s="64">
        <v>19.049900000000001</v>
      </c>
      <c r="L157" s="64">
        <v>18.978100000000001</v>
      </c>
      <c r="M157" s="64">
        <v>19.001200000000001</v>
      </c>
    </row>
    <row r="158" spans="1:13">
      <c r="A158" s="65" t="s">
        <v>616</v>
      </c>
      <c r="B158" s="66">
        <f t="shared" si="6"/>
        <v>38845</v>
      </c>
      <c r="C158" s="67">
        <f t="shared" si="7"/>
        <v>2006</v>
      </c>
      <c r="D158" s="68">
        <v>10.9381</v>
      </c>
      <c r="E158" s="68">
        <v>10.9587</v>
      </c>
      <c r="F158" s="68">
        <v>10.9694</v>
      </c>
      <c r="H158" s="69" t="s">
        <v>617</v>
      </c>
      <c r="I158" s="66">
        <f t="shared" si="9"/>
        <v>43593</v>
      </c>
      <c r="J158" s="70">
        <f t="shared" si="8"/>
        <v>2019</v>
      </c>
      <c r="K158" s="71">
        <v>19.0837</v>
      </c>
      <c r="L158" s="71">
        <v>19.049900000000001</v>
      </c>
      <c r="M158" s="71">
        <v>18.978100000000001</v>
      </c>
    </row>
    <row r="159" spans="1:13">
      <c r="A159" s="57" t="s">
        <v>618</v>
      </c>
      <c r="B159" s="58">
        <f t="shared" ref="B159:B222" si="10">DATE(RIGHT(A159,4),LEFT(RIGHT(A159,7),2),LEFT(A159,2))</f>
        <v>38846</v>
      </c>
      <c r="C159" s="59">
        <f t="shared" ref="C159:C222" si="11">YEAR(B159)</f>
        <v>2006</v>
      </c>
      <c r="D159" s="61">
        <v>10.925800000000001</v>
      </c>
      <c r="E159" s="61">
        <v>10.9381</v>
      </c>
      <c r="F159" s="61">
        <v>10.9587</v>
      </c>
      <c r="H159" s="62" t="s">
        <v>619</v>
      </c>
      <c r="I159" s="58">
        <f t="shared" si="9"/>
        <v>43594</v>
      </c>
      <c r="J159" s="60">
        <f t="shared" ref="J159:J222" si="12">YEAR(I159)</f>
        <v>2019</v>
      </c>
      <c r="K159" s="64">
        <v>19.2623</v>
      </c>
      <c r="L159" s="64">
        <v>19.0837</v>
      </c>
      <c r="M159" s="64">
        <v>19.049900000000001</v>
      </c>
    </row>
    <row r="160" spans="1:13">
      <c r="A160" s="65" t="s">
        <v>620</v>
      </c>
      <c r="B160" s="66">
        <f t="shared" si="10"/>
        <v>38847</v>
      </c>
      <c r="C160" s="67">
        <f t="shared" si="11"/>
        <v>2006</v>
      </c>
      <c r="D160" s="68">
        <v>10.842499999999999</v>
      </c>
      <c r="E160" s="68">
        <v>10.925800000000001</v>
      </c>
      <c r="F160" s="68">
        <v>10.9381</v>
      </c>
      <c r="H160" s="69" t="s">
        <v>621</v>
      </c>
      <c r="I160" s="66">
        <f t="shared" ref="I160:I223" si="13">DATE(RIGHT(H160,4),LEFT(RIGHT(A160,7),2),LEFT(A160,2))</f>
        <v>43595</v>
      </c>
      <c r="J160" s="70">
        <f t="shared" si="12"/>
        <v>2019</v>
      </c>
      <c r="K160" s="71">
        <v>19.1374</v>
      </c>
      <c r="L160" s="71">
        <v>19.2623</v>
      </c>
      <c r="M160" s="71">
        <v>19.0837</v>
      </c>
    </row>
    <row r="161" spans="1:13">
      <c r="A161" s="57" t="s">
        <v>622</v>
      </c>
      <c r="B161" s="58">
        <f t="shared" si="10"/>
        <v>38848</v>
      </c>
      <c r="C161" s="59">
        <f t="shared" si="11"/>
        <v>2006</v>
      </c>
      <c r="D161" s="61">
        <v>10.838100000000001</v>
      </c>
      <c r="E161" s="61">
        <v>10.842499999999999</v>
      </c>
      <c r="F161" s="61">
        <v>10.925800000000001</v>
      </c>
      <c r="H161" s="62" t="s">
        <v>623</v>
      </c>
      <c r="I161" s="58">
        <f t="shared" si="13"/>
        <v>43596</v>
      </c>
      <c r="J161" s="60">
        <f t="shared" si="12"/>
        <v>2019</v>
      </c>
      <c r="K161" s="63" t="s">
        <v>362</v>
      </c>
      <c r="L161" s="63" t="s">
        <v>362</v>
      </c>
      <c r="M161" s="64">
        <v>19.2623</v>
      </c>
    </row>
    <row r="162" spans="1:13">
      <c r="A162" s="65" t="s">
        <v>624</v>
      </c>
      <c r="B162" s="66">
        <f t="shared" si="10"/>
        <v>38849</v>
      </c>
      <c r="C162" s="67">
        <f t="shared" si="11"/>
        <v>2006</v>
      </c>
      <c r="D162" s="68">
        <v>11.032500000000001</v>
      </c>
      <c r="E162" s="68">
        <v>10.838100000000001</v>
      </c>
      <c r="F162" s="68">
        <v>10.842499999999999</v>
      </c>
      <c r="H162" s="69" t="s">
        <v>625</v>
      </c>
      <c r="I162" s="66">
        <f t="shared" si="13"/>
        <v>43597</v>
      </c>
      <c r="J162" s="70">
        <f t="shared" si="12"/>
        <v>2019</v>
      </c>
      <c r="K162" s="72" t="s">
        <v>362</v>
      </c>
      <c r="L162" s="72" t="s">
        <v>362</v>
      </c>
      <c r="M162" s="71">
        <v>19.2623</v>
      </c>
    </row>
    <row r="163" spans="1:13">
      <c r="A163" s="57" t="s">
        <v>626</v>
      </c>
      <c r="B163" s="58">
        <f t="shared" si="10"/>
        <v>38850</v>
      </c>
      <c r="C163" s="59">
        <f t="shared" si="11"/>
        <v>2006</v>
      </c>
      <c r="D163" s="60" t="s">
        <v>362</v>
      </c>
      <c r="E163" s="60" t="s">
        <v>362</v>
      </c>
      <c r="F163" s="61">
        <v>10.838100000000001</v>
      </c>
      <c r="H163" s="62" t="s">
        <v>627</v>
      </c>
      <c r="I163" s="58">
        <f t="shared" si="13"/>
        <v>43598</v>
      </c>
      <c r="J163" s="60">
        <f t="shared" si="12"/>
        <v>2019</v>
      </c>
      <c r="K163" s="64">
        <v>19.192799999999998</v>
      </c>
      <c r="L163" s="64">
        <v>19.1374</v>
      </c>
      <c r="M163" s="64">
        <v>19.2623</v>
      </c>
    </row>
    <row r="164" spans="1:13">
      <c r="A164" s="65" t="s">
        <v>628</v>
      </c>
      <c r="B164" s="66">
        <f t="shared" si="10"/>
        <v>38851</v>
      </c>
      <c r="C164" s="67">
        <f t="shared" si="11"/>
        <v>2006</v>
      </c>
      <c r="D164" s="70" t="s">
        <v>362</v>
      </c>
      <c r="E164" s="70" t="s">
        <v>362</v>
      </c>
      <c r="F164" s="68">
        <v>10.838100000000001</v>
      </c>
      <c r="H164" s="69" t="s">
        <v>629</v>
      </c>
      <c r="I164" s="66">
        <f t="shared" si="13"/>
        <v>43599</v>
      </c>
      <c r="J164" s="70">
        <f t="shared" si="12"/>
        <v>2019</v>
      </c>
      <c r="K164" s="71">
        <v>19.142700000000001</v>
      </c>
      <c r="L164" s="71">
        <v>19.192799999999998</v>
      </c>
      <c r="M164" s="71">
        <v>19.1374</v>
      </c>
    </row>
    <row r="165" spans="1:13">
      <c r="A165" s="57" t="s">
        <v>630</v>
      </c>
      <c r="B165" s="58">
        <f t="shared" si="10"/>
        <v>38852</v>
      </c>
      <c r="C165" s="59">
        <f t="shared" si="11"/>
        <v>2006</v>
      </c>
      <c r="D165" s="61">
        <v>11.1532</v>
      </c>
      <c r="E165" s="61">
        <v>11.032500000000001</v>
      </c>
      <c r="F165" s="61">
        <v>10.838100000000001</v>
      </c>
      <c r="H165" s="62" t="s">
        <v>631</v>
      </c>
      <c r="I165" s="58">
        <f t="shared" si="13"/>
        <v>43600</v>
      </c>
      <c r="J165" s="60">
        <f t="shared" si="12"/>
        <v>2019</v>
      </c>
      <c r="K165" s="64">
        <v>19.1236</v>
      </c>
      <c r="L165" s="64">
        <v>19.142700000000001</v>
      </c>
      <c r="M165" s="64">
        <v>19.192799999999998</v>
      </c>
    </row>
    <row r="166" spans="1:13">
      <c r="A166" s="65" t="s">
        <v>632</v>
      </c>
      <c r="B166" s="66">
        <f t="shared" si="10"/>
        <v>38853</v>
      </c>
      <c r="C166" s="67">
        <f t="shared" si="11"/>
        <v>2006</v>
      </c>
      <c r="D166" s="68">
        <v>11.0518</v>
      </c>
      <c r="E166" s="68">
        <v>11.1532</v>
      </c>
      <c r="F166" s="68">
        <v>11.032500000000001</v>
      </c>
      <c r="H166" s="69" t="s">
        <v>633</v>
      </c>
      <c r="I166" s="66">
        <f t="shared" si="13"/>
        <v>43601</v>
      </c>
      <c r="J166" s="70">
        <f t="shared" si="12"/>
        <v>2019</v>
      </c>
      <c r="K166" s="71">
        <v>19.071000000000002</v>
      </c>
      <c r="L166" s="71">
        <v>19.1236</v>
      </c>
      <c r="M166" s="71">
        <v>19.142700000000001</v>
      </c>
    </row>
    <row r="167" spans="1:13">
      <c r="A167" s="57" t="s">
        <v>634</v>
      </c>
      <c r="B167" s="58">
        <f t="shared" si="10"/>
        <v>38854</v>
      </c>
      <c r="C167" s="59">
        <f t="shared" si="11"/>
        <v>2006</v>
      </c>
      <c r="D167" s="61">
        <v>11.132999999999999</v>
      </c>
      <c r="E167" s="61">
        <v>11.0518</v>
      </c>
      <c r="F167" s="61">
        <v>11.1532</v>
      </c>
      <c r="H167" s="62" t="s">
        <v>635</v>
      </c>
      <c r="I167" s="58">
        <f t="shared" si="13"/>
        <v>43602</v>
      </c>
      <c r="J167" s="60">
        <f t="shared" si="12"/>
        <v>2019</v>
      </c>
      <c r="K167" s="64">
        <v>19.145399999999999</v>
      </c>
      <c r="L167" s="64">
        <v>19.071000000000002</v>
      </c>
      <c r="M167" s="64">
        <v>19.1236</v>
      </c>
    </row>
    <row r="168" spans="1:13">
      <c r="A168" s="65" t="s">
        <v>636</v>
      </c>
      <c r="B168" s="66">
        <f t="shared" si="10"/>
        <v>38855</v>
      </c>
      <c r="C168" s="67">
        <f t="shared" si="11"/>
        <v>2006</v>
      </c>
      <c r="D168" s="68">
        <v>11.2005</v>
      </c>
      <c r="E168" s="68">
        <v>11.132999999999999</v>
      </c>
      <c r="F168" s="68">
        <v>11.0518</v>
      </c>
      <c r="H168" s="69" t="s">
        <v>637</v>
      </c>
      <c r="I168" s="66">
        <f t="shared" si="13"/>
        <v>43603</v>
      </c>
      <c r="J168" s="70">
        <f t="shared" si="12"/>
        <v>2019</v>
      </c>
      <c r="K168" s="72" t="s">
        <v>362</v>
      </c>
      <c r="L168" s="72" t="s">
        <v>362</v>
      </c>
      <c r="M168" s="71">
        <v>19.071000000000002</v>
      </c>
    </row>
    <row r="169" spans="1:13">
      <c r="A169" s="57" t="s">
        <v>638</v>
      </c>
      <c r="B169" s="58">
        <f t="shared" si="10"/>
        <v>38856</v>
      </c>
      <c r="C169" s="59">
        <f t="shared" si="11"/>
        <v>2006</v>
      </c>
      <c r="D169" s="61">
        <v>11.1915</v>
      </c>
      <c r="E169" s="61">
        <v>11.2005</v>
      </c>
      <c r="F169" s="61">
        <v>11.132999999999999</v>
      </c>
      <c r="H169" s="62" t="s">
        <v>639</v>
      </c>
      <c r="I169" s="58">
        <f t="shared" si="13"/>
        <v>43604</v>
      </c>
      <c r="J169" s="60">
        <f t="shared" si="12"/>
        <v>2019</v>
      </c>
      <c r="K169" s="63" t="s">
        <v>362</v>
      </c>
      <c r="L169" s="63" t="s">
        <v>362</v>
      </c>
      <c r="M169" s="64">
        <v>19.071000000000002</v>
      </c>
    </row>
    <row r="170" spans="1:13">
      <c r="A170" s="65" t="s">
        <v>640</v>
      </c>
      <c r="B170" s="66">
        <f t="shared" si="10"/>
        <v>38857</v>
      </c>
      <c r="C170" s="67">
        <f t="shared" si="11"/>
        <v>2006</v>
      </c>
      <c r="D170" s="70" t="s">
        <v>362</v>
      </c>
      <c r="E170" s="70" t="s">
        <v>362</v>
      </c>
      <c r="F170" s="68">
        <v>11.2005</v>
      </c>
      <c r="H170" s="69" t="s">
        <v>641</v>
      </c>
      <c r="I170" s="66">
        <f t="shared" si="13"/>
        <v>43605</v>
      </c>
      <c r="J170" s="70">
        <f t="shared" si="12"/>
        <v>2019</v>
      </c>
      <c r="K170" s="71">
        <v>19.090800000000002</v>
      </c>
      <c r="L170" s="71">
        <v>19.145399999999999</v>
      </c>
      <c r="M170" s="71">
        <v>19.071000000000002</v>
      </c>
    </row>
    <row r="171" spans="1:13">
      <c r="A171" s="57" t="s">
        <v>642</v>
      </c>
      <c r="B171" s="58">
        <f t="shared" si="10"/>
        <v>38858</v>
      </c>
      <c r="C171" s="59">
        <f t="shared" si="11"/>
        <v>2006</v>
      </c>
      <c r="D171" s="60" t="s">
        <v>362</v>
      </c>
      <c r="E171" s="60" t="s">
        <v>362</v>
      </c>
      <c r="F171" s="61">
        <v>11.2005</v>
      </c>
      <c r="H171" s="62" t="s">
        <v>643</v>
      </c>
      <c r="I171" s="58">
        <f t="shared" si="13"/>
        <v>43606</v>
      </c>
      <c r="J171" s="60">
        <f t="shared" si="12"/>
        <v>2019</v>
      </c>
      <c r="K171" s="64">
        <v>19.030899999999999</v>
      </c>
      <c r="L171" s="64">
        <v>19.090800000000002</v>
      </c>
      <c r="M171" s="64">
        <v>19.145399999999999</v>
      </c>
    </row>
    <row r="172" spans="1:13">
      <c r="A172" s="65" t="s">
        <v>644</v>
      </c>
      <c r="B172" s="66">
        <f t="shared" si="10"/>
        <v>38859</v>
      </c>
      <c r="C172" s="67">
        <f t="shared" si="11"/>
        <v>2006</v>
      </c>
      <c r="D172" s="68">
        <v>11.2799</v>
      </c>
      <c r="E172" s="68">
        <v>11.1915</v>
      </c>
      <c r="F172" s="68">
        <v>11.2005</v>
      </c>
      <c r="H172" s="69" t="s">
        <v>645</v>
      </c>
      <c r="I172" s="66">
        <f t="shared" si="13"/>
        <v>43607</v>
      </c>
      <c r="J172" s="70">
        <f t="shared" si="12"/>
        <v>2019</v>
      </c>
      <c r="K172" s="71">
        <v>18.9755</v>
      </c>
      <c r="L172" s="71">
        <v>19.030899999999999</v>
      </c>
      <c r="M172" s="71">
        <v>19.090800000000002</v>
      </c>
    </row>
    <row r="173" spans="1:13">
      <c r="A173" s="57" t="s">
        <v>646</v>
      </c>
      <c r="B173" s="58">
        <f t="shared" si="10"/>
        <v>38860</v>
      </c>
      <c r="C173" s="59">
        <f t="shared" si="11"/>
        <v>2006</v>
      </c>
      <c r="D173" s="61">
        <v>11.1935</v>
      </c>
      <c r="E173" s="61">
        <v>11.2799</v>
      </c>
      <c r="F173" s="61">
        <v>11.1915</v>
      </c>
      <c r="H173" s="62" t="s">
        <v>647</v>
      </c>
      <c r="I173" s="58">
        <f t="shared" si="13"/>
        <v>43608</v>
      </c>
      <c r="J173" s="60">
        <f t="shared" si="12"/>
        <v>2019</v>
      </c>
      <c r="K173" s="64">
        <v>19.0122</v>
      </c>
      <c r="L173" s="64">
        <v>18.9755</v>
      </c>
      <c r="M173" s="64">
        <v>19.030899999999999</v>
      </c>
    </row>
    <row r="174" spans="1:13">
      <c r="A174" s="65" t="s">
        <v>648</v>
      </c>
      <c r="B174" s="66">
        <f t="shared" si="10"/>
        <v>38861</v>
      </c>
      <c r="C174" s="67">
        <f t="shared" si="11"/>
        <v>2006</v>
      </c>
      <c r="D174" s="68">
        <v>11.285399999999999</v>
      </c>
      <c r="E174" s="68">
        <v>11.1935</v>
      </c>
      <c r="F174" s="68">
        <v>11.2799</v>
      </c>
      <c r="H174" s="69" t="s">
        <v>649</v>
      </c>
      <c r="I174" s="66">
        <f t="shared" si="13"/>
        <v>43609</v>
      </c>
      <c r="J174" s="70">
        <f t="shared" si="12"/>
        <v>2019</v>
      </c>
      <c r="K174" s="71">
        <v>19.065799999999999</v>
      </c>
      <c r="L174" s="71">
        <v>19.0122</v>
      </c>
      <c r="M174" s="71">
        <v>18.9755</v>
      </c>
    </row>
    <row r="175" spans="1:13">
      <c r="A175" s="57" t="s">
        <v>650</v>
      </c>
      <c r="B175" s="58">
        <f t="shared" si="10"/>
        <v>38862</v>
      </c>
      <c r="C175" s="59">
        <f t="shared" si="11"/>
        <v>2006</v>
      </c>
      <c r="D175" s="61">
        <v>11.2097</v>
      </c>
      <c r="E175" s="61">
        <v>11.285399999999999</v>
      </c>
      <c r="F175" s="61">
        <v>11.1935</v>
      </c>
      <c r="H175" s="62" t="s">
        <v>651</v>
      </c>
      <c r="I175" s="58">
        <f t="shared" si="13"/>
        <v>43610</v>
      </c>
      <c r="J175" s="60">
        <f t="shared" si="12"/>
        <v>2019</v>
      </c>
      <c r="K175" s="63" t="s">
        <v>362</v>
      </c>
      <c r="L175" s="63" t="s">
        <v>362</v>
      </c>
      <c r="M175" s="64">
        <v>19.0122</v>
      </c>
    </row>
    <row r="176" spans="1:13">
      <c r="A176" s="65" t="s">
        <v>652</v>
      </c>
      <c r="B176" s="66">
        <f t="shared" si="10"/>
        <v>38863</v>
      </c>
      <c r="C176" s="67">
        <f t="shared" si="11"/>
        <v>2006</v>
      </c>
      <c r="D176" s="68">
        <v>11.1373</v>
      </c>
      <c r="E176" s="68">
        <v>11.2097</v>
      </c>
      <c r="F176" s="68">
        <v>11.285399999999999</v>
      </c>
      <c r="H176" s="69" t="s">
        <v>653</v>
      </c>
      <c r="I176" s="66">
        <f t="shared" si="13"/>
        <v>43611</v>
      </c>
      <c r="J176" s="70">
        <f t="shared" si="12"/>
        <v>2019</v>
      </c>
      <c r="K176" s="72" t="s">
        <v>362</v>
      </c>
      <c r="L176" s="72" t="s">
        <v>362</v>
      </c>
      <c r="M176" s="71">
        <v>19.0122</v>
      </c>
    </row>
    <row r="177" spans="1:13">
      <c r="A177" s="57" t="s">
        <v>654</v>
      </c>
      <c r="B177" s="58">
        <f t="shared" si="10"/>
        <v>38864</v>
      </c>
      <c r="C177" s="59">
        <f t="shared" si="11"/>
        <v>2006</v>
      </c>
      <c r="D177" s="60" t="s">
        <v>362</v>
      </c>
      <c r="E177" s="60" t="s">
        <v>362</v>
      </c>
      <c r="F177" s="61">
        <v>11.2097</v>
      </c>
      <c r="H177" s="62" t="s">
        <v>655</v>
      </c>
      <c r="I177" s="58">
        <f t="shared" si="13"/>
        <v>43612</v>
      </c>
      <c r="J177" s="60">
        <f t="shared" si="12"/>
        <v>2019</v>
      </c>
      <c r="K177" s="64">
        <v>19.052099999999999</v>
      </c>
      <c r="L177" s="64">
        <v>19.065799999999999</v>
      </c>
      <c r="M177" s="64">
        <v>19.0122</v>
      </c>
    </row>
    <row r="178" spans="1:13">
      <c r="A178" s="65" t="s">
        <v>656</v>
      </c>
      <c r="B178" s="66">
        <f t="shared" si="10"/>
        <v>38865</v>
      </c>
      <c r="C178" s="67">
        <f t="shared" si="11"/>
        <v>2006</v>
      </c>
      <c r="D178" s="70" t="s">
        <v>362</v>
      </c>
      <c r="E178" s="70" t="s">
        <v>362</v>
      </c>
      <c r="F178" s="68">
        <v>11.2097</v>
      </c>
      <c r="H178" s="69" t="s">
        <v>657</v>
      </c>
      <c r="I178" s="66">
        <f t="shared" si="13"/>
        <v>43613</v>
      </c>
      <c r="J178" s="70">
        <f t="shared" si="12"/>
        <v>2019</v>
      </c>
      <c r="K178" s="71">
        <v>19.165199999999999</v>
      </c>
      <c r="L178" s="71">
        <v>19.052099999999999</v>
      </c>
      <c r="M178" s="71">
        <v>19.065799999999999</v>
      </c>
    </row>
    <row r="179" spans="1:13">
      <c r="A179" s="57" t="s">
        <v>658</v>
      </c>
      <c r="B179" s="58">
        <f t="shared" si="10"/>
        <v>38866</v>
      </c>
      <c r="C179" s="59">
        <f t="shared" si="11"/>
        <v>2006</v>
      </c>
      <c r="D179" s="61">
        <v>11.1303</v>
      </c>
      <c r="E179" s="61">
        <v>11.1373</v>
      </c>
      <c r="F179" s="61">
        <v>11.2097</v>
      </c>
      <c r="H179" s="62" t="s">
        <v>659</v>
      </c>
      <c r="I179" s="58">
        <f t="shared" si="13"/>
        <v>43614</v>
      </c>
      <c r="J179" s="60">
        <f t="shared" si="12"/>
        <v>2019</v>
      </c>
      <c r="K179" s="64">
        <v>19.2395</v>
      </c>
      <c r="L179" s="64">
        <v>19.165199999999999</v>
      </c>
      <c r="M179" s="64">
        <v>19.052099999999999</v>
      </c>
    </row>
    <row r="180" spans="1:13">
      <c r="A180" s="65" t="s">
        <v>660</v>
      </c>
      <c r="B180" s="66">
        <f t="shared" si="10"/>
        <v>38867</v>
      </c>
      <c r="C180" s="67">
        <f t="shared" si="11"/>
        <v>2006</v>
      </c>
      <c r="D180" s="68">
        <v>11.269299999999999</v>
      </c>
      <c r="E180" s="68">
        <v>11.1303</v>
      </c>
      <c r="F180" s="68">
        <v>11.1373</v>
      </c>
      <c r="H180" s="69" t="s">
        <v>661</v>
      </c>
      <c r="I180" s="66">
        <f t="shared" si="13"/>
        <v>43615</v>
      </c>
      <c r="J180" s="70">
        <f t="shared" si="12"/>
        <v>2019</v>
      </c>
      <c r="K180" s="71">
        <v>19.068300000000001</v>
      </c>
      <c r="L180" s="71">
        <v>19.2395</v>
      </c>
      <c r="M180" s="71">
        <v>19.165199999999999</v>
      </c>
    </row>
    <row r="181" spans="1:13">
      <c r="A181" s="57" t="s">
        <v>662</v>
      </c>
      <c r="B181" s="58">
        <f t="shared" si="10"/>
        <v>38868</v>
      </c>
      <c r="C181" s="59">
        <f t="shared" si="11"/>
        <v>2006</v>
      </c>
      <c r="D181" s="61">
        <v>11.2966</v>
      </c>
      <c r="E181" s="61">
        <v>11.269299999999999</v>
      </c>
      <c r="F181" s="61">
        <v>11.1303</v>
      </c>
      <c r="H181" s="62" t="s">
        <v>663</v>
      </c>
      <c r="I181" s="58">
        <f t="shared" si="13"/>
        <v>43616</v>
      </c>
      <c r="J181" s="60">
        <f t="shared" si="12"/>
        <v>2019</v>
      </c>
      <c r="K181" s="64">
        <v>19.642600000000002</v>
      </c>
      <c r="L181" s="64">
        <v>19.068300000000001</v>
      </c>
      <c r="M181" s="64">
        <v>19.2395</v>
      </c>
    </row>
    <row r="182" spans="1:13">
      <c r="A182" s="65" t="s">
        <v>664</v>
      </c>
      <c r="B182" s="66">
        <f t="shared" si="10"/>
        <v>38869</v>
      </c>
      <c r="C182" s="67">
        <f t="shared" si="11"/>
        <v>2006</v>
      </c>
      <c r="D182" s="68">
        <v>11.2843</v>
      </c>
      <c r="E182" s="68">
        <v>11.2966</v>
      </c>
      <c r="F182" s="68">
        <v>11.269299999999999</v>
      </c>
      <c r="H182" s="69" t="s">
        <v>665</v>
      </c>
      <c r="I182" s="66">
        <f t="shared" si="13"/>
        <v>43617</v>
      </c>
      <c r="J182" s="70">
        <f t="shared" si="12"/>
        <v>2019</v>
      </c>
      <c r="K182" s="72" t="s">
        <v>362</v>
      </c>
      <c r="L182" s="72" t="s">
        <v>362</v>
      </c>
      <c r="M182" s="71">
        <v>19.068300000000001</v>
      </c>
    </row>
    <row r="183" spans="1:13">
      <c r="A183" s="57" t="s">
        <v>666</v>
      </c>
      <c r="B183" s="58">
        <f t="shared" si="10"/>
        <v>38870</v>
      </c>
      <c r="C183" s="59">
        <f t="shared" si="11"/>
        <v>2006</v>
      </c>
      <c r="D183" s="61">
        <v>11.297000000000001</v>
      </c>
      <c r="E183" s="61">
        <v>11.2843</v>
      </c>
      <c r="F183" s="61">
        <v>11.2966</v>
      </c>
      <c r="H183" s="62" t="s">
        <v>667</v>
      </c>
      <c r="I183" s="58">
        <f t="shared" si="13"/>
        <v>43618</v>
      </c>
      <c r="J183" s="60">
        <f t="shared" si="12"/>
        <v>2019</v>
      </c>
      <c r="K183" s="63" t="s">
        <v>362</v>
      </c>
      <c r="L183" s="63" t="s">
        <v>362</v>
      </c>
      <c r="M183" s="64">
        <v>19.068300000000001</v>
      </c>
    </row>
    <row r="184" spans="1:13">
      <c r="A184" s="65" t="s">
        <v>668</v>
      </c>
      <c r="B184" s="66">
        <f t="shared" si="10"/>
        <v>38871</v>
      </c>
      <c r="C184" s="67">
        <f t="shared" si="11"/>
        <v>2006</v>
      </c>
      <c r="D184" s="70" t="s">
        <v>362</v>
      </c>
      <c r="E184" s="70" t="s">
        <v>362</v>
      </c>
      <c r="F184" s="68">
        <v>11.2843</v>
      </c>
      <c r="H184" s="69" t="s">
        <v>669</v>
      </c>
      <c r="I184" s="66">
        <f t="shared" si="13"/>
        <v>43619</v>
      </c>
      <c r="J184" s="70">
        <f t="shared" si="12"/>
        <v>2019</v>
      </c>
      <c r="K184" s="71">
        <v>19.760899999999999</v>
      </c>
      <c r="L184" s="71">
        <v>19.642600000000002</v>
      </c>
      <c r="M184" s="71">
        <v>19.068300000000001</v>
      </c>
    </row>
    <row r="185" spans="1:13">
      <c r="A185" s="57" t="s">
        <v>670</v>
      </c>
      <c r="B185" s="58">
        <f t="shared" si="10"/>
        <v>38872</v>
      </c>
      <c r="C185" s="59">
        <f t="shared" si="11"/>
        <v>2006</v>
      </c>
      <c r="D185" s="60" t="s">
        <v>362</v>
      </c>
      <c r="E185" s="60" t="s">
        <v>362</v>
      </c>
      <c r="F185" s="61">
        <v>11.2843</v>
      </c>
      <c r="H185" s="62" t="s">
        <v>671</v>
      </c>
      <c r="I185" s="58">
        <f t="shared" si="13"/>
        <v>43620</v>
      </c>
      <c r="J185" s="60">
        <f t="shared" si="12"/>
        <v>2019</v>
      </c>
      <c r="K185" s="64">
        <v>19.6007</v>
      </c>
      <c r="L185" s="64">
        <v>19.760899999999999</v>
      </c>
      <c r="M185" s="64">
        <v>19.642600000000002</v>
      </c>
    </row>
    <row r="186" spans="1:13">
      <c r="A186" s="65" t="s">
        <v>672</v>
      </c>
      <c r="B186" s="66">
        <f t="shared" si="10"/>
        <v>38873</v>
      </c>
      <c r="C186" s="67">
        <f t="shared" si="11"/>
        <v>2006</v>
      </c>
      <c r="D186" s="68">
        <v>11.285399999999999</v>
      </c>
      <c r="E186" s="68">
        <v>11.297000000000001</v>
      </c>
      <c r="F186" s="68">
        <v>11.2843</v>
      </c>
      <c r="H186" s="69" t="s">
        <v>673</v>
      </c>
      <c r="I186" s="66">
        <f t="shared" si="13"/>
        <v>43621</v>
      </c>
      <c r="J186" s="70">
        <f t="shared" si="12"/>
        <v>2019</v>
      </c>
      <c r="K186" s="71">
        <v>19.541799999999999</v>
      </c>
      <c r="L186" s="71">
        <v>19.6007</v>
      </c>
      <c r="M186" s="71">
        <v>19.760899999999999</v>
      </c>
    </row>
    <row r="187" spans="1:13">
      <c r="A187" s="57" t="s">
        <v>674</v>
      </c>
      <c r="B187" s="58">
        <f t="shared" si="10"/>
        <v>38874</v>
      </c>
      <c r="C187" s="59">
        <f t="shared" si="11"/>
        <v>2006</v>
      </c>
      <c r="D187" s="61">
        <v>11.3667</v>
      </c>
      <c r="E187" s="61">
        <v>11.285399999999999</v>
      </c>
      <c r="F187" s="61">
        <v>11.297000000000001</v>
      </c>
      <c r="H187" s="62" t="s">
        <v>675</v>
      </c>
      <c r="I187" s="58">
        <f t="shared" si="13"/>
        <v>43622</v>
      </c>
      <c r="J187" s="60">
        <f t="shared" si="12"/>
        <v>2019</v>
      </c>
      <c r="K187" s="64">
        <v>19.708400000000001</v>
      </c>
      <c r="L187" s="64">
        <v>19.541799999999999</v>
      </c>
      <c r="M187" s="64">
        <v>19.6007</v>
      </c>
    </row>
    <row r="188" spans="1:13">
      <c r="A188" s="65" t="s">
        <v>676</v>
      </c>
      <c r="B188" s="66">
        <f t="shared" si="10"/>
        <v>38875</v>
      </c>
      <c r="C188" s="67">
        <f t="shared" si="11"/>
        <v>2006</v>
      </c>
      <c r="D188" s="68">
        <v>11.324999999999999</v>
      </c>
      <c r="E188" s="68">
        <v>11.3667</v>
      </c>
      <c r="F188" s="68">
        <v>11.285399999999999</v>
      </c>
      <c r="H188" s="69" t="s">
        <v>677</v>
      </c>
      <c r="I188" s="66">
        <f t="shared" si="13"/>
        <v>43623</v>
      </c>
      <c r="J188" s="70">
        <f t="shared" si="12"/>
        <v>2019</v>
      </c>
      <c r="K188" s="71">
        <v>19.652799999999999</v>
      </c>
      <c r="L188" s="71">
        <v>19.708400000000001</v>
      </c>
      <c r="M188" s="71">
        <v>19.541799999999999</v>
      </c>
    </row>
    <row r="189" spans="1:13">
      <c r="A189" s="57" t="s">
        <v>678</v>
      </c>
      <c r="B189" s="58">
        <f t="shared" si="10"/>
        <v>38876</v>
      </c>
      <c r="C189" s="59">
        <f t="shared" si="11"/>
        <v>2006</v>
      </c>
      <c r="D189" s="61">
        <v>11.419</v>
      </c>
      <c r="E189" s="61">
        <v>11.324999999999999</v>
      </c>
      <c r="F189" s="61">
        <v>11.3667</v>
      </c>
      <c r="H189" s="62" t="s">
        <v>679</v>
      </c>
      <c r="I189" s="58">
        <f t="shared" si="13"/>
        <v>43624</v>
      </c>
      <c r="J189" s="60">
        <f t="shared" si="12"/>
        <v>2019</v>
      </c>
      <c r="K189" s="63" t="s">
        <v>362</v>
      </c>
      <c r="L189" s="63" t="s">
        <v>362</v>
      </c>
      <c r="M189" s="64">
        <v>19.708400000000001</v>
      </c>
    </row>
    <row r="190" spans="1:13">
      <c r="A190" s="65" t="s">
        <v>680</v>
      </c>
      <c r="B190" s="66">
        <f t="shared" si="10"/>
        <v>38877</v>
      </c>
      <c r="C190" s="67">
        <f t="shared" si="11"/>
        <v>2006</v>
      </c>
      <c r="D190" s="68">
        <v>11.377700000000001</v>
      </c>
      <c r="E190" s="68">
        <v>11.419</v>
      </c>
      <c r="F190" s="68">
        <v>11.324999999999999</v>
      </c>
      <c r="H190" s="69" t="s">
        <v>681</v>
      </c>
      <c r="I190" s="66">
        <f t="shared" si="13"/>
        <v>43625</v>
      </c>
      <c r="J190" s="70">
        <f t="shared" si="12"/>
        <v>2019</v>
      </c>
      <c r="K190" s="72" t="s">
        <v>362</v>
      </c>
      <c r="L190" s="72" t="s">
        <v>362</v>
      </c>
      <c r="M190" s="71">
        <v>19.708400000000001</v>
      </c>
    </row>
    <row r="191" spans="1:13">
      <c r="A191" s="57" t="s">
        <v>682</v>
      </c>
      <c r="B191" s="58">
        <f t="shared" si="10"/>
        <v>38878</v>
      </c>
      <c r="C191" s="59">
        <f t="shared" si="11"/>
        <v>2006</v>
      </c>
      <c r="D191" s="60" t="s">
        <v>362</v>
      </c>
      <c r="E191" s="60" t="s">
        <v>362</v>
      </c>
      <c r="F191" s="61">
        <v>11.419</v>
      </c>
      <c r="H191" s="62" t="s">
        <v>683</v>
      </c>
      <c r="I191" s="58">
        <f t="shared" si="13"/>
        <v>43626</v>
      </c>
      <c r="J191" s="60">
        <f t="shared" si="12"/>
        <v>2019</v>
      </c>
      <c r="K191" s="64">
        <v>19.204000000000001</v>
      </c>
      <c r="L191" s="64">
        <v>19.652799999999999</v>
      </c>
      <c r="M191" s="64">
        <v>19.708400000000001</v>
      </c>
    </row>
    <row r="192" spans="1:13">
      <c r="A192" s="65" t="s">
        <v>684</v>
      </c>
      <c r="B192" s="66">
        <f t="shared" si="10"/>
        <v>38879</v>
      </c>
      <c r="C192" s="67">
        <f t="shared" si="11"/>
        <v>2006</v>
      </c>
      <c r="D192" s="70" t="s">
        <v>362</v>
      </c>
      <c r="E192" s="70" t="s">
        <v>362</v>
      </c>
      <c r="F192" s="68">
        <v>11.419</v>
      </c>
      <c r="H192" s="69" t="s">
        <v>685</v>
      </c>
      <c r="I192" s="66">
        <f t="shared" si="13"/>
        <v>43627</v>
      </c>
      <c r="J192" s="70">
        <f t="shared" si="12"/>
        <v>2019</v>
      </c>
      <c r="K192" s="71">
        <v>19.122199999999999</v>
      </c>
      <c r="L192" s="71">
        <v>19.204000000000001</v>
      </c>
      <c r="M192" s="71">
        <v>19.652799999999999</v>
      </c>
    </row>
    <row r="193" spans="1:13">
      <c r="A193" s="57" t="s">
        <v>686</v>
      </c>
      <c r="B193" s="58">
        <f t="shared" si="10"/>
        <v>38880</v>
      </c>
      <c r="C193" s="59">
        <f t="shared" si="11"/>
        <v>2006</v>
      </c>
      <c r="D193" s="61">
        <v>11.3827</v>
      </c>
      <c r="E193" s="61">
        <v>11.377700000000001</v>
      </c>
      <c r="F193" s="61">
        <v>11.419</v>
      </c>
      <c r="H193" s="62" t="s">
        <v>687</v>
      </c>
      <c r="I193" s="58">
        <f t="shared" si="13"/>
        <v>43628</v>
      </c>
      <c r="J193" s="60">
        <f t="shared" si="12"/>
        <v>2019</v>
      </c>
      <c r="K193" s="64">
        <v>19.138300000000001</v>
      </c>
      <c r="L193" s="64">
        <v>19.122199999999999</v>
      </c>
      <c r="M193" s="64">
        <v>19.204000000000001</v>
      </c>
    </row>
    <row r="194" spans="1:13">
      <c r="A194" s="65" t="s">
        <v>688</v>
      </c>
      <c r="B194" s="66">
        <f t="shared" si="10"/>
        <v>38881</v>
      </c>
      <c r="C194" s="67">
        <f t="shared" si="11"/>
        <v>2006</v>
      </c>
      <c r="D194" s="68">
        <v>11.432700000000001</v>
      </c>
      <c r="E194" s="68">
        <v>11.3827</v>
      </c>
      <c r="F194" s="68">
        <v>11.377700000000001</v>
      </c>
      <c r="H194" s="69" t="s">
        <v>689</v>
      </c>
      <c r="I194" s="66">
        <f t="shared" si="13"/>
        <v>43629</v>
      </c>
      <c r="J194" s="70">
        <f t="shared" si="12"/>
        <v>2019</v>
      </c>
      <c r="K194" s="71">
        <v>19.1645</v>
      </c>
      <c r="L194" s="71">
        <v>19.138300000000001</v>
      </c>
      <c r="M194" s="71">
        <v>19.122199999999999</v>
      </c>
    </row>
    <row r="195" spans="1:13">
      <c r="A195" s="57" t="s">
        <v>690</v>
      </c>
      <c r="B195" s="58">
        <f t="shared" si="10"/>
        <v>38882</v>
      </c>
      <c r="C195" s="59">
        <f t="shared" si="11"/>
        <v>2006</v>
      </c>
      <c r="D195" s="61">
        <v>11.4527</v>
      </c>
      <c r="E195" s="61">
        <v>11.432700000000001</v>
      </c>
      <c r="F195" s="61">
        <v>11.3827</v>
      </c>
      <c r="H195" s="62" t="s">
        <v>691</v>
      </c>
      <c r="I195" s="58">
        <f t="shared" si="13"/>
        <v>43630</v>
      </c>
      <c r="J195" s="60">
        <f t="shared" si="12"/>
        <v>2019</v>
      </c>
      <c r="K195" s="64">
        <v>19.148700000000002</v>
      </c>
      <c r="L195" s="64">
        <v>19.1645</v>
      </c>
      <c r="M195" s="64">
        <v>19.138300000000001</v>
      </c>
    </row>
    <row r="196" spans="1:13">
      <c r="A196" s="65" t="s">
        <v>692</v>
      </c>
      <c r="B196" s="66">
        <f t="shared" si="10"/>
        <v>38883</v>
      </c>
      <c r="C196" s="67">
        <f t="shared" si="11"/>
        <v>2006</v>
      </c>
      <c r="D196" s="68">
        <v>11.411300000000001</v>
      </c>
      <c r="E196" s="68">
        <v>11.4527</v>
      </c>
      <c r="F196" s="68">
        <v>11.432700000000001</v>
      </c>
      <c r="H196" s="69" t="s">
        <v>693</v>
      </c>
      <c r="I196" s="66">
        <f t="shared" si="13"/>
        <v>43631</v>
      </c>
      <c r="J196" s="70">
        <f t="shared" si="12"/>
        <v>2019</v>
      </c>
      <c r="K196" s="72" t="s">
        <v>362</v>
      </c>
      <c r="L196" s="72" t="s">
        <v>362</v>
      </c>
      <c r="M196" s="71">
        <v>19.1645</v>
      </c>
    </row>
    <row r="197" spans="1:13">
      <c r="A197" s="57" t="s">
        <v>694</v>
      </c>
      <c r="B197" s="58">
        <f t="shared" si="10"/>
        <v>38884</v>
      </c>
      <c r="C197" s="59">
        <f t="shared" si="11"/>
        <v>2006</v>
      </c>
      <c r="D197" s="61">
        <v>11.414</v>
      </c>
      <c r="E197" s="61">
        <v>11.411300000000001</v>
      </c>
      <c r="F197" s="61">
        <v>11.4527</v>
      </c>
      <c r="H197" s="62" t="s">
        <v>695</v>
      </c>
      <c r="I197" s="58">
        <f t="shared" si="13"/>
        <v>43632</v>
      </c>
      <c r="J197" s="60">
        <f t="shared" si="12"/>
        <v>2019</v>
      </c>
      <c r="K197" s="63" t="s">
        <v>362</v>
      </c>
      <c r="L197" s="63" t="s">
        <v>362</v>
      </c>
      <c r="M197" s="64">
        <v>19.1645</v>
      </c>
    </row>
    <row r="198" spans="1:13">
      <c r="A198" s="65" t="s">
        <v>696</v>
      </c>
      <c r="B198" s="66">
        <f t="shared" si="10"/>
        <v>38885</v>
      </c>
      <c r="C198" s="67">
        <f t="shared" si="11"/>
        <v>2006</v>
      </c>
      <c r="D198" s="70" t="s">
        <v>362</v>
      </c>
      <c r="E198" s="70" t="s">
        <v>362</v>
      </c>
      <c r="F198" s="68">
        <v>11.411300000000001</v>
      </c>
      <c r="H198" s="69" t="s">
        <v>697</v>
      </c>
      <c r="I198" s="66">
        <f t="shared" si="13"/>
        <v>43633</v>
      </c>
      <c r="J198" s="70">
        <f t="shared" si="12"/>
        <v>2019</v>
      </c>
      <c r="K198" s="71">
        <v>19.192399999999999</v>
      </c>
      <c r="L198" s="71">
        <v>19.148700000000002</v>
      </c>
      <c r="M198" s="71">
        <v>19.1645</v>
      </c>
    </row>
    <row r="199" spans="1:13">
      <c r="A199" s="57" t="s">
        <v>698</v>
      </c>
      <c r="B199" s="58">
        <f t="shared" si="10"/>
        <v>38886</v>
      </c>
      <c r="C199" s="59">
        <f t="shared" si="11"/>
        <v>2006</v>
      </c>
      <c r="D199" s="60" t="s">
        <v>362</v>
      </c>
      <c r="E199" s="60" t="s">
        <v>362</v>
      </c>
      <c r="F199" s="61">
        <v>11.411300000000001</v>
      </c>
      <c r="H199" s="62" t="s">
        <v>699</v>
      </c>
      <c r="I199" s="58">
        <f t="shared" si="13"/>
        <v>43634</v>
      </c>
      <c r="J199" s="60">
        <f t="shared" si="12"/>
        <v>2019</v>
      </c>
      <c r="K199" s="64">
        <v>19.101099999999999</v>
      </c>
      <c r="L199" s="64">
        <v>19.192399999999999</v>
      </c>
      <c r="M199" s="64">
        <v>19.148700000000002</v>
      </c>
    </row>
    <row r="200" spans="1:13">
      <c r="A200" s="65" t="s">
        <v>700</v>
      </c>
      <c r="B200" s="66">
        <f t="shared" si="10"/>
        <v>38887</v>
      </c>
      <c r="C200" s="67">
        <f t="shared" si="11"/>
        <v>2006</v>
      </c>
      <c r="D200" s="68">
        <v>11.4459</v>
      </c>
      <c r="E200" s="68">
        <v>11.414</v>
      </c>
      <c r="F200" s="68">
        <v>11.411300000000001</v>
      </c>
      <c r="H200" s="69" t="s">
        <v>701</v>
      </c>
      <c r="I200" s="66">
        <f t="shared" si="13"/>
        <v>43635</v>
      </c>
      <c r="J200" s="70">
        <f t="shared" si="12"/>
        <v>2019</v>
      </c>
      <c r="K200" s="71">
        <v>19.1753</v>
      </c>
      <c r="L200" s="71">
        <v>19.101099999999999</v>
      </c>
      <c r="M200" s="71">
        <v>19.192399999999999</v>
      </c>
    </row>
    <row r="201" spans="1:13">
      <c r="A201" s="57" t="s">
        <v>702</v>
      </c>
      <c r="B201" s="58">
        <f t="shared" si="10"/>
        <v>38888</v>
      </c>
      <c r="C201" s="59">
        <f t="shared" si="11"/>
        <v>2006</v>
      </c>
      <c r="D201" s="61">
        <v>11.4809</v>
      </c>
      <c r="E201" s="61">
        <v>11.4459</v>
      </c>
      <c r="F201" s="61">
        <v>11.414</v>
      </c>
      <c r="H201" s="62" t="s">
        <v>703</v>
      </c>
      <c r="I201" s="58">
        <f t="shared" si="13"/>
        <v>43636</v>
      </c>
      <c r="J201" s="60">
        <f t="shared" si="12"/>
        <v>2019</v>
      </c>
      <c r="K201" s="64">
        <v>18.980399999999999</v>
      </c>
      <c r="L201" s="64">
        <v>19.1753</v>
      </c>
      <c r="M201" s="64">
        <v>19.101099999999999</v>
      </c>
    </row>
    <row r="202" spans="1:13">
      <c r="A202" s="65" t="s">
        <v>704</v>
      </c>
      <c r="B202" s="66">
        <f t="shared" si="10"/>
        <v>38889</v>
      </c>
      <c r="C202" s="67">
        <f t="shared" si="11"/>
        <v>2006</v>
      </c>
      <c r="D202" s="68">
        <v>11.444100000000001</v>
      </c>
      <c r="E202" s="68">
        <v>11.4809</v>
      </c>
      <c r="F202" s="68">
        <v>11.4459</v>
      </c>
      <c r="H202" s="69" t="s">
        <v>705</v>
      </c>
      <c r="I202" s="66">
        <f t="shared" si="13"/>
        <v>43637</v>
      </c>
      <c r="J202" s="70">
        <f t="shared" si="12"/>
        <v>2019</v>
      </c>
      <c r="K202" s="71">
        <v>19.066099999999999</v>
      </c>
      <c r="L202" s="71">
        <v>18.980399999999999</v>
      </c>
      <c r="M202" s="71">
        <v>19.1753</v>
      </c>
    </row>
    <row r="203" spans="1:13">
      <c r="A203" s="57" t="s">
        <v>706</v>
      </c>
      <c r="B203" s="58">
        <f t="shared" si="10"/>
        <v>38890</v>
      </c>
      <c r="C203" s="59">
        <f t="shared" si="11"/>
        <v>2006</v>
      </c>
      <c r="D203" s="61">
        <v>11.4405</v>
      </c>
      <c r="E203" s="61">
        <v>11.444100000000001</v>
      </c>
      <c r="F203" s="61">
        <v>11.4809</v>
      </c>
      <c r="H203" s="62" t="s">
        <v>707</v>
      </c>
      <c r="I203" s="58">
        <f t="shared" si="13"/>
        <v>43638</v>
      </c>
      <c r="J203" s="60">
        <f t="shared" si="12"/>
        <v>2019</v>
      </c>
      <c r="K203" s="63" t="s">
        <v>362</v>
      </c>
      <c r="L203" s="63" t="s">
        <v>362</v>
      </c>
      <c r="M203" s="64">
        <v>18.980399999999999</v>
      </c>
    </row>
    <row r="204" spans="1:13">
      <c r="A204" s="65" t="s">
        <v>708</v>
      </c>
      <c r="B204" s="66">
        <f t="shared" si="10"/>
        <v>38891</v>
      </c>
      <c r="C204" s="67">
        <f t="shared" si="11"/>
        <v>2006</v>
      </c>
      <c r="D204" s="68">
        <v>11.4382</v>
      </c>
      <c r="E204" s="68">
        <v>11.4405</v>
      </c>
      <c r="F204" s="68">
        <v>11.444100000000001</v>
      </c>
      <c r="H204" s="69" t="s">
        <v>709</v>
      </c>
      <c r="I204" s="66">
        <f t="shared" si="13"/>
        <v>43639</v>
      </c>
      <c r="J204" s="70">
        <f t="shared" si="12"/>
        <v>2019</v>
      </c>
      <c r="K204" s="72" t="s">
        <v>362</v>
      </c>
      <c r="L204" s="72" t="s">
        <v>362</v>
      </c>
      <c r="M204" s="71">
        <v>18.980399999999999</v>
      </c>
    </row>
    <row r="205" spans="1:13">
      <c r="A205" s="57" t="s">
        <v>710</v>
      </c>
      <c r="B205" s="58">
        <f t="shared" si="10"/>
        <v>38892</v>
      </c>
      <c r="C205" s="59">
        <f t="shared" si="11"/>
        <v>2006</v>
      </c>
      <c r="D205" s="60" t="s">
        <v>362</v>
      </c>
      <c r="E205" s="60" t="s">
        <v>362</v>
      </c>
      <c r="F205" s="61">
        <v>11.4405</v>
      </c>
      <c r="H205" s="62" t="s">
        <v>711</v>
      </c>
      <c r="I205" s="58">
        <f t="shared" si="13"/>
        <v>43640</v>
      </c>
      <c r="J205" s="60">
        <f t="shared" si="12"/>
        <v>2019</v>
      </c>
      <c r="K205" s="64">
        <v>19.183299999999999</v>
      </c>
      <c r="L205" s="64">
        <v>19.066099999999999</v>
      </c>
      <c r="M205" s="64">
        <v>18.980399999999999</v>
      </c>
    </row>
    <row r="206" spans="1:13">
      <c r="A206" s="65" t="s">
        <v>712</v>
      </c>
      <c r="B206" s="66">
        <f t="shared" si="10"/>
        <v>38893</v>
      </c>
      <c r="C206" s="67">
        <f t="shared" si="11"/>
        <v>2006</v>
      </c>
      <c r="D206" s="70" t="s">
        <v>362</v>
      </c>
      <c r="E206" s="70" t="s">
        <v>362</v>
      </c>
      <c r="F206" s="68">
        <v>11.4405</v>
      </c>
      <c r="H206" s="69" t="s">
        <v>713</v>
      </c>
      <c r="I206" s="66">
        <f t="shared" si="13"/>
        <v>43641</v>
      </c>
      <c r="J206" s="70">
        <f t="shared" si="12"/>
        <v>2019</v>
      </c>
      <c r="K206" s="71">
        <v>19.2271</v>
      </c>
      <c r="L206" s="71">
        <v>19.183299999999999</v>
      </c>
      <c r="M206" s="71">
        <v>19.066099999999999</v>
      </c>
    </row>
    <row r="207" spans="1:13">
      <c r="A207" s="57" t="s">
        <v>714</v>
      </c>
      <c r="B207" s="58">
        <f t="shared" si="10"/>
        <v>38894</v>
      </c>
      <c r="C207" s="59">
        <f t="shared" si="11"/>
        <v>2006</v>
      </c>
      <c r="D207" s="61">
        <v>11.409000000000001</v>
      </c>
      <c r="E207" s="61">
        <v>11.4382</v>
      </c>
      <c r="F207" s="61">
        <v>11.4405</v>
      </c>
      <c r="H207" s="62" t="s">
        <v>715</v>
      </c>
      <c r="I207" s="58">
        <f t="shared" si="13"/>
        <v>43642</v>
      </c>
      <c r="J207" s="60">
        <f t="shared" si="12"/>
        <v>2019</v>
      </c>
      <c r="K207" s="64">
        <v>19.144200000000001</v>
      </c>
      <c r="L207" s="64">
        <v>19.2271</v>
      </c>
      <c r="M207" s="64">
        <v>19.183299999999999</v>
      </c>
    </row>
    <row r="208" spans="1:13">
      <c r="A208" s="65" t="s">
        <v>716</v>
      </c>
      <c r="B208" s="66">
        <f t="shared" si="10"/>
        <v>38895</v>
      </c>
      <c r="C208" s="67">
        <f t="shared" si="11"/>
        <v>2006</v>
      </c>
      <c r="D208" s="68">
        <v>11.430199999999999</v>
      </c>
      <c r="E208" s="68">
        <v>11.409000000000001</v>
      </c>
      <c r="F208" s="68">
        <v>11.4382</v>
      </c>
      <c r="H208" s="69" t="s">
        <v>717</v>
      </c>
      <c r="I208" s="66">
        <f t="shared" si="13"/>
        <v>43643</v>
      </c>
      <c r="J208" s="70">
        <f t="shared" si="12"/>
        <v>2019</v>
      </c>
      <c r="K208" s="71">
        <v>19.168500000000002</v>
      </c>
      <c r="L208" s="71">
        <v>19.144200000000001</v>
      </c>
      <c r="M208" s="71">
        <v>19.2271</v>
      </c>
    </row>
    <row r="209" spans="1:13">
      <c r="A209" s="57" t="s">
        <v>718</v>
      </c>
      <c r="B209" s="58">
        <f t="shared" si="10"/>
        <v>38896</v>
      </c>
      <c r="C209" s="59">
        <f t="shared" si="11"/>
        <v>2006</v>
      </c>
      <c r="D209" s="61">
        <v>11.3973</v>
      </c>
      <c r="E209" s="61">
        <v>11.430199999999999</v>
      </c>
      <c r="F209" s="61">
        <v>11.409000000000001</v>
      </c>
      <c r="H209" s="62" t="s">
        <v>719</v>
      </c>
      <c r="I209" s="58">
        <f t="shared" si="13"/>
        <v>43644</v>
      </c>
      <c r="J209" s="60">
        <f t="shared" si="12"/>
        <v>2019</v>
      </c>
      <c r="K209" s="64">
        <v>19.2087</v>
      </c>
      <c r="L209" s="64">
        <v>19.168500000000002</v>
      </c>
      <c r="M209" s="64">
        <v>19.144200000000001</v>
      </c>
    </row>
    <row r="210" spans="1:13">
      <c r="A210" s="65" t="s">
        <v>720</v>
      </c>
      <c r="B210" s="66">
        <f t="shared" si="10"/>
        <v>38897</v>
      </c>
      <c r="C210" s="67">
        <f t="shared" si="11"/>
        <v>2006</v>
      </c>
      <c r="D210" s="68">
        <v>11.4009</v>
      </c>
      <c r="E210" s="68">
        <v>11.3973</v>
      </c>
      <c r="F210" s="68">
        <v>11.430199999999999</v>
      </c>
      <c r="H210" s="69" t="s">
        <v>721</v>
      </c>
      <c r="I210" s="66">
        <f t="shared" si="13"/>
        <v>43645</v>
      </c>
      <c r="J210" s="70">
        <f t="shared" si="12"/>
        <v>2019</v>
      </c>
      <c r="K210" s="72" t="s">
        <v>362</v>
      </c>
      <c r="L210" s="72" t="s">
        <v>362</v>
      </c>
      <c r="M210" s="71">
        <v>19.168500000000002</v>
      </c>
    </row>
    <row r="211" spans="1:13">
      <c r="A211" s="57" t="s">
        <v>722</v>
      </c>
      <c r="B211" s="58">
        <f t="shared" si="10"/>
        <v>38898</v>
      </c>
      <c r="C211" s="59">
        <f t="shared" si="11"/>
        <v>2006</v>
      </c>
      <c r="D211" s="61">
        <v>11.2723</v>
      </c>
      <c r="E211" s="61">
        <v>11.4009</v>
      </c>
      <c r="F211" s="61">
        <v>11.3973</v>
      </c>
      <c r="H211" s="62" t="s">
        <v>723</v>
      </c>
      <c r="I211" s="58">
        <f t="shared" si="13"/>
        <v>43646</v>
      </c>
      <c r="J211" s="60">
        <f t="shared" si="12"/>
        <v>2019</v>
      </c>
      <c r="K211" s="63" t="s">
        <v>362</v>
      </c>
      <c r="L211" s="63" t="s">
        <v>362</v>
      </c>
      <c r="M211" s="64">
        <v>19.168500000000002</v>
      </c>
    </row>
    <row r="212" spans="1:13">
      <c r="A212" s="65" t="s">
        <v>724</v>
      </c>
      <c r="B212" s="66">
        <f t="shared" si="10"/>
        <v>38899</v>
      </c>
      <c r="C212" s="67">
        <f t="shared" si="11"/>
        <v>2006</v>
      </c>
      <c r="D212" s="70" t="s">
        <v>362</v>
      </c>
      <c r="E212" s="70" t="s">
        <v>362</v>
      </c>
      <c r="F212" s="68">
        <v>11.4009</v>
      </c>
      <c r="H212" s="69" t="s">
        <v>725</v>
      </c>
      <c r="I212" s="66">
        <f t="shared" si="13"/>
        <v>43647</v>
      </c>
      <c r="J212" s="70">
        <f t="shared" si="12"/>
        <v>2019</v>
      </c>
      <c r="K212" s="71">
        <v>19.076000000000001</v>
      </c>
      <c r="L212" s="71">
        <v>19.2087</v>
      </c>
      <c r="M212" s="71">
        <v>19.168500000000002</v>
      </c>
    </row>
    <row r="213" spans="1:13">
      <c r="A213" s="57" t="s">
        <v>726</v>
      </c>
      <c r="B213" s="58">
        <f t="shared" si="10"/>
        <v>38900</v>
      </c>
      <c r="C213" s="59">
        <f t="shared" si="11"/>
        <v>2006</v>
      </c>
      <c r="D213" s="60" t="s">
        <v>362</v>
      </c>
      <c r="E213" s="60" t="s">
        <v>362</v>
      </c>
      <c r="F213" s="61">
        <v>11.4009</v>
      </c>
      <c r="H213" s="62" t="s">
        <v>727</v>
      </c>
      <c r="I213" s="58">
        <f t="shared" si="13"/>
        <v>43648</v>
      </c>
      <c r="J213" s="60">
        <f t="shared" si="12"/>
        <v>2019</v>
      </c>
      <c r="K213" s="64">
        <v>19.069400000000002</v>
      </c>
      <c r="L213" s="64">
        <v>19.076000000000001</v>
      </c>
      <c r="M213" s="64">
        <v>19.2087</v>
      </c>
    </row>
    <row r="214" spans="1:13">
      <c r="A214" s="65" t="s">
        <v>728</v>
      </c>
      <c r="B214" s="66">
        <f t="shared" si="10"/>
        <v>38901</v>
      </c>
      <c r="C214" s="67">
        <f t="shared" si="11"/>
        <v>2006</v>
      </c>
      <c r="D214" s="68">
        <v>11.1302</v>
      </c>
      <c r="E214" s="68">
        <v>11.2723</v>
      </c>
      <c r="F214" s="68">
        <v>11.4009</v>
      </c>
      <c r="H214" s="69" t="s">
        <v>729</v>
      </c>
      <c r="I214" s="66">
        <f t="shared" si="13"/>
        <v>43649</v>
      </c>
      <c r="J214" s="70">
        <f t="shared" si="12"/>
        <v>2019</v>
      </c>
      <c r="K214" s="71">
        <v>19.0502</v>
      </c>
      <c r="L214" s="71">
        <v>19.069400000000002</v>
      </c>
      <c r="M214" s="71">
        <v>19.076000000000001</v>
      </c>
    </row>
    <row r="215" spans="1:13">
      <c r="A215" s="57" t="s">
        <v>730</v>
      </c>
      <c r="B215" s="58">
        <f t="shared" si="10"/>
        <v>38902</v>
      </c>
      <c r="C215" s="59">
        <f t="shared" si="11"/>
        <v>2006</v>
      </c>
      <c r="D215" s="61">
        <v>11.0642</v>
      </c>
      <c r="E215" s="61">
        <v>11.1302</v>
      </c>
      <c r="F215" s="61">
        <v>11.2723</v>
      </c>
      <c r="H215" s="62" t="s">
        <v>731</v>
      </c>
      <c r="I215" s="58">
        <f t="shared" si="13"/>
        <v>43650</v>
      </c>
      <c r="J215" s="60">
        <f t="shared" si="12"/>
        <v>2019</v>
      </c>
      <c r="K215" s="64">
        <v>18.994700000000002</v>
      </c>
      <c r="L215" s="64">
        <v>19.0502</v>
      </c>
      <c r="M215" s="64">
        <v>19.069400000000002</v>
      </c>
    </row>
    <row r="216" spans="1:13">
      <c r="A216" s="65" t="s">
        <v>732</v>
      </c>
      <c r="B216" s="66">
        <f t="shared" si="10"/>
        <v>38903</v>
      </c>
      <c r="C216" s="67">
        <f t="shared" si="11"/>
        <v>2006</v>
      </c>
      <c r="D216" s="68">
        <v>11.190099999999999</v>
      </c>
      <c r="E216" s="68">
        <v>11.0642</v>
      </c>
      <c r="F216" s="68">
        <v>11.1302</v>
      </c>
      <c r="H216" s="69" t="s">
        <v>733</v>
      </c>
      <c r="I216" s="66">
        <f t="shared" si="13"/>
        <v>43651</v>
      </c>
      <c r="J216" s="70">
        <f t="shared" si="12"/>
        <v>2019</v>
      </c>
      <c r="K216" s="71">
        <v>19.044599999999999</v>
      </c>
      <c r="L216" s="71">
        <v>18.994700000000002</v>
      </c>
      <c r="M216" s="71">
        <v>19.0502</v>
      </c>
    </row>
    <row r="217" spans="1:13">
      <c r="A217" s="57" t="s">
        <v>734</v>
      </c>
      <c r="B217" s="58">
        <f t="shared" si="10"/>
        <v>38904</v>
      </c>
      <c r="C217" s="59">
        <f t="shared" si="11"/>
        <v>2006</v>
      </c>
      <c r="D217" s="61">
        <v>11.1061</v>
      </c>
      <c r="E217" s="61">
        <v>11.190099999999999</v>
      </c>
      <c r="F217" s="61">
        <v>11.0642</v>
      </c>
      <c r="H217" s="62" t="s">
        <v>735</v>
      </c>
      <c r="I217" s="58">
        <f t="shared" si="13"/>
        <v>43652</v>
      </c>
      <c r="J217" s="60">
        <f t="shared" si="12"/>
        <v>2019</v>
      </c>
      <c r="K217" s="63" t="s">
        <v>362</v>
      </c>
      <c r="L217" s="63" t="s">
        <v>362</v>
      </c>
      <c r="M217" s="64">
        <v>18.994700000000002</v>
      </c>
    </row>
    <row r="218" spans="1:13">
      <c r="A218" s="65" t="s">
        <v>736</v>
      </c>
      <c r="B218" s="66">
        <f t="shared" si="10"/>
        <v>38905</v>
      </c>
      <c r="C218" s="67">
        <f t="shared" si="11"/>
        <v>2006</v>
      </c>
      <c r="D218" s="68">
        <v>11.0243</v>
      </c>
      <c r="E218" s="68">
        <v>11.1061</v>
      </c>
      <c r="F218" s="68">
        <v>11.190099999999999</v>
      </c>
      <c r="H218" s="69" t="s">
        <v>737</v>
      </c>
      <c r="I218" s="66">
        <f t="shared" si="13"/>
        <v>43653</v>
      </c>
      <c r="J218" s="70">
        <f t="shared" si="12"/>
        <v>2019</v>
      </c>
      <c r="K218" s="72" t="s">
        <v>362</v>
      </c>
      <c r="L218" s="72" t="s">
        <v>362</v>
      </c>
      <c r="M218" s="71">
        <v>18.994700000000002</v>
      </c>
    </row>
    <row r="219" spans="1:13">
      <c r="A219" s="57" t="s">
        <v>738</v>
      </c>
      <c r="B219" s="58">
        <f t="shared" si="10"/>
        <v>38906</v>
      </c>
      <c r="C219" s="59">
        <f t="shared" si="11"/>
        <v>2006</v>
      </c>
      <c r="D219" s="60" t="s">
        <v>362</v>
      </c>
      <c r="E219" s="60" t="s">
        <v>362</v>
      </c>
      <c r="F219" s="61">
        <v>11.1061</v>
      </c>
      <c r="H219" s="62" t="s">
        <v>739</v>
      </c>
      <c r="I219" s="58">
        <f t="shared" si="13"/>
        <v>43654</v>
      </c>
      <c r="J219" s="60">
        <f t="shared" si="12"/>
        <v>2019</v>
      </c>
      <c r="K219" s="64">
        <v>18.9116</v>
      </c>
      <c r="L219" s="64">
        <v>19.044599999999999</v>
      </c>
      <c r="M219" s="64">
        <v>18.994700000000002</v>
      </c>
    </row>
    <row r="220" spans="1:13">
      <c r="A220" s="65" t="s">
        <v>740</v>
      </c>
      <c r="B220" s="66">
        <f t="shared" si="10"/>
        <v>38907</v>
      </c>
      <c r="C220" s="67">
        <f t="shared" si="11"/>
        <v>2006</v>
      </c>
      <c r="D220" s="70" t="s">
        <v>362</v>
      </c>
      <c r="E220" s="70" t="s">
        <v>362</v>
      </c>
      <c r="F220" s="68">
        <v>11.1061</v>
      </c>
      <c r="H220" s="69" t="s">
        <v>741</v>
      </c>
      <c r="I220" s="66">
        <f t="shared" si="13"/>
        <v>43655</v>
      </c>
      <c r="J220" s="70">
        <f t="shared" si="12"/>
        <v>2019</v>
      </c>
      <c r="K220" s="71">
        <v>19.004300000000001</v>
      </c>
      <c r="L220" s="71">
        <v>18.9116</v>
      </c>
      <c r="M220" s="71">
        <v>19.044599999999999</v>
      </c>
    </row>
    <row r="221" spans="1:13">
      <c r="A221" s="57" t="s">
        <v>742</v>
      </c>
      <c r="B221" s="58">
        <f t="shared" si="10"/>
        <v>38908</v>
      </c>
      <c r="C221" s="59">
        <f t="shared" si="11"/>
        <v>2006</v>
      </c>
      <c r="D221" s="61">
        <v>10.954700000000001</v>
      </c>
      <c r="E221" s="61">
        <v>11.0243</v>
      </c>
      <c r="F221" s="61">
        <v>11.1061</v>
      </c>
      <c r="H221" s="62" t="s">
        <v>743</v>
      </c>
      <c r="I221" s="58">
        <f t="shared" si="13"/>
        <v>43656</v>
      </c>
      <c r="J221" s="60">
        <f t="shared" si="12"/>
        <v>2019</v>
      </c>
      <c r="K221" s="64">
        <v>19.2425</v>
      </c>
      <c r="L221" s="64">
        <v>19.004300000000001</v>
      </c>
      <c r="M221" s="64">
        <v>18.9116</v>
      </c>
    </row>
    <row r="222" spans="1:13">
      <c r="A222" s="65" t="s">
        <v>744</v>
      </c>
      <c r="B222" s="66">
        <f t="shared" si="10"/>
        <v>38909</v>
      </c>
      <c r="C222" s="67">
        <f t="shared" si="11"/>
        <v>2006</v>
      </c>
      <c r="D222" s="68">
        <v>11.009499999999999</v>
      </c>
      <c r="E222" s="68">
        <v>10.954700000000001</v>
      </c>
      <c r="F222" s="68">
        <v>11.0243</v>
      </c>
      <c r="H222" s="69" t="s">
        <v>745</v>
      </c>
      <c r="I222" s="66">
        <f t="shared" si="13"/>
        <v>43657</v>
      </c>
      <c r="J222" s="70">
        <f t="shared" si="12"/>
        <v>2019</v>
      </c>
      <c r="K222" s="71">
        <v>19.122699999999998</v>
      </c>
      <c r="L222" s="71">
        <v>19.2425</v>
      </c>
      <c r="M222" s="71">
        <v>19.004300000000001</v>
      </c>
    </row>
    <row r="223" spans="1:13">
      <c r="A223" s="57" t="s">
        <v>746</v>
      </c>
      <c r="B223" s="58">
        <f t="shared" ref="B223:B286" si="14">DATE(RIGHT(A223,4),LEFT(RIGHT(A223,7),2),LEFT(A223,2))</f>
        <v>38910</v>
      </c>
      <c r="C223" s="59">
        <f t="shared" ref="C223:C286" si="15">YEAR(B223)</f>
        <v>2006</v>
      </c>
      <c r="D223" s="61">
        <v>11.0303</v>
      </c>
      <c r="E223" s="61">
        <v>11.009499999999999</v>
      </c>
      <c r="F223" s="61">
        <v>10.954700000000001</v>
      </c>
      <c r="H223" s="62" t="s">
        <v>747</v>
      </c>
      <c r="I223" s="58">
        <f t="shared" si="13"/>
        <v>43658</v>
      </c>
      <c r="J223" s="60">
        <f t="shared" ref="J223:J286" si="16">YEAR(I223)</f>
        <v>2019</v>
      </c>
      <c r="K223" s="64">
        <v>19.0307</v>
      </c>
      <c r="L223" s="64">
        <v>19.122699999999998</v>
      </c>
      <c r="M223" s="64">
        <v>19.2425</v>
      </c>
    </row>
    <row r="224" spans="1:13">
      <c r="A224" s="65" t="s">
        <v>748</v>
      </c>
      <c r="B224" s="66">
        <f t="shared" si="14"/>
        <v>38911</v>
      </c>
      <c r="C224" s="67">
        <f t="shared" si="15"/>
        <v>2006</v>
      </c>
      <c r="D224" s="68">
        <v>11.052300000000001</v>
      </c>
      <c r="E224" s="68">
        <v>11.0303</v>
      </c>
      <c r="F224" s="68">
        <v>11.009499999999999</v>
      </c>
      <c r="H224" s="69" t="s">
        <v>749</v>
      </c>
      <c r="I224" s="66">
        <f t="shared" ref="I224:I287" si="17">DATE(RIGHT(H224,4),LEFT(RIGHT(A224,7),2),LEFT(A224,2))</f>
        <v>43659</v>
      </c>
      <c r="J224" s="70">
        <f t="shared" si="16"/>
        <v>2019</v>
      </c>
      <c r="K224" s="72" t="s">
        <v>362</v>
      </c>
      <c r="L224" s="72" t="s">
        <v>362</v>
      </c>
      <c r="M224" s="71">
        <v>19.122699999999998</v>
      </c>
    </row>
    <row r="225" spans="1:13">
      <c r="A225" s="57" t="s">
        <v>750</v>
      </c>
      <c r="B225" s="58">
        <f t="shared" si="14"/>
        <v>38912</v>
      </c>
      <c r="C225" s="59">
        <f t="shared" si="15"/>
        <v>2006</v>
      </c>
      <c r="D225" s="61">
        <v>11.0275</v>
      </c>
      <c r="E225" s="61">
        <v>11.052300000000001</v>
      </c>
      <c r="F225" s="61">
        <v>11.0303</v>
      </c>
      <c r="H225" s="62" t="s">
        <v>751</v>
      </c>
      <c r="I225" s="58">
        <f t="shared" si="17"/>
        <v>43660</v>
      </c>
      <c r="J225" s="60">
        <f t="shared" si="16"/>
        <v>2019</v>
      </c>
      <c r="K225" s="63" t="s">
        <v>362</v>
      </c>
      <c r="L225" s="63" t="s">
        <v>362</v>
      </c>
      <c r="M225" s="64">
        <v>19.122699999999998</v>
      </c>
    </row>
    <row r="226" spans="1:13">
      <c r="A226" s="65" t="s">
        <v>752</v>
      </c>
      <c r="B226" s="66">
        <f t="shared" si="14"/>
        <v>38913</v>
      </c>
      <c r="C226" s="67">
        <f t="shared" si="15"/>
        <v>2006</v>
      </c>
      <c r="D226" s="70" t="s">
        <v>362</v>
      </c>
      <c r="E226" s="70" t="s">
        <v>362</v>
      </c>
      <c r="F226" s="68">
        <v>11.052300000000001</v>
      </c>
      <c r="H226" s="69" t="s">
        <v>753</v>
      </c>
      <c r="I226" s="66">
        <f t="shared" si="17"/>
        <v>43661</v>
      </c>
      <c r="J226" s="70">
        <f t="shared" si="16"/>
        <v>2019</v>
      </c>
      <c r="K226" s="71">
        <v>18.9803</v>
      </c>
      <c r="L226" s="71">
        <v>19.0307</v>
      </c>
      <c r="M226" s="71">
        <v>19.122699999999998</v>
      </c>
    </row>
    <row r="227" spans="1:13">
      <c r="A227" s="57" t="s">
        <v>754</v>
      </c>
      <c r="B227" s="58">
        <f t="shared" si="14"/>
        <v>38914</v>
      </c>
      <c r="C227" s="59">
        <f t="shared" si="15"/>
        <v>2006</v>
      </c>
      <c r="D227" s="60" t="s">
        <v>362</v>
      </c>
      <c r="E227" s="60" t="s">
        <v>362</v>
      </c>
      <c r="F227" s="61">
        <v>11.052300000000001</v>
      </c>
      <c r="H227" s="62" t="s">
        <v>755</v>
      </c>
      <c r="I227" s="58">
        <f t="shared" si="17"/>
        <v>43662</v>
      </c>
      <c r="J227" s="60">
        <f t="shared" si="16"/>
        <v>2019</v>
      </c>
      <c r="K227" s="64">
        <v>19.078099999999999</v>
      </c>
      <c r="L227" s="64">
        <v>18.9803</v>
      </c>
      <c r="M227" s="64">
        <v>19.0307</v>
      </c>
    </row>
    <row r="228" spans="1:13">
      <c r="A228" s="65" t="s">
        <v>756</v>
      </c>
      <c r="B228" s="66">
        <f t="shared" si="14"/>
        <v>38915</v>
      </c>
      <c r="C228" s="67">
        <f t="shared" si="15"/>
        <v>2006</v>
      </c>
      <c r="D228" s="68">
        <v>10.991400000000001</v>
      </c>
      <c r="E228" s="68">
        <v>11.0275</v>
      </c>
      <c r="F228" s="68">
        <v>11.052300000000001</v>
      </c>
      <c r="H228" s="69" t="s">
        <v>757</v>
      </c>
      <c r="I228" s="66">
        <f t="shared" si="17"/>
        <v>43663</v>
      </c>
      <c r="J228" s="70">
        <f t="shared" si="16"/>
        <v>2019</v>
      </c>
      <c r="K228" s="71">
        <v>19.023299999999999</v>
      </c>
      <c r="L228" s="71">
        <v>19.078099999999999</v>
      </c>
      <c r="M228" s="71">
        <v>18.9803</v>
      </c>
    </row>
    <row r="229" spans="1:13">
      <c r="A229" s="57" t="s">
        <v>758</v>
      </c>
      <c r="B229" s="58">
        <f t="shared" si="14"/>
        <v>38916</v>
      </c>
      <c r="C229" s="59">
        <f t="shared" si="15"/>
        <v>2006</v>
      </c>
      <c r="D229" s="61">
        <v>10.9618</v>
      </c>
      <c r="E229" s="61">
        <v>10.991400000000001</v>
      </c>
      <c r="F229" s="61">
        <v>11.0275</v>
      </c>
      <c r="H229" s="62" t="s">
        <v>759</v>
      </c>
      <c r="I229" s="58">
        <f t="shared" si="17"/>
        <v>43664</v>
      </c>
      <c r="J229" s="60">
        <f t="shared" si="16"/>
        <v>2019</v>
      </c>
      <c r="K229" s="64">
        <v>19.0108</v>
      </c>
      <c r="L229" s="64">
        <v>19.023299999999999</v>
      </c>
      <c r="M229" s="64">
        <v>19.078099999999999</v>
      </c>
    </row>
    <row r="230" spans="1:13">
      <c r="A230" s="65" t="s">
        <v>760</v>
      </c>
      <c r="B230" s="66">
        <f t="shared" si="14"/>
        <v>38917</v>
      </c>
      <c r="C230" s="67">
        <f t="shared" si="15"/>
        <v>2006</v>
      </c>
      <c r="D230" s="68">
        <v>10.904500000000001</v>
      </c>
      <c r="E230" s="68">
        <v>10.9618</v>
      </c>
      <c r="F230" s="68">
        <v>10.991400000000001</v>
      </c>
      <c r="H230" s="69" t="s">
        <v>761</v>
      </c>
      <c r="I230" s="66">
        <f t="shared" si="17"/>
        <v>43665</v>
      </c>
      <c r="J230" s="70">
        <f t="shared" si="16"/>
        <v>2019</v>
      </c>
      <c r="K230" s="71">
        <v>19.0123</v>
      </c>
      <c r="L230" s="71">
        <v>19.0108</v>
      </c>
      <c r="M230" s="71">
        <v>19.023299999999999</v>
      </c>
    </row>
    <row r="231" spans="1:13">
      <c r="A231" s="57" t="s">
        <v>762</v>
      </c>
      <c r="B231" s="58">
        <f t="shared" si="14"/>
        <v>38918</v>
      </c>
      <c r="C231" s="59">
        <f t="shared" si="15"/>
        <v>2006</v>
      </c>
      <c r="D231" s="61">
        <v>10.870799999999999</v>
      </c>
      <c r="E231" s="61">
        <v>10.904500000000001</v>
      </c>
      <c r="F231" s="61">
        <v>10.9618</v>
      </c>
      <c r="H231" s="62" t="s">
        <v>763</v>
      </c>
      <c r="I231" s="58">
        <f t="shared" si="17"/>
        <v>43666</v>
      </c>
      <c r="J231" s="60">
        <f t="shared" si="16"/>
        <v>2019</v>
      </c>
      <c r="K231" s="63" t="s">
        <v>362</v>
      </c>
      <c r="L231" s="63" t="s">
        <v>362</v>
      </c>
      <c r="M231" s="64">
        <v>19.0108</v>
      </c>
    </row>
    <row r="232" spans="1:13">
      <c r="A232" s="65" t="s">
        <v>764</v>
      </c>
      <c r="B232" s="66">
        <f t="shared" si="14"/>
        <v>38919</v>
      </c>
      <c r="C232" s="67">
        <f t="shared" si="15"/>
        <v>2006</v>
      </c>
      <c r="D232" s="68">
        <v>10.8954</v>
      </c>
      <c r="E232" s="68">
        <v>10.870799999999999</v>
      </c>
      <c r="F232" s="68">
        <v>10.904500000000001</v>
      </c>
      <c r="H232" s="69" t="s">
        <v>765</v>
      </c>
      <c r="I232" s="66">
        <f t="shared" si="17"/>
        <v>43667</v>
      </c>
      <c r="J232" s="70">
        <f t="shared" si="16"/>
        <v>2019</v>
      </c>
      <c r="K232" s="72" t="s">
        <v>362</v>
      </c>
      <c r="L232" s="72" t="s">
        <v>362</v>
      </c>
      <c r="M232" s="71">
        <v>19.0108</v>
      </c>
    </row>
    <row r="233" spans="1:13">
      <c r="A233" s="57" t="s">
        <v>766</v>
      </c>
      <c r="B233" s="58">
        <f t="shared" si="14"/>
        <v>38920</v>
      </c>
      <c r="C233" s="59">
        <f t="shared" si="15"/>
        <v>2006</v>
      </c>
      <c r="D233" s="60" t="s">
        <v>362</v>
      </c>
      <c r="E233" s="60" t="s">
        <v>362</v>
      </c>
      <c r="F233" s="61">
        <v>10.870799999999999</v>
      </c>
      <c r="H233" s="62" t="s">
        <v>767</v>
      </c>
      <c r="I233" s="58">
        <f t="shared" si="17"/>
        <v>43668</v>
      </c>
      <c r="J233" s="60">
        <f t="shared" si="16"/>
        <v>2019</v>
      </c>
      <c r="K233" s="64">
        <v>19.065899999999999</v>
      </c>
      <c r="L233" s="64">
        <v>19.0123</v>
      </c>
      <c r="M233" s="64">
        <v>19.0108</v>
      </c>
    </row>
    <row r="234" spans="1:13">
      <c r="A234" s="65" t="s">
        <v>768</v>
      </c>
      <c r="B234" s="66">
        <f t="shared" si="14"/>
        <v>38921</v>
      </c>
      <c r="C234" s="67">
        <f t="shared" si="15"/>
        <v>2006</v>
      </c>
      <c r="D234" s="70" t="s">
        <v>362</v>
      </c>
      <c r="E234" s="70" t="s">
        <v>362</v>
      </c>
      <c r="F234" s="68">
        <v>10.870799999999999</v>
      </c>
      <c r="H234" s="69" t="s">
        <v>769</v>
      </c>
      <c r="I234" s="66">
        <f t="shared" si="17"/>
        <v>43669</v>
      </c>
      <c r="J234" s="70">
        <f t="shared" si="16"/>
        <v>2019</v>
      </c>
      <c r="K234" s="71">
        <v>19.131499999999999</v>
      </c>
      <c r="L234" s="71">
        <v>19.065899999999999</v>
      </c>
      <c r="M234" s="71">
        <v>19.0123</v>
      </c>
    </row>
    <row r="235" spans="1:13">
      <c r="A235" s="57" t="s">
        <v>770</v>
      </c>
      <c r="B235" s="58">
        <f t="shared" si="14"/>
        <v>38922</v>
      </c>
      <c r="C235" s="59">
        <f t="shared" si="15"/>
        <v>2006</v>
      </c>
      <c r="D235" s="61">
        <v>10.930300000000001</v>
      </c>
      <c r="E235" s="61">
        <v>10.8954</v>
      </c>
      <c r="F235" s="61">
        <v>10.870799999999999</v>
      </c>
      <c r="H235" s="62" t="s">
        <v>771</v>
      </c>
      <c r="I235" s="58">
        <f t="shared" si="17"/>
        <v>43670</v>
      </c>
      <c r="J235" s="60">
        <f t="shared" si="16"/>
        <v>2019</v>
      </c>
      <c r="K235" s="64">
        <v>19.089400000000001</v>
      </c>
      <c r="L235" s="64">
        <v>19.131499999999999</v>
      </c>
      <c r="M235" s="64">
        <v>19.065899999999999</v>
      </c>
    </row>
    <row r="236" spans="1:13">
      <c r="A236" s="65" t="s">
        <v>772</v>
      </c>
      <c r="B236" s="66">
        <f t="shared" si="14"/>
        <v>38923</v>
      </c>
      <c r="C236" s="67">
        <f t="shared" si="15"/>
        <v>2006</v>
      </c>
      <c r="D236" s="68">
        <v>10.9148</v>
      </c>
      <c r="E236" s="68">
        <v>10.930300000000001</v>
      </c>
      <c r="F236" s="68">
        <v>10.8954</v>
      </c>
      <c r="H236" s="69" t="s">
        <v>773</v>
      </c>
      <c r="I236" s="66">
        <f t="shared" si="17"/>
        <v>43671</v>
      </c>
      <c r="J236" s="70">
        <f t="shared" si="16"/>
        <v>2019</v>
      </c>
      <c r="K236" s="71">
        <v>19.0623</v>
      </c>
      <c r="L236" s="71">
        <v>19.089400000000001</v>
      </c>
      <c r="M236" s="71">
        <v>19.131499999999999</v>
      </c>
    </row>
    <row r="237" spans="1:13">
      <c r="A237" s="57" t="s">
        <v>774</v>
      </c>
      <c r="B237" s="58">
        <f t="shared" si="14"/>
        <v>38924</v>
      </c>
      <c r="C237" s="59">
        <f t="shared" si="15"/>
        <v>2006</v>
      </c>
      <c r="D237" s="61">
        <v>10.9337</v>
      </c>
      <c r="E237" s="61">
        <v>10.9148</v>
      </c>
      <c r="F237" s="61">
        <v>10.930300000000001</v>
      </c>
      <c r="H237" s="62" t="s">
        <v>775</v>
      </c>
      <c r="I237" s="58">
        <f t="shared" si="17"/>
        <v>43672</v>
      </c>
      <c r="J237" s="60">
        <f t="shared" si="16"/>
        <v>2019</v>
      </c>
      <c r="K237" s="64">
        <v>19.069900000000001</v>
      </c>
      <c r="L237" s="64">
        <v>19.0623</v>
      </c>
      <c r="M237" s="64">
        <v>19.089400000000001</v>
      </c>
    </row>
    <row r="238" spans="1:13">
      <c r="A238" s="65" t="s">
        <v>776</v>
      </c>
      <c r="B238" s="66">
        <f t="shared" si="14"/>
        <v>38925</v>
      </c>
      <c r="C238" s="67">
        <f t="shared" si="15"/>
        <v>2006</v>
      </c>
      <c r="D238" s="68">
        <v>10.896800000000001</v>
      </c>
      <c r="E238" s="68">
        <v>10.9337</v>
      </c>
      <c r="F238" s="68">
        <v>10.9148</v>
      </c>
      <c r="H238" s="69" t="s">
        <v>777</v>
      </c>
      <c r="I238" s="66">
        <f t="shared" si="17"/>
        <v>43673</v>
      </c>
      <c r="J238" s="70">
        <f t="shared" si="16"/>
        <v>2019</v>
      </c>
      <c r="K238" s="72" t="s">
        <v>362</v>
      </c>
      <c r="L238" s="72" t="s">
        <v>362</v>
      </c>
      <c r="M238" s="71">
        <v>19.0623</v>
      </c>
    </row>
    <row r="239" spans="1:13">
      <c r="A239" s="57" t="s">
        <v>778</v>
      </c>
      <c r="B239" s="58">
        <f t="shared" si="14"/>
        <v>38926</v>
      </c>
      <c r="C239" s="59">
        <f t="shared" si="15"/>
        <v>2006</v>
      </c>
      <c r="D239" s="61">
        <v>10.8947</v>
      </c>
      <c r="E239" s="61">
        <v>10.896800000000001</v>
      </c>
      <c r="F239" s="61">
        <v>10.9337</v>
      </c>
      <c r="H239" s="62" t="s">
        <v>779</v>
      </c>
      <c r="I239" s="58">
        <f t="shared" si="17"/>
        <v>43674</v>
      </c>
      <c r="J239" s="60">
        <f t="shared" si="16"/>
        <v>2019</v>
      </c>
      <c r="K239" s="63" t="s">
        <v>362</v>
      </c>
      <c r="L239" s="63" t="s">
        <v>362</v>
      </c>
      <c r="M239" s="64">
        <v>19.0623</v>
      </c>
    </row>
    <row r="240" spans="1:13">
      <c r="A240" s="65" t="s">
        <v>780</v>
      </c>
      <c r="B240" s="66">
        <f t="shared" si="14"/>
        <v>38927</v>
      </c>
      <c r="C240" s="67">
        <f t="shared" si="15"/>
        <v>2006</v>
      </c>
      <c r="D240" s="70" t="s">
        <v>362</v>
      </c>
      <c r="E240" s="70" t="s">
        <v>362</v>
      </c>
      <c r="F240" s="68">
        <v>10.896800000000001</v>
      </c>
      <c r="H240" s="69" t="s">
        <v>781</v>
      </c>
      <c r="I240" s="66">
        <f t="shared" si="17"/>
        <v>43675</v>
      </c>
      <c r="J240" s="70">
        <f t="shared" si="16"/>
        <v>2019</v>
      </c>
      <c r="K240" s="71">
        <v>19.09</v>
      </c>
      <c r="L240" s="71">
        <v>19.069900000000001</v>
      </c>
      <c r="M240" s="71">
        <v>19.0623</v>
      </c>
    </row>
    <row r="241" spans="1:13">
      <c r="A241" s="57" t="s">
        <v>782</v>
      </c>
      <c r="B241" s="58">
        <f t="shared" si="14"/>
        <v>38928</v>
      </c>
      <c r="C241" s="59">
        <f t="shared" si="15"/>
        <v>2006</v>
      </c>
      <c r="D241" s="60" t="s">
        <v>362</v>
      </c>
      <c r="E241" s="60" t="s">
        <v>362</v>
      </c>
      <c r="F241" s="61">
        <v>10.896800000000001</v>
      </c>
      <c r="H241" s="62" t="s">
        <v>783</v>
      </c>
      <c r="I241" s="58">
        <f t="shared" si="17"/>
        <v>43676</v>
      </c>
      <c r="J241" s="60">
        <f t="shared" si="16"/>
        <v>2019</v>
      </c>
      <c r="K241" s="64">
        <v>19.0747</v>
      </c>
      <c r="L241" s="64">
        <v>19.09</v>
      </c>
      <c r="M241" s="64">
        <v>19.069900000000001</v>
      </c>
    </row>
    <row r="242" spans="1:13">
      <c r="A242" s="65" t="s">
        <v>784</v>
      </c>
      <c r="B242" s="66">
        <f t="shared" si="14"/>
        <v>38929</v>
      </c>
      <c r="C242" s="67">
        <f t="shared" si="15"/>
        <v>2006</v>
      </c>
      <c r="D242" s="68">
        <v>10.918100000000001</v>
      </c>
      <c r="E242" s="68">
        <v>10.8947</v>
      </c>
      <c r="F242" s="68">
        <v>10.896800000000001</v>
      </c>
      <c r="H242" s="69" t="s">
        <v>785</v>
      </c>
      <c r="I242" s="66">
        <f t="shared" si="17"/>
        <v>43677</v>
      </c>
      <c r="J242" s="70">
        <f t="shared" si="16"/>
        <v>2019</v>
      </c>
      <c r="K242" s="71">
        <v>18.992899999999999</v>
      </c>
      <c r="L242" s="71">
        <v>19.0747</v>
      </c>
      <c r="M242" s="71">
        <v>19.09</v>
      </c>
    </row>
    <row r="243" spans="1:13">
      <c r="A243" s="57" t="s">
        <v>786</v>
      </c>
      <c r="B243" s="58">
        <f t="shared" si="14"/>
        <v>38930</v>
      </c>
      <c r="C243" s="59">
        <f t="shared" si="15"/>
        <v>2006</v>
      </c>
      <c r="D243" s="61">
        <v>11.020300000000001</v>
      </c>
      <c r="E243" s="61">
        <v>10.918100000000001</v>
      </c>
      <c r="F243" s="61">
        <v>10.8947</v>
      </c>
      <c r="H243" s="62" t="s">
        <v>787</v>
      </c>
      <c r="I243" s="58">
        <f t="shared" si="17"/>
        <v>43678</v>
      </c>
      <c r="J243" s="60">
        <f t="shared" si="16"/>
        <v>2019</v>
      </c>
      <c r="K243" s="64">
        <v>19.162700000000001</v>
      </c>
      <c r="L243" s="64">
        <v>18.992899999999999</v>
      </c>
      <c r="M243" s="64">
        <v>19.0747</v>
      </c>
    </row>
    <row r="244" spans="1:13">
      <c r="A244" s="65" t="s">
        <v>788</v>
      </c>
      <c r="B244" s="66">
        <f t="shared" si="14"/>
        <v>38931</v>
      </c>
      <c r="C244" s="67">
        <f t="shared" si="15"/>
        <v>2006</v>
      </c>
      <c r="D244" s="68">
        <v>10.9537</v>
      </c>
      <c r="E244" s="68">
        <v>11.020300000000001</v>
      </c>
      <c r="F244" s="68">
        <v>10.918100000000001</v>
      </c>
      <c r="H244" s="69" t="s">
        <v>789</v>
      </c>
      <c r="I244" s="66">
        <f t="shared" si="17"/>
        <v>43679</v>
      </c>
      <c r="J244" s="70">
        <f t="shared" si="16"/>
        <v>2019</v>
      </c>
      <c r="K244" s="71">
        <v>19.311599999999999</v>
      </c>
      <c r="L244" s="71">
        <v>19.162700000000001</v>
      </c>
      <c r="M244" s="71">
        <v>18.992899999999999</v>
      </c>
    </row>
    <row r="245" spans="1:13">
      <c r="A245" s="57" t="s">
        <v>790</v>
      </c>
      <c r="B245" s="58">
        <f t="shared" si="14"/>
        <v>38932</v>
      </c>
      <c r="C245" s="59">
        <f t="shared" si="15"/>
        <v>2006</v>
      </c>
      <c r="D245" s="61">
        <v>10.9802</v>
      </c>
      <c r="E245" s="61">
        <v>10.9537</v>
      </c>
      <c r="F245" s="61">
        <v>11.020300000000001</v>
      </c>
      <c r="H245" s="62" t="s">
        <v>791</v>
      </c>
      <c r="I245" s="58">
        <f t="shared" si="17"/>
        <v>43680</v>
      </c>
      <c r="J245" s="60">
        <f t="shared" si="16"/>
        <v>2019</v>
      </c>
      <c r="K245" s="63" t="s">
        <v>362</v>
      </c>
      <c r="L245" s="63" t="s">
        <v>362</v>
      </c>
      <c r="M245" s="64">
        <v>19.162700000000001</v>
      </c>
    </row>
    <row r="246" spans="1:13">
      <c r="A246" s="65" t="s">
        <v>792</v>
      </c>
      <c r="B246" s="66">
        <f t="shared" si="14"/>
        <v>38933</v>
      </c>
      <c r="C246" s="67">
        <f t="shared" si="15"/>
        <v>2006</v>
      </c>
      <c r="D246" s="68">
        <v>10.8908</v>
      </c>
      <c r="E246" s="68">
        <v>10.9802</v>
      </c>
      <c r="F246" s="68">
        <v>10.9537</v>
      </c>
      <c r="H246" s="69" t="s">
        <v>793</v>
      </c>
      <c r="I246" s="66">
        <f t="shared" si="17"/>
        <v>43681</v>
      </c>
      <c r="J246" s="70">
        <f t="shared" si="16"/>
        <v>2019</v>
      </c>
      <c r="K246" s="72" t="s">
        <v>362</v>
      </c>
      <c r="L246" s="72" t="s">
        <v>362</v>
      </c>
      <c r="M246" s="71">
        <v>19.162700000000001</v>
      </c>
    </row>
    <row r="247" spans="1:13">
      <c r="A247" s="57" t="s">
        <v>794</v>
      </c>
      <c r="B247" s="58">
        <f t="shared" si="14"/>
        <v>38934</v>
      </c>
      <c r="C247" s="59">
        <f t="shared" si="15"/>
        <v>2006</v>
      </c>
      <c r="D247" s="60" t="s">
        <v>362</v>
      </c>
      <c r="E247" s="60" t="s">
        <v>362</v>
      </c>
      <c r="F247" s="61">
        <v>10.9802</v>
      </c>
      <c r="H247" s="62" t="s">
        <v>795</v>
      </c>
      <c r="I247" s="58">
        <f t="shared" si="17"/>
        <v>43682</v>
      </c>
      <c r="J247" s="60">
        <f t="shared" si="16"/>
        <v>2019</v>
      </c>
      <c r="K247" s="64">
        <v>19.5731</v>
      </c>
      <c r="L247" s="64">
        <v>19.311599999999999</v>
      </c>
      <c r="M247" s="64">
        <v>19.162700000000001</v>
      </c>
    </row>
    <row r="248" spans="1:13">
      <c r="A248" s="65" t="s">
        <v>796</v>
      </c>
      <c r="B248" s="66">
        <f t="shared" si="14"/>
        <v>38935</v>
      </c>
      <c r="C248" s="67">
        <f t="shared" si="15"/>
        <v>2006</v>
      </c>
      <c r="D248" s="70" t="s">
        <v>362</v>
      </c>
      <c r="E248" s="70" t="s">
        <v>362</v>
      </c>
      <c r="F248" s="68">
        <v>10.9802</v>
      </c>
      <c r="H248" s="69" t="s">
        <v>797</v>
      </c>
      <c r="I248" s="66">
        <f t="shared" si="17"/>
        <v>43683</v>
      </c>
      <c r="J248" s="70">
        <f t="shared" si="16"/>
        <v>2019</v>
      </c>
      <c r="K248" s="71">
        <v>19.629100000000001</v>
      </c>
      <c r="L248" s="71">
        <v>19.5731</v>
      </c>
      <c r="M248" s="71">
        <v>19.311599999999999</v>
      </c>
    </row>
    <row r="249" spans="1:13">
      <c r="A249" s="57" t="s">
        <v>798</v>
      </c>
      <c r="B249" s="58">
        <f t="shared" si="14"/>
        <v>38936</v>
      </c>
      <c r="C249" s="59">
        <f t="shared" si="15"/>
        <v>2006</v>
      </c>
      <c r="D249" s="61">
        <v>10.883800000000001</v>
      </c>
      <c r="E249" s="61">
        <v>10.8908</v>
      </c>
      <c r="F249" s="61">
        <v>10.9802</v>
      </c>
      <c r="H249" s="62" t="s">
        <v>799</v>
      </c>
      <c r="I249" s="58">
        <f t="shared" si="17"/>
        <v>43684</v>
      </c>
      <c r="J249" s="60">
        <f t="shared" si="16"/>
        <v>2019</v>
      </c>
      <c r="K249" s="64">
        <v>19.6953</v>
      </c>
      <c r="L249" s="64">
        <v>19.629100000000001</v>
      </c>
      <c r="M249" s="64">
        <v>19.5731</v>
      </c>
    </row>
    <row r="250" spans="1:13">
      <c r="A250" s="65" t="s">
        <v>800</v>
      </c>
      <c r="B250" s="66">
        <f t="shared" si="14"/>
        <v>38937</v>
      </c>
      <c r="C250" s="67">
        <f t="shared" si="15"/>
        <v>2006</v>
      </c>
      <c r="D250" s="68">
        <v>10.911300000000001</v>
      </c>
      <c r="E250" s="68">
        <v>10.883800000000001</v>
      </c>
      <c r="F250" s="68">
        <v>10.8908</v>
      </c>
      <c r="H250" s="69" t="s">
        <v>801</v>
      </c>
      <c r="I250" s="66">
        <f t="shared" si="17"/>
        <v>43685</v>
      </c>
      <c r="J250" s="70">
        <f t="shared" si="16"/>
        <v>2019</v>
      </c>
      <c r="K250" s="71">
        <v>19.511800000000001</v>
      </c>
      <c r="L250" s="71">
        <v>19.6953</v>
      </c>
      <c r="M250" s="71">
        <v>19.629100000000001</v>
      </c>
    </row>
    <row r="251" spans="1:13">
      <c r="A251" s="57" t="s">
        <v>802</v>
      </c>
      <c r="B251" s="58">
        <f t="shared" si="14"/>
        <v>38938</v>
      </c>
      <c r="C251" s="59">
        <f t="shared" si="15"/>
        <v>2006</v>
      </c>
      <c r="D251" s="61">
        <v>10.8386</v>
      </c>
      <c r="E251" s="61">
        <v>10.911300000000001</v>
      </c>
      <c r="F251" s="61">
        <v>10.883800000000001</v>
      </c>
      <c r="H251" s="62" t="s">
        <v>803</v>
      </c>
      <c r="I251" s="58">
        <f t="shared" si="17"/>
        <v>43686</v>
      </c>
      <c r="J251" s="60">
        <f t="shared" si="16"/>
        <v>2019</v>
      </c>
      <c r="K251" s="64">
        <v>19.4283</v>
      </c>
      <c r="L251" s="64">
        <v>19.511800000000001</v>
      </c>
      <c r="M251" s="64">
        <v>19.6953</v>
      </c>
    </row>
    <row r="252" spans="1:13">
      <c r="A252" s="65" t="s">
        <v>804</v>
      </c>
      <c r="B252" s="66">
        <f t="shared" si="14"/>
        <v>38939</v>
      </c>
      <c r="C252" s="67">
        <f t="shared" si="15"/>
        <v>2006</v>
      </c>
      <c r="D252" s="68">
        <v>10.880800000000001</v>
      </c>
      <c r="E252" s="68">
        <v>10.8386</v>
      </c>
      <c r="F252" s="68">
        <v>10.911300000000001</v>
      </c>
      <c r="H252" s="69" t="s">
        <v>805</v>
      </c>
      <c r="I252" s="66">
        <f t="shared" si="17"/>
        <v>43687</v>
      </c>
      <c r="J252" s="70">
        <f t="shared" si="16"/>
        <v>2019</v>
      </c>
      <c r="K252" s="72" t="s">
        <v>362</v>
      </c>
      <c r="L252" s="72" t="s">
        <v>362</v>
      </c>
      <c r="M252" s="71">
        <v>19.511800000000001</v>
      </c>
    </row>
    <row r="253" spans="1:13">
      <c r="A253" s="57" t="s">
        <v>806</v>
      </c>
      <c r="B253" s="58">
        <f t="shared" si="14"/>
        <v>38940</v>
      </c>
      <c r="C253" s="59">
        <f t="shared" si="15"/>
        <v>2006</v>
      </c>
      <c r="D253" s="61">
        <v>10.8147</v>
      </c>
      <c r="E253" s="61">
        <v>10.880800000000001</v>
      </c>
      <c r="F253" s="61">
        <v>10.8386</v>
      </c>
      <c r="H253" s="62" t="s">
        <v>807</v>
      </c>
      <c r="I253" s="58">
        <f t="shared" si="17"/>
        <v>43688</v>
      </c>
      <c r="J253" s="60">
        <f t="shared" si="16"/>
        <v>2019</v>
      </c>
      <c r="K253" s="63" t="s">
        <v>362</v>
      </c>
      <c r="L253" s="63" t="s">
        <v>362</v>
      </c>
      <c r="M253" s="64">
        <v>19.511800000000001</v>
      </c>
    </row>
    <row r="254" spans="1:13">
      <c r="A254" s="65" t="s">
        <v>808</v>
      </c>
      <c r="B254" s="66">
        <f t="shared" si="14"/>
        <v>38941</v>
      </c>
      <c r="C254" s="67">
        <f t="shared" si="15"/>
        <v>2006</v>
      </c>
      <c r="D254" s="70" t="s">
        <v>362</v>
      </c>
      <c r="E254" s="70" t="s">
        <v>362</v>
      </c>
      <c r="F254" s="68">
        <v>10.880800000000001</v>
      </c>
      <c r="H254" s="69" t="s">
        <v>809</v>
      </c>
      <c r="I254" s="66">
        <f t="shared" si="17"/>
        <v>43689</v>
      </c>
      <c r="J254" s="70">
        <f t="shared" si="16"/>
        <v>2019</v>
      </c>
      <c r="K254" s="71">
        <v>19.580300000000001</v>
      </c>
      <c r="L254" s="71">
        <v>19.4283</v>
      </c>
      <c r="M254" s="71">
        <v>19.511800000000001</v>
      </c>
    </row>
    <row r="255" spans="1:13">
      <c r="A255" s="57" t="s">
        <v>810</v>
      </c>
      <c r="B255" s="58">
        <f t="shared" si="14"/>
        <v>38942</v>
      </c>
      <c r="C255" s="59">
        <f t="shared" si="15"/>
        <v>2006</v>
      </c>
      <c r="D255" s="60" t="s">
        <v>362</v>
      </c>
      <c r="E255" s="60" t="s">
        <v>362</v>
      </c>
      <c r="F255" s="61">
        <v>10.880800000000001</v>
      </c>
      <c r="H255" s="62" t="s">
        <v>811</v>
      </c>
      <c r="I255" s="58">
        <f t="shared" si="17"/>
        <v>43690</v>
      </c>
      <c r="J255" s="60">
        <f t="shared" si="16"/>
        <v>2019</v>
      </c>
      <c r="K255" s="64">
        <v>19.463000000000001</v>
      </c>
      <c r="L255" s="64">
        <v>19.580300000000001</v>
      </c>
      <c r="M255" s="64">
        <v>19.4283</v>
      </c>
    </row>
    <row r="256" spans="1:13">
      <c r="A256" s="65" t="s">
        <v>812</v>
      </c>
      <c r="B256" s="66">
        <f t="shared" si="14"/>
        <v>38943</v>
      </c>
      <c r="C256" s="67">
        <f t="shared" si="15"/>
        <v>2006</v>
      </c>
      <c r="D256" s="68">
        <v>10.8028</v>
      </c>
      <c r="E256" s="68">
        <v>10.8147</v>
      </c>
      <c r="F256" s="68">
        <v>10.880800000000001</v>
      </c>
      <c r="H256" s="69" t="s">
        <v>813</v>
      </c>
      <c r="I256" s="66">
        <f t="shared" si="17"/>
        <v>43691</v>
      </c>
      <c r="J256" s="70">
        <f t="shared" si="16"/>
        <v>2019</v>
      </c>
      <c r="K256" s="71">
        <v>19.5763</v>
      </c>
      <c r="L256" s="71">
        <v>19.463000000000001</v>
      </c>
      <c r="M256" s="71">
        <v>19.580300000000001</v>
      </c>
    </row>
    <row r="257" spans="1:13">
      <c r="A257" s="57" t="s">
        <v>814</v>
      </c>
      <c r="B257" s="58">
        <f t="shared" si="14"/>
        <v>38944</v>
      </c>
      <c r="C257" s="59">
        <f t="shared" si="15"/>
        <v>2006</v>
      </c>
      <c r="D257" s="61">
        <v>10.824999999999999</v>
      </c>
      <c r="E257" s="61">
        <v>10.8028</v>
      </c>
      <c r="F257" s="61">
        <v>10.8147</v>
      </c>
      <c r="H257" s="62" t="s">
        <v>815</v>
      </c>
      <c r="I257" s="58">
        <f t="shared" si="17"/>
        <v>43692</v>
      </c>
      <c r="J257" s="60">
        <f t="shared" si="16"/>
        <v>2019</v>
      </c>
      <c r="K257" s="64">
        <v>19.636500000000002</v>
      </c>
      <c r="L257" s="64">
        <v>19.5763</v>
      </c>
      <c r="M257" s="64">
        <v>19.463000000000001</v>
      </c>
    </row>
    <row r="258" spans="1:13">
      <c r="A258" s="65" t="s">
        <v>816</v>
      </c>
      <c r="B258" s="66">
        <f t="shared" si="14"/>
        <v>38945</v>
      </c>
      <c r="C258" s="67">
        <f t="shared" si="15"/>
        <v>2006</v>
      </c>
      <c r="D258" s="68">
        <v>10.75</v>
      </c>
      <c r="E258" s="68">
        <v>10.824999999999999</v>
      </c>
      <c r="F258" s="68">
        <v>10.8028</v>
      </c>
      <c r="H258" s="69" t="s">
        <v>817</v>
      </c>
      <c r="I258" s="66">
        <f t="shared" si="17"/>
        <v>43693</v>
      </c>
      <c r="J258" s="70">
        <f t="shared" si="16"/>
        <v>2019</v>
      </c>
      <c r="K258" s="71">
        <v>19.5669</v>
      </c>
      <c r="L258" s="71">
        <v>19.636500000000002</v>
      </c>
      <c r="M258" s="71">
        <v>19.5763</v>
      </c>
    </row>
    <row r="259" spans="1:13">
      <c r="A259" s="57" t="s">
        <v>818</v>
      </c>
      <c r="B259" s="58">
        <f t="shared" si="14"/>
        <v>38946</v>
      </c>
      <c r="C259" s="59">
        <f t="shared" si="15"/>
        <v>2006</v>
      </c>
      <c r="D259" s="61">
        <v>10.747999999999999</v>
      </c>
      <c r="E259" s="61">
        <v>10.75</v>
      </c>
      <c r="F259" s="61">
        <v>10.824999999999999</v>
      </c>
      <c r="H259" s="62" t="s">
        <v>819</v>
      </c>
      <c r="I259" s="58">
        <f t="shared" si="17"/>
        <v>43694</v>
      </c>
      <c r="J259" s="60">
        <f t="shared" si="16"/>
        <v>2019</v>
      </c>
      <c r="K259" s="63" t="s">
        <v>362</v>
      </c>
      <c r="L259" s="63" t="s">
        <v>362</v>
      </c>
      <c r="M259" s="64">
        <v>19.636500000000002</v>
      </c>
    </row>
    <row r="260" spans="1:13">
      <c r="A260" s="65" t="s">
        <v>820</v>
      </c>
      <c r="B260" s="66">
        <f t="shared" si="14"/>
        <v>38947</v>
      </c>
      <c r="C260" s="67">
        <f t="shared" si="15"/>
        <v>2006</v>
      </c>
      <c r="D260" s="68">
        <v>10.8217</v>
      </c>
      <c r="E260" s="68">
        <v>10.747999999999999</v>
      </c>
      <c r="F260" s="68">
        <v>10.75</v>
      </c>
      <c r="H260" s="69" t="s">
        <v>821</v>
      </c>
      <c r="I260" s="66">
        <f t="shared" si="17"/>
        <v>43695</v>
      </c>
      <c r="J260" s="70">
        <f t="shared" si="16"/>
        <v>2019</v>
      </c>
      <c r="K260" s="72" t="s">
        <v>362</v>
      </c>
      <c r="L260" s="72" t="s">
        <v>362</v>
      </c>
      <c r="M260" s="71">
        <v>19.636500000000002</v>
      </c>
    </row>
    <row r="261" spans="1:13">
      <c r="A261" s="57" t="s">
        <v>822</v>
      </c>
      <c r="B261" s="58">
        <f t="shared" si="14"/>
        <v>38948</v>
      </c>
      <c r="C261" s="59">
        <f t="shared" si="15"/>
        <v>2006</v>
      </c>
      <c r="D261" s="60" t="s">
        <v>362</v>
      </c>
      <c r="E261" s="60" t="s">
        <v>362</v>
      </c>
      <c r="F261" s="61">
        <v>10.747999999999999</v>
      </c>
      <c r="H261" s="62" t="s">
        <v>823</v>
      </c>
      <c r="I261" s="58">
        <f t="shared" si="17"/>
        <v>43696</v>
      </c>
      <c r="J261" s="60">
        <f t="shared" si="16"/>
        <v>2019</v>
      </c>
      <c r="K261" s="64">
        <v>19.815300000000001</v>
      </c>
      <c r="L261" s="64">
        <v>19.5669</v>
      </c>
      <c r="M261" s="64">
        <v>19.636500000000002</v>
      </c>
    </row>
    <row r="262" spans="1:13">
      <c r="A262" s="65" t="s">
        <v>824</v>
      </c>
      <c r="B262" s="66">
        <f t="shared" si="14"/>
        <v>38949</v>
      </c>
      <c r="C262" s="67">
        <f t="shared" si="15"/>
        <v>2006</v>
      </c>
      <c r="D262" s="70" t="s">
        <v>362</v>
      </c>
      <c r="E262" s="70" t="s">
        <v>362</v>
      </c>
      <c r="F262" s="68">
        <v>10.747999999999999</v>
      </c>
      <c r="H262" s="69" t="s">
        <v>825</v>
      </c>
      <c r="I262" s="66">
        <f t="shared" si="17"/>
        <v>43697</v>
      </c>
      <c r="J262" s="70">
        <f t="shared" si="16"/>
        <v>2019</v>
      </c>
      <c r="K262" s="71">
        <v>19.752199999999998</v>
      </c>
      <c r="L262" s="71">
        <v>19.815300000000001</v>
      </c>
      <c r="M262" s="71">
        <v>19.5669</v>
      </c>
    </row>
    <row r="263" spans="1:13">
      <c r="A263" s="57" t="s">
        <v>826</v>
      </c>
      <c r="B263" s="58">
        <f t="shared" si="14"/>
        <v>38950</v>
      </c>
      <c r="C263" s="59">
        <f t="shared" si="15"/>
        <v>2006</v>
      </c>
      <c r="D263" s="61">
        <v>10.803800000000001</v>
      </c>
      <c r="E263" s="61">
        <v>10.8217</v>
      </c>
      <c r="F263" s="61">
        <v>10.747999999999999</v>
      </c>
      <c r="H263" s="62" t="s">
        <v>827</v>
      </c>
      <c r="I263" s="58">
        <f t="shared" si="17"/>
        <v>43698</v>
      </c>
      <c r="J263" s="60">
        <f t="shared" si="16"/>
        <v>2019</v>
      </c>
      <c r="K263" s="64">
        <v>19.6798</v>
      </c>
      <c r="L263" s="64">
        <v>19.752199999999998</v>
      </c>
      <c r="M263" s="64">
        <v>19.815300000000001</v>
      </c>
    </row>
    <row r="264" spans="1:13">
      <c r="A264" s="65" t="s">
        <v>828</v>
      </c>
      <c r="B264" s="66">
        <f t="shared" si="14"/>
        <v>38951</v>
      </c>
      <c r="C264" s="67">
        <f t="shared" si="15"/>
        <v>2006</v>
      </c>
      <c r="D264" s="68">
        <v>10.804</v>
      </c>
      <c r="E264" s="68">
        <v>10.803800000000001</v>
      </c>
      <c r="F264" s="68">
        <v>10.8217</v>
      </c>
      <c r="H264" s="69" t="s">
        <v>829</v>
      </c>
      <c r="I264" s="66">
        <f t="shared" si="17"/>
        <v>43699</v>
      </c>
      <c r="J264" s="70">
        <f t="shared" si="16"/>
        <v>2019</v>
      </c>
      <c r="K264" s="71">
        <v>19.746700000000001</v>
      </c>
      <c r="L264" s="71">
        <v>19.6798</v>
      </c>
      <c r="M264" s="71">
        <v>19.752199999999998</v>
      </c>
    </row>
    <row r="265" spans="1:13">
      <c r="A265" s="57" t="s">
        <v>830</v>
      </c>
      <c r="B265" s="58">
        <f t="shared" si="14"/>
        <v>38952</v>
      </c>
      <c r="C265" s="59">
        <f t="shared" si="15"/>
        <v>2006</v>
      </c>
      <c r="D265" s="61">
        <v>10.8428</v>
      </c>
      <c r="E265" s="61">
        <v>10.804</v>
      </c>
      <c r="F265" s="61">
        <v>10.803800000000001</v>
      </c>
      <c r="H265" s="62" t="s">
        <v>831</v>
      </c>
      <c r="I265" s="58">
        <f t="shared" si="17"/>
        <v>43700</v>
      </c>
      <c r="J265" s="60">
        <f t="shared" si="16"/>
        <v>2019</v>
      </c>
      <c r="K265" s="64">
        <v>19.840199999999999</v>
      </c>
      <c r="L265" s="64">
        <v>19.746700000000001</v>
      </c>
      <c r="M265" s="64">
        <v>19.6798</v>
      </c>
    </row>
    <row r="266" spans="1:13">
      <c r="A266" s="65" t="s">
        <v>832</v>
      </c>
      <c r="B266" s="66">
        <f t="shared" si="14"/>
        <v>38953</v>
      </c>
      <c r="C266" s="67">
        <f t="shared" si="15"/>
        <v>2006</v>
      </c>
      <c r="D266" s="68">
        <v>10.922000000000001</v>
      </c>
      <c r="E266" s="68">
        <v>10.8428</v>
      </c>
      <c r="F266" s="68">
        <v>10.804</v>
      </c>
      <c r="H266" s="69" t="s">
        <v>833</v>
      </c>
      <c r="I266" s="66">
        <f t="shared" si="17"/>
        <v>43701</v>
      </c>
      <c r="J266" s="70">
        <f t="shared" si="16"/>
        <v>2019</v>
      </c>
      <c r="K266" s="72" t="s">
        <v>362</v>
      </c>
      <c r="L266" s="72" t="s">
        <v>362</v>
      </c>
      <c r="M266" s="71">
        <v>19.746700000000001</v>
      </c>
    </row>
    <row r="267" spans="1:13">
      <c r="A267" s="57" t="s">
        <v>834</v>
      </c>
      <c r="B267" s="58">
        <f t="shared" si="14"/>
        <v>38954</v>
      </c>
      <c r="C267" s="59">
        <f t="shared" si="15"/>
        <v>2006</v>
      </c>
      <c r="D267" s="61">
        <v>10.9528</v>
      </c>
      <c r="E267" s="61">
        <v>10.922000000000001</v>
      </c>
      <c r="F267" s="61">
        <v>10.8428</v>
      </c>
      <c r="H267" s="62" t="s">
        <v>835</v>
      </c>
      <c r="I267" s="58">
        <f t="shared" si="17"/>
        <v>43702</v>
      </c>
      <c r="J267" s="60">
        <f t="shared" si="16"/>
        <v>2019</v>
      </c>
      <c r="K267" s="63" t="s">
        <v>362</v>
      </c>
      <c r="L267" s="63" t="s">
        <v>362</v>
      </c>
      <c r="M267" s="64">
        <v>19.746700000000001</v>
      </c>
    </row>
    <row r="268" spans="1:13">
      <c r="A268" s="65" t="s">
        <v>836</v>
      </c>
      <c r="B268" s="66">
        <f t="shared" si="14"/>
        <v>38955</v>
      </c>
      <c r="C268" s="67">
        <f t="shared" si="15"/>
        <v>2006</v>
      </c>
      <c r="D268" s="70" t="s">
        <v>362</v>
      </c>
      <c r="E268" s="70" t="s">
        <v>362</v>
      </c>
      <c r="F268" s="68">
        <v>10.922000000000001</v>
      </c>
      <c r="H268" s="69" t="s">
        <v>837</v>
      </c>
      <c r="I268" s="66">
        <f t="shared" si="17"/>
        <v>43703</v>
      </c>
      <c r="J268" s="70">
        <f t="shared" si="16"/>
        <v>2019</v>
      </c>
      <c r="K268" s="71">
        <v>19.9086</v>
      </c>
      <c r="L268" s="71">
        <v>19.840199999999999</v>
      </c>
      <c r="M268" s="71">
        <v>19.746700000000001</v>
      </c>
    </row>
    <row r="269" spans="1:13">
      <c r="A269" s="57" t="s">
        <v>838</v>
      </c>
      <c r="B269" s="58">
        <f t="shared" si="14"/>
        <v>38956</v>
      </c>
      <c r="C269" s="59">
        <f t="shared" si="15"/>
        <v>2006</v>
      </c>
      <c r="D269" s="60" t="s">
        <v>362</v>
      </c>
      <c r="E269" s="60" t="s">
        <v>362</v>
      </c>
      <c r="F269" s="61">
        <v>10.922000000000001</v>
      </c>
      <c r="H269" s="62" t="s">
        <v>839</v>
      </c>
      <c r="I269" s="58">
        <f t="shared" si="17"/>
        <v>43704</v>
      </c>
      <c r="J269" s="60">
        <f t="shared" si="16"/>
        <v>2019</v>
      </c>
      <c r="K269" s="64">
        <v>19.993400000000001</v>
      </c>
      <c r="L269" s="64">
        <v>19.9086</v>
      </c>
      <c r="M269" s="64">
        <v>19.840199999999999</v>
      </c>
    </row>
    <row r="270" spans="1:13">
      <c r="A270" s="65" t="s">
        <v>840</v>
      </c>
      <c r="B270" s="66">
        <f t="shared" si="14"/>
        <v>38957</v>
      </c>
      <c r="C270" s="67">
        <f t="shared" si="15"/>
        <v>2006</v>
      </c>
      <c r="D270" s="68">
        <v>10.934699999999999</v>
      </c>
      <c r="E270" s="68">
        <v>10.9528</v>
      </c>
      <c r="F270" s="68">
        <v>10.922000000000001</v>
      </c>
      <c r="H270" s="69" t="s">
        <v>841</v>
      </c>
      <c r="I270" s="66">
        <f t="shared" si="17"/>
        <v>43705</v>
      </c>
      <c r="J270" s="70">
        <f t="shared" si="16"/>
        <v>2019</v>
      </c>
      <c r="K270" s="71">
        <v>20.031400000000001</v>
      </c>
      <c r="L270" s="71">
        <v>19.993400000000001</v>
      </c>
      <c r="M270" s="71">
        <v>19.9086</v>
      </c>
    </row>
    <row r="271" spans="1:13">
      <c r="A271" s="57" t="s">
        <v>842</v>
      </c>
      <c r="B271" s="58">
        <f t="shared" si="14"/>
        <v>38958</v>
      </c>
      <c r="C271" s="59">
        <f t="shared" si="15"/>
        <v>2006</v>
      </c>
      <c r="D271" s="61">
        <v>10.9047</v>
      </c>
      <c r="E271" s="61">
        <v>10.934699999999999</v>
      </c>
      <c r="F271" s="61">
        <v>10.9528</v>
      </c>
      <c r="H271" s="62" t="s">
        <v>843</v>
      </c>
      <c r="I271" s="58">
        <f t="shared" si="17"/>
        <v>43706</v>
      </c>
      <c r="J271" s="60">
        <f t="shared" si="16"/>
        <v>2019</v>
      </c>
      <c r="K271" s="64">
        <v>20.098800000000001</v>
      </c>
      <c r="L271" s="64">
        <v>20.031400000000001</v>
      </c>
      <c r="M271" s="64">
        <v>19.993400000000001</v>
      </c>
    </row>
    <row r="272" spans="1:13">
      <c r="A272" s="65" t="s">
        <v>844</v>
      </c>
      <c r="B272" s="66">
        <f t="shared" si="14"/>
        <v>38959</v>
      </c>
      <c r="C272" s="67">
        <f t="shared" si="15"/>
        <v>2006</v>
      </c>
      <c r="D272" s="68">
        <v>10.865</v>
      </c>
      <c r="E272" s="68">
        <v>10.9047</v>
      </c>
      <c r="F272" s="68">
        <v>10.934699999999999</v>
      </c>
      <c r="H272" s="69" t="s">
        <v>845</v>
      </c>
      <c r="I272" s="66">
        <f t="shared" si="17"/>
        <v>43707</v>
      </c>
      <c r="J272" s="70">
        <f t="shared" si="16"/>
        <v>2019</v>
      </c>
      <c r="K272" s="71">
        <v>20.069600000000001</v>
      </c>
      <c r="L272" s="71">
        <v>20.098800000000001</v>
      </c>
      <c r="M272" s="71">
        <v>20.031400000000001</v>
      </c>
    </row>
    <row r="273" spans="1:13">
      <c r="A273" s="57" t="s">
        <v>846</v>
      </c>
      <c r="B273" s="58">
        <f t="shared" si="14"/>
        <v>38960</v>
      </c>
      <c r="C273" s="59">
        <f t="shared" si="15"/>
        <v>2006</v>
      </c>
      <c r="D273" s="61">
        <v>10.903700000000001</v>
      </c>
      <c r="E273" s="61">
        <v>10.865</v>
      </c>
      <c r="F273" s="61">
        <v>10.9047</v>
      </c>
      <c r="H273" s="62" t="s">
        <v>847</v>
      </c>
      <c r="I273" s="58">
        <f t="shared" si="17"/>
        <v>43708</v>
      </c>
      <c r="J273" s="60">
        <f t="shared" si="16"/>
        <v>2019</v>
      </c>
      <c r="K273" s="63" t="s">
        <v>362</v>
      </c>
      <c r="L273" s="63" t="s">
        <v>362</v>
      </c>
      <c r="M273" s="64">
        <v>20.098800000000001</v>
      </c>
    </row>
    <row r="274" spans="1:13">
      <c r="A274" s="65" t="s">
        <v>848</v>
      </c>
      <c r="B274" s="66">
        <f t="shared" si="14"/>
        <v>38961</v>
      </c>
      <c r="C274" s="67">
        <f t="shared" si="15"/>
        <v>2006</v>
      </c>
      <c r="D274" s="68">
        <v>10.895200000000001</v>
      </c>
      <c r="E274" s="68">
        <v>10.903700000000001</v>
      </c>
      <c r="F274" s="68">
        <v>10.865</v>
      </c>
      <c r="H274" s="69" t="s">
        <v>849</v>
      </c>
      <c r="I274" s="66">
        <f t="shared" si="17"/>
        <v>43709</v>
      </c>
      <c r="J274" s="70">
        <f t="shared" si="16"/>
        <v>2019</v>
      </c>
      <c r="K274" s="72" t="s">
        <v>362</v>
      </c>
      <c r="L274" s="72" t="s">
        <v>362</v>
      </c>
      <c r="M274" s="71">
        <v>20.098800000000001</v>
      </c>
    </row>
    <row r="275" spans="1:13">
      <c r="A275" s="57" t="s">
        <v>850</v>
      </c>
      <c r="B275" s="58">
        <f t="shared" si="14"/>
        <v>38962</v>
      </c>
      <c r="C275" s="59">
        <f t="shared" si="15"/>
        <v>2006</v>
      </c>
      <c r="D275" s="60" t="s">
        <v>362</v>
      </c>
      <c r="E275" s="60" t="s">
        <v>362</v>
      </c>
      <c r="F275" s="61">
        <v>10.903700000000001</v>
      </c>
      <c r="H275" s="62" t="s">
        <v>851</v>
      </c>
      <c r="I275" s="58">
        <f t="shared" si="17"/>
        <v>43710</v>
      </c>
      <c r="J275" s="60">
        <f t="shared" si="16"/>
        <v>2019</v>
      </c>
      <c r="K275" s="64">
        <v>20.125299999999999</v>
      </c>
      <c r="L275" s="64">
        <v>20.069600000000001</v>
      </c>
      <c r="M275" s="64">
        <v>20.098800000000001</v>
      </c>
    </row>
    <row r="276" spans="1:13">
      <c r="A276" s="65" t="s">
        <v>852</v>
      </c>
      <c r="B276" s="66">
        <f t="shared" si="14"/>
        <v>38963</v>
      </c>
      <c r="C276" s="67">
        <f t="shared" si="15"/>
        <v>2006</v>
      </c>
      <c r="D276" s="70" t="s">
        <v>362</v>
      </c>
      <c r="E276" s="70" t="s">
        <v>362</v>
      </c>
      <c r="F276" s="68">
        <v>10.903700000000001</v>
      </c>
      <c r="H276" s="69" t="s">
        <v>853</v>
      </c>
      <c r="I276" s="66">
        <f t="shared" si="17"/>
        <v>43711</v>
      </c>
      <c r="J276" s="70">
        <f t="shared" si="16"/>
        <v>2019</v>
      </c>
      <c r="K276" s="71">
        <v>20.003900000000002</v>
      </c>
      <c r="L276" s="71">
        <v>20.125299999999999</v>
      </c>
      <c r="M276" s="71">
        <v>20.069600000000001</v>
      </c>
    </row>
    <row r="277" spans="1:13">
      <c r="A277" s="57" t="s">
        <v>854</v>
      </c>
      <c r="B277" s="58">
        <f t="shared" si="14"/>
        <v>38964</v>
      </c>
      <c r="C277" s="59">
        <f t="shared" si="15"/>
        <v>2006</v>
      </c>
      <c r="D277" s="61">
        <v>10.8476</v>
      </c>
      <c r="E277" s="61">
        <v>10.895200000000001</v>
      </c>
      <c r="F277" s="61">
        <v>10.903700000000001</v>
      </c>
      <c r="H277" s="62" t="s">
        <v>855</v>
      </c>
      <c r="I277" s="58">
        <f t="shared" si="17"/>
        <v>43712</v>
      </c>
      <c r="J277" s="60">
        <f t="shared" si="16"/>
        <v>2019</v>
      </c>
      <c r="K277" s="64">
        <v>19.7806</v>
      </c>
      <c r="L277" s="64">
        <v>20.003900000000002</v>
      </c>
      <c r="M277" s="64">
        <v>20.125299999999999</v>
      </c>
    </row>
    <row r="278" spans="1:13">
      <c r="A278" s="65" t="s">
        <v>856</v>
      </c>
      <c r="B278" s="66">
        <f t="shared" si="14"/>
        <v>38965</v>
      </c>
      <c r="C278" s="67">
        <f t="shared" si="15"/>
        <v>2006</v>
      </c>
      <c r="D278" s="68">
        <v>10.8438</v>
      </c>
      <c r="E278" s="68">
        <v>10.8476</v>
      </c>
      <c r="F278" s="68">
        <v>10.895200000000001</v>
      </c>
      <c r="H278" s="69" t="s">
        <v>857</v>
      </c>
      <c r="I278" s="66">
        <f t="shared" si="17"/>
        <v>43713</v>
      </c>
      <c r="J278" s="70">
        <f t="shared" si="16"/>
        <v>2019</v>
      </c>
      <c r="K278" s="71">
        <v>19.683399999999999</v>
      </c>
      <c r="L278" s="71">
        <v>19.7806</v>
      </c>
      <c r="M278" s="71">
        <v>20.003900000000002</v>
      </c>
    </row>
    <row r="279" spans="1:13">
      <c r="A279" s="57" t="s">
        <v>858</v>
      </c>
      <c r="B279" s="58">
        <f t="shared" si="14"/>
        <v>38966</v>
      </c>
      <c r="C279" s="59">
        <f t="shared" si="15"/>
        <v>2006</v>
      </c>
      <c r="D279" s="61">
        <v>10.938000000000001</v>
      </c>
      <c r="E279" s="61">
        <v>10.8438</v>
      </c>
      <c r="F279" s="61">
        <v>10.8476</v>
      </c>
      <c r="H279" s="62" t="s">
        <v>859</v>
      </c>
      <c r="I279" s="58">
        <f t="shared" si="17"/>
        <v>43714</v>
      </c>
      <c r="J279" s="60">
        <f t="shared" si="16"/>
        <v>2019</v>
      </c>
      <c r="K279" s="64">
        <v>19.5623</v>
      </c>
      <c r="L279" s="64">
        <v>19.683399999999999</v>
      </c>
      <c r="M279" s="64">
        <v>19.7806</v>
      </c>
    </row>
    <row r="280" spans="1:13">
      <c r="A280" s="65" t="s">
        <v>860</v>
      </c>
      <c r="B280" s="66">
        <f t="shared" si="14"/>
        <v>38967</v>
      </c>
      <c r="C280" s="67">
        <f t="shared" si="15"/>
        <v>2006</v>
      </c>
      <c r="D280" s="68">
        <v>11.019600000000001</v>
      </c>
      <c r="E280" s="68">
        <v>10.938000000000001</v>
      </c>
      <c r="F280" s="68">
        <v>10.8438</v>
      </c>
      <c r="H280" s="69" t="s">
        <v>861</v>
      </c>
      <c r="I280" s="66">
        <f t="shared" si="17"/>
        <v>43715</v>
      </c>
      <c r="J280" s="70">
        <f t="shared" si="16"/>
        <v>2019</v>
      </c>
      <c r="K280" s="72" t="s">
        <v>362</v>
      </c>
      <c r="L280" s="72" t="s">
        <v>362</v>
      </c>
      <c r="M280" s="71">
        <v>19.683399999999999</v>
      </c>
    </row>
    <row r="281" spans="1:13">
      <c r="A281" s="57" t="s">
        <v>862</v>
      </c>
      <c r="B281" s="58">
        <f t="shared" si="14"/>
        <v>38968</v>
      </c>
      <c r="C281" s="59">
        <f t="shared" si="15"/>
        <v>2006</v>
      </c>
      <c r="D281" s="61">
        <v>11.027100000000001</v>
      </c>
      <c r="E281" s="61">
        <v>11.019600000000001</v>
      </c>
      <c r="F281" s="61">
        <v>10.938000000000001</v>
      </c>
      <c r="H281" s="62" t="s">
        <v>863</v>
      </c>
      <c r="I281" s="58">
        <f t="shared" si="17"/>
        <v>43716</v>
      </c>
      <c r="J281" s="60">
        <f t="shared" si="16"/>
        <v>2019</v>
      </c>
      <c r="K281" s="63" t="s">
        <v>362</v>
      </c>
      <c r="L281" s="63" t="s">
        <v>362</v>
      </c>
      <c r="M281" s="64">
        <v>19.683399999999999</v>
      </c>
    </row>
    <row r="282" spans="1:13">
      <c r="A282" s="65" t="s">
        <v>864</v>
      </c>
      <c r="B282" s="66">
        <f t="shared" si="14"/>
        <v>38969</v>
      </c>
      <c r="C282" s="67">
        <f t="shared" si="15"/>
        <v>2006</v>
      </c>
      <c r="D282" s="70" t="s">
        <v>362</v>
      </c>
      <c r="E282" s="70" t="s">
        <v>362</v>
      </c>
      <c r="F282" s="68">
        <v>11.019600000000001</v>
      </c>
      <c r="H282" s="69" t="s">
        <v>865</v>
      </c>
      <c r="I282" s="66">
        <f t="shared" si="17"/>
        <v>43717</v>
      </c>
      <c r="J282" s="70">
        <f t="shared" si="16"/>
        <v>2019</v>
      </c>
      <c r="K282" s="71">
        <v>19.5398</v>
      </c>
      <c r="L282" s="71">
        <v>19.5623</v>
      </c>
      <c r="M282" s="71">
        <v>19.683399999999999</v>
      </c>
    </row>
    <row r="283" spans="1:13">
      <c r="A283" s="57" t="s">
        <v>866</v>
      </c>
      <c r="B283" s="58">
        <f t="shared" si="14"/>
        <v>38970</v>
      </c>
      <c r="C283" s="59">
        <f t="shared" si="15"/>
        <v>2006</v>
      </c>
      <c r="D283" s="60" t="s">
        <v>362</v>
      </c>
      <c r="E283" s="60" t="s">
        <v>362</v>
      </c>
      <c r="F283" s="61">
        <v>11.019600000000001</v>
      </c>
      <c r="H283" s="62" t="s">
        <v>867</v>
      </c>
      <c r="I283" s="58">
        <f t="shared" si="17"/>
        <v>43718</v>
      </c>
      <c r="J283" s="60">
        <f t="shared" si="16"/>
        <v>2019</v>
      </c>
      <c r="K283" s="64">
        <v>19.535399999999999</v>
      </c>
      <c r="L283" s="64">
        <v>19.5398</v>
      </c>
      <c r="M283" s="64">
        <v>19.5623</v>
      </c>
    </row>
    <row r="284" spans="1:13">
      <c r="A284" s="65" t="s">
        <v>868</v>
      </c>
      <c r="B284" s="66">
        <f t="shared" si="14"/>
        <v>38971</v>
      </c>
      <c r="C284" s="67">
        <f t="shared" si="15"/>
        <v>2006</v>
      </c>
      <c r="D284" s="68">
        <v>11.070499999999999</v>
      </c>
      <c r="E284" s="68">
        <v>11.027100000000001</v>
      </c>
      <c r="F284" s="68">
        <v>11.019600000000001</v>
      </c>
      <c r="H284" s="69" t="s">
        <v>869</v>
      </c>
      <c r="I284" s="66">
        <f t="shared" si="17"/>
        <v>43719</v>
      </c>
      <c r="J284" s="70">
        <f t="shared" si="16"/>
        <v>2019</v>
      </c>
      <c r="K284" s="71">
        <v>19.547799999999999</v>
      </c>
      <c r="L284" s="71">
        <v>19.535399999999999</v>
      </c>
      <c r="M284" s="71">
        <v>19.5398</v>
      </c>
    </row>
    <row r="285" spans="1:13">
      <c r="A285" s="57" t="s">
        <v>870</v>
      </c>
      <c r="B285" s="58">
        <f t="shared" si="14"/>
        <v>38972</v>
      </c>
      <c r="C285" s="59">
        <f t="shared" si="15"/>
        <v>2006</v>
      </c>
      <c r="D285" s="61">
        <v>11.036099999999999</v>
      </c>
      <c r="E285" s="61">
        <v>11.070499999999999</v>
      </c>
      <c r="F285" s="61">
        <v>11.027100000000001</v>
      </c>
      <c r="H285" s="62" t="s">
        <v>871</v>
      </c>
      <c r="I285" s="58">
        <f t="shared" si="17"/>
        <v>43720</v>
      </c>
      <c r="J285" s="60">
        <f t="shared" si="16"/>
        <v>2019</v>
      </c>
      <c r="K285" s="64">
        <v>19.426500000000001</v>
      </c>
      <c r="L285" s="64">
        <v>19.547799999999999</v>
      </c>
      <c r="M285" s="64">
        <v>19.535399999999999</v>
      </c>
    </row>
    <row r="286" spans="1:13">
      <c r="A286" s="65" t="s">
        <v>872</v>
      </c>
      <c r="B286" s="66">
        <f t="shared" si="14"/>
        <v>38973</v>
      </c>
      <c r="C286" s="67">
        <f t="shared" si="15"/>
        <v>2006</v>
      </c>
      <c r="D286" s="68">
        <v>11.011699999999999</v>
      </c>
      <c r="E286" s="68">
        <v>11.036099999999999</v>
      </c>
      <c r="F286" s="68">
        <v>11.070499999999999</v>
      </c>
      <c r="H286" s="69" t="s">
        <v>873</v>
      </c>
      <c r="I286" s="66">
        <f t="shared" si="17"/>
        <v>43721</v>
      </c>
      <c r="J286" s="70">
        <f t="shared" si="16"/>
        <v>2019</v>
      </c>
      <c r="K286" s="71">
        <v>19.366499999999998</v>
      </c>
      <c r="L286" s="71">
        <v>19.426500000000001</v>
      </c>
      <c r="M286" s="71">
        <v>19.547799999999999</v>
      </c>
    </row>
    <row r="287" spans="1:13">
      <c r="A287" s="57" t="s">
        <v>874</v>
      </c>
      <c r="B287" s="58">
        <f t="shared" ref="B287:B350" si="18">DATE(RIGHT(A287,4),LEFT(RIGHT(A287,7),2),LEFT(A287,2))</f>
        <v>38974</v>
      </c>
      <c r="C287" s="59">
        <f t="shared" ref="C287:C350" si="19">YEAR(B287)</f>
        <v>2006</v>
      </c>
      <c r="D287" s="61">
        <v>10.9818</v>
      </c>
      <c r="E287" s="61">
        <v>11.011699999999999</v>
      </c>
      <c r="F287" s="61">
        <v>11.036099999999999</v>
      </c>
      <c r="H287" s="62" t="s">
        <v>875</v>
      </c>
      <c r="I287" s="58">
        <f t="shared" si="17"/>
        <v>43722</v>
      </c>
      <c r="J287" s="60">
        <f t="shared" ref="J287:J350" si="20">YEAR(I287)</f>
        <v>2019</v>
      </c>
      <c r="K287" s="63" t="s">
        <v>362</v>
      </c>
      <c r="L287" s="63" t="s">
        <v>362</v>
      </c>
      <c r="M287" s="64">
        <v>19.426500000000001</v>
      </c>
    </row>
    <row r="288" spans="1:13">
      <c r="A288" s="65" t="s">
        <v>876</v>
      </c>
      <c r="B288" s="66">
        <f t="shared" si="18"/>
        <v>38975</v>
      </c>
      <c r="C288" s="67">
        <f t="shared" si="19"/>
        <v>2006</v>
      </c>
      <c r="D288" s="68">
        <v>10.9468</v>
      </c>
      <c r="E288" s="68">
        <v>10.9818</v>
      </c>
      <c r="F288" s="68">
        <v>11.011699999999999</v>
      </c>
      <c r="H288" s="69" t="s">
        <v>877</v>
      </c>
      <c r="I288" s="66">
        <f t="shared" ref="I288:I351" si="21">DATE(RIGHT(H288,4),LEFT(RIGHT(A288,7),2),LEFT(A288,2))</f>
        <v>43723</v>
      </c>
      <c r="J288" s="70">
        <f t="shared" si="20"/>
        <v>2019</v>
      </c>
      <c r="K288" s="72" t="s">
        <v>362</v>
      </c>
      <c r="L288" s="72" t="s">
        <v>362</v>
      </c>
      <c r="M288" s="71">
        <v>19.426500000000001</v>
      </c>
    </row>
    <row r="289" spans="1:13">
      <c r="A289" s="57" t="s">
        <v>878</v>
      </c>
      <c r="B289" s="58">
        <f t="shared" si="18"/>
        <v>38976</v>
      </c>
      <c r="C289" s="59">
        <f t="shared" si="19"/>
        <v>2006</v>
      </c>
      <c r="D289" s="60" t="s">
        <v>362</v>
      </c>
      <c r="E289" s="60" t="s">
        <v>362</v>
      </c>
      <c r="F289" s="61">
        <v>10.9818</v>
      </c>
      <c r="H289" s="62" t="s">
        <v>879</v>
      </c>
      <c r="I289" s="58">
        <f t="shared" si="21"/>
        <v>43724</v>
      </c>
      <c r="J289" s="60">
        <f t="shared" si="20"/>
        <v>2019</v>
      </c>
      <c r="K289" s="63" t="s">
        <v>362</v>
      </c>
      <c r="L289" s="63" t="s">
        <v>362</v>
      </c>
      <c r="M289" s="64">
        <v>19.426500000000001</v>
      </c>
    </row>
    <row r="290" spans="1:13">
      <c r="A290" s="65" t="s">
        <v>880</v>
      </c>
      <c r="B290" s="66">
        <f t="shared" si="18"/>
        <v>38977</v>
      </c>
      <c r="C290" s="67">
        <f t="shared" si="19"/>
        <v>2006</v>
      </c>
      <c r="D290" s="70" t="s">
        <v>362</v>
      </c>
      <c r="E290" s="70" t="s">
        <v>362</v>
      </c>
      <c r="F290" s="68">
        <v>10.9818</v>
      </c>
      <c r="H290" s="69" t="s">
        <v>881</v>
      </c>
      <c r="I290" s="66">
        <f t="shared" si="21"/>
        <v>43725</v>
      </c>
      <c r="J290" s="70">
        <f t="shared" si="20"/>
        <v>2019</v>
      </c>
      <c r="K290" s="71">
        <v>19.426200000000001</v>
      </c>
      <c r="L290" s="71">
        <v>19.366499999999998</v>
      </c>
      <c r="M290" s="71">
        <v>19.426500000000001</v>
      </c>
    </row>
    <row r="291" spans="1:13">
      <c r="A291" s="57" t="s">
        <v>882</v>
      </c>
      <c r="B291" s="58">
        <f t="shared" si="18"/>
        <v>38978</v>
      </c>
      <c r="C291" s="59">
        <f t="shared" si="19"/>
        <v>2006</v>
      </c>
      <c r="D291" s="61">
        <v>10.927300000000001</v>
      </c>
      <c r="E291" s="61">
        <v>10.9468</v>
      </c>
      <c r="F291" s="61">
        <v>10.9818</v>
      </c>
      <c r="H291" s="62" t="s">
        <v>883</v>
      </c>
      <c r="I291" s="58">
        <f t="shared" si="21"/>
        <v>43726</v>
      </c>
      <c r="J291" s="60">
        <f t="shared" si="20"/>
        <v>2019</v>
      </c>
      <c r="K291" s="64">
        <v>19.352799999999998</v>
      </c>
      <c r="L291" s="64">
        <v>19.426200000000001</v>
      </c>
      <c r="M291" s="64">
        <v>19.366499999999998</v>
      </c>
    </row>
    <row r="292" spans="1:13">
      <c r="A292" s="65" t="s">
        <v>884</v>
      </c>
      <c r="B292" s="66">
        <f t="shared" si="18"/>
        <v>38979</v>
      </c>
      <c r="C292" s="67">
        <f t="shared" si="19"/>
        <v>2006</v>
      </c>
      <c r="D292" s="68">
        <v>10.922700000000001</v>
      </c>
      <c r="E292" s="68">
        <v>10.927300000000001</v>
      </c>
      <c r="F292" s="68">
        <v>10.9468</v>
      </c>
      <c r="H292" s="69" t="s">
        <v>885</v>
      </c>
      <c r="I292" s="66">
        <f t="shared" si="21"/>
        <v>43727</v>
      </c>
      <c r="J292" s="70">
        <f t="shared" si="20"/>
        <v>2019</v>
      </c>
      <c r="K292" s="71">
        <v>19.398099999999999</v>
      </c>
      <c r="L292" s="71">
        <v>19.352799999999998</v>
      </c>
      <c r="M292" s="71">
        <v>19.426200000000001</v>
      </c>
    </row>
    <row r="293" spans="1:13">
      <c r="A293" s="57" t="s">
        <v>886</v>
      </c>
      <c r="B293" s="58">
        <f t="shared" si="18"/>
        <v>38980</v>
      </c>
      <c r="C293" s="59">
        <f t="shared" si="19"/>
        <v>2006</v>
      </c>
      <c r="D293" s="61">
        <v>10.9346</v>
      </c>
      <c r="E293" s="61">
        <v>10.922700000000001</v>
      </c>
      <c r="F293" s="61">
        <v>10.927300000000001</v>
      </c>
      <c r="H293" s="62" t="s">
        <v>887</v>
      </c>
      <c r="I293" s="58">
        <f t="shared" si="21"/>
        <v>43728</v>
      </c>
      <c r="J293" s="60">
        <f t="shared" si="20"/>
        <v>2019</v>
      </c>
      <c r="K293" s="64">
        <v>19.447800000000001</v>
      </c>
      <c r="L293" s="64">
        <v>19.398099999999999</v>
      </c>
      <c r="M293" s="64">
        <v>19.352799999999998</v>
      </c>
    </row>
    <row r="294" spans="1:13">
      <c r="A294" s="65" t="s">
        <v>888</v>
      </c>
      <c r="B294" s="66">
        <f t="shared" si="18"/>
        <v>38981</v>
      </c>
      <c r="C294" s="67">
        <f t="shared" si="19"/>
        <v>2006</v>
      </c>
      <c r="D294" s="68">
        <v>10.9953</v>
      </c>
      <c r="E294" s="68">
        <v>10.9346</v>
      </c>
      <c r="F294" s="68">
        <v>10.922700000000001</v>
      </c>
      <c r="H294" s="69" t="s">
        <v>889</v>
      </c>
      <c r="I294" s="66">
        <f t="shared" si="21"/>
        <v>43729</v>
      </c>
      <c r="J294" s="70">
        <f t="shared" si="20"/>
        <v>2019</v>
      </c>
      <c r="K294" s="72" t="s">
        <v>362</v>
      </c>
      <c r="L294" s="72" t="s">
        <v>362</v>
      </c>
      <c r="M294" s="71">
        <v>19.398099999999999</v>
      </c>
    </row>
    <row r="295" spans="1:13">
      <c r="A295" s="57" t="s">
        <v>890</v>
      </c>
      <c r="B295" s="58">
        <f t="shared" si="18"/>
        <v>38982</v>
      </c>
      <c r="C295" s="59">
        <f t="shared" si="19"/>
        <v>2006</v>
      </c>
      <c r="D295" s="61">
        <v>11.0877</v>
      </c>
      <c r="E295" s="61">
        <v>10.9953</v>
      </c>
      <c r="F295" s="61">
        <v>10.9346</v>
      </c>
      <c r="H295" s="62" t="s">
        <v>891</v>
      </c>
      <c r="I295" s="58">
        <f t="shared" si="21"/>
        <v>43730</v>
      </c>
      <c r="J295" s="60">
        <f t="shared" si="20"/>
        <v>2019</v>
      </c>
      <c r="K295" s="63" t="s">
        <v>362</v>
      </c>
      <c r="L295" s="63" t="s">
        <v>362</v>
      </c>
      <c r="M295" s="64">
        <v>19.398099999999999</v>
      </c>
    </row>
    <row r="296" spans="1:13">
      <c r="A296" s="65" t="s">
        <v>892</v>
      </c>
      <c r="B296" s="66">
        <f t="shared" si="18"/>
        <v>38983</v>
      </c>
      <c r="C296" s="67">
        <f t="shared" si="19"/>
        <v>2006</v>
      </c>
      <c r="D296" s="70" t="s">
        <v>362</v>
      </c>
      <c r="E296" s="70" t="s">
        <v>362</v>
      </c>
      <c r="F296" s="68">
        <v>10.9953</v>
      </c>
      <c r="H296" s="69" t="s">
        <v>893</v>
      </c>
      <c r="I296" s="66">
        <f t="shared" si="21"/>
        <v>43731</v>
      </c>
      <c r="J296" s="70">
        <f t="shared" si="20"/>
        <v>2019</v>
      </c>
      <c r="K296" s="71">
        <v>19.445900000000002</v>
      </c>
      <c r="L296" s="71">
        <v>19.447800000000001</v>
      </c>
      <c r="M296" s="71">
        <v>19.398099999999999</v>
      </c>
    </row>
    <row r="297" spans="1:13">
      <c r="A297" s="57" t="s">
        <v>894</v>
      </c>
      <c r="B297" s="58">
        <f t="shared" si="18"/>
        <v>38984</v>
      </c>
      <c r="C297" s="59">
        <f t="shared" si="19"/>
        <v>2006</v>
      </c>
      <c r="D297" s="60" t="s">
        <v>362</v>
      </c>
      <c r="E297" s="60" t="s">
        <v>362</v>
      </c>
      <c r="F297" s="61">
        <v>10.9953</v>
      </c>
      <c r="H297" s="62" t="s">
        <v>895</v>
      </c>
      <c r="I297" s="58">
        <f t="shared" si="21"/>
        <v>43732</v>
      </c>
      <c r="J297" s="60">
        <f t="shared" si="20"/>
        <v>2019</v>
      </c>
      <c r="K297" s="64">
        <v>19.4587</v>
      </c>
      <c r="L297" s="64">
        <v>19.445900000000002</v>
      </c>
      <c r="M297" s="64">
        <v>19.447800000000001</v>
      </c>
    </row>
    <row r="298" spans="1:13">
      <c r="A298" s="65" t="s">
        <v>896</v>
      </c>
      <c r="B298" s="66">
        <f t="shared" si="18"/>
        <v>38985</v>
      </c>
      <c r="C298" s="67">
        <f t="shared" si="19"/>
        <v>2006</v>
      </c>
      <c r="D298" s="68">
        <v>11.105</v>
      </c>
      <c r="E298" s="68">
        <v>11.0877</v>
      </c>
      <c r="F298" s="68">
        <v>10.9953</v>
      </c>
      <c r="H298" s="69" t="s">
        <v>897</v>
      </c>
      <c r="I298" s="66">
        <f t="shared" si="21"/>
        <v>43733</v>
      </c>
      <c r="J298" s="70">
        <f t="shared" si="20"/>
        <v>2019</v>
      </c>
      <c r="K298" s="71">
        <v>19.577500000000001</v>
      </c>
      <c r="L298" s="71">
        <v>19.4587</v>
      </c>
      <c r="M298" s="71">
        <v>19.445900000000002</v>
      </c>
    </row>
    <row r="299" spans="1:13">
      <c r="A299" s="57" t="s">
        <v>898</v>
      </c>
      <c r="B299" s="58">
        <f t="shared" si="18"/>
        <v>38986</v>
      </c>
      <c r="C299" s="59">
        <f t="shared" si="19"/>
        <v>2006</v>
      </c>
      <c r="D299" s="61">
        <v>11.0418</v>
      </c>
      <c r="E299" s="61">
        <v>11.105</v>
      </c>
      <c r="F299" s="61">
        <v>11.0877</v>
      </c>
      <c r="H299" s="62" t="s">
        <v>899</v>
      </c>
      <c r="I299" s="58">
        <f t="shared" si="21"/>
        <v>43734</v>
      </c>
      <c r="J299" s="60">
        <f t="shared" si="20"/>
        <v>2019</v>
      </c>
      <c r="K299" s="64">
        <v>19.636299999999999</v>
      </c>
      <c r="L299" s="64">
        <v>19.577500000000001</v>
      </c>
      <c r="M299" s="64">
        <v>19.4587</v>
      </c>
    </row>
    <row r="300" spans="1:13">
      <c r="A300" s="65" t="s">
        <v>900</v>
      </c>
      <c r="B300" s="66">
        <f t="shared" si="18"/>
        <v>38987</v>
      </c>
      <c r="C300" s="67">
        <f t="shared" si="19"/>
        <v>2006</v>
      </c>
      <c r="D300" s="68">
        <v>11.0152</v>
      </c>
      <c r="E300" s="68">
        <v>11.0418</v>
      </c>
      <c r="F300" s="68">
        <v>11.105</v>
      </c>
      <c r="H300" s="69" t="s">
        <v>901</v>
      </c>
      <c r="I300" s="66">
        <f t="shared" si="21"/>
        <v>43735</v>
      </c>
      <c r="J300" s="70">
        <f t="shared" si="20"/>
        <v>2019</v>
      </c>
      <c r="K300" s="71">
        <v>19.680800000000001</v>
      </c>
      <c r="L300" s="71">
        <v>19.636299999999999</v>
      </c>
      <c r="M300" s="71">
        <v>19.577500000000001</v>
      </c>
    </row>
    <row r="301" spans="1:13">
      <c r="A301" s="57" t="s">
        <v>902</v>
      </c>
      <c r="B301" s="58">
        <f t="shared" si="18"/>
        <v>38988</v>
      </c>
      <c r="C301" s="59">
        <f t="shared" si="19"/>
        <v>2006</v>
      </c>
      <c r="D301" s="61">
        <v>11.0502</v>
      </c>
      <c r="E301" s="61">
        <v>11.0152</v>
      </c>
      <c r="F301" s="61">
        <v>11.0418</v>
      </c>
      <c r="H301" s="62" t="s">
        <v>903</v>
      </c>
      <c r="I301" s="58">
        <f t="shared" si="21"/>
        <v>43736</v>
      </c>
      <c r="J301" s="60">
        <f t="shared" si="20"/>
        <v>2019</v>
      </c>
      <c r="K301" s="63" t="s">
        <v>362</v>
      </c>
      <c r="L301" s="63" t="s">
        <v>362</v>
      </c>
      <c r="M301" s="64">
        <v>19.636299999999999</v>
      </c>
    </row>
    <row r="302" spans="1:13">
      <c r="A302" s="65" t="s">
        <v>904</v>
      </c>
      <c r="B302" s="66">
        <f t="shared" si="18"/>
        <v>38989</v>
      </c>
      <c r="C302" s="67">
        <f t="shared" si="19"/>
        <v>2006</v>
      </c>
      <c r="D302" s="68">
        <v>10.993499999999999</v>
      </c>
      <c r="E302" s="68">
        <v>11.0502</v>
      </c>
      <c r="F302" s="68">
        <v>11.0152</v>
      </c>
      <c r="H302" s="69" t="s">
        <v>905</v>
      </c>
      <c r="I302" s="66">
        <f t="shared" si="21"/>
        <v>43737</v>
      </c>
      <c r="J302" s="70">
        <f t="shared" si="20"/>
        <v>2019</v>
      </c>
      <c r="K302" s="72" t="s">
        <v>362</v>
      </c>
      <c r="L302" s="72" t="s">
        <v>362</v>
      </c>
      <c r="M302" s="71">
        <v>19.636299999999999</v>
      </c>
    </row>
    <row r="303" spans="1:13">
      <c r="A303" s="57" t="s">
        <v>906</v>
      </c>
      <c r="B303" s="58">
        <f t="shared" si="18"/>
        <v>38990</v>
      </c>
      <c r="C303" s="59">
        <f t="shared" si="19"/>
        <v>2006</v>
      </c>
      <c r="D303" s="60" t="s">
        <v>362</v>
      </c>
      <c r="E303" s="60" t="s">
        <v>362</v>
      </c>
      <c r="F303" s="61">
        <v>11.0502</v>
      </c>
      <c r="H303" s="62" t="s">
        <v>907</v>
      </c>
      <c r="I303" s="58">
        <f t="shared" si="21"/>
        <v>43738</v>
      </c>
      <c r="J303" s="60">
        <f t="shared" si="20"/>
        <v>2019</v>
      </c>
      <c r="K303" s="64">
        <v>19.734500000000001</v>
      </c>
      <c r="L303" s="64">
        <v>19.680800000000001</v>
      </c>
      <c r="M303" s="64">
        <v>19.636299999999999</v>
      </c>
    </row>
    <row r="304" spans="1:13">
      <c r="A304" s="65" t="s">
        <v>908</v>
      </c>
      <c r="B304" s="66">
        <f t="shared" si="18"/>
        <v>38991</v>
      </c>
      <c r="C304" s="67">
        <f t="shared" si="19"/>
        <v>2006</v>
      </c>
      <c r="D304" s="70" t="s">
        <v>362</v>
      </c>
      <c r="E304" s="70" t="s">
        <v>362</v>
      </c>
      <c r="F304" s="68">
        <v>11.0502</v>
      </c>
      <c r="H304" s="69" t="s">
        <v>909</v>
      </c>
      <c r="I304" s="66">
        <f t="shared" si="21"/>
        <v>43739</v>
      </c>
      <c r="J304" s="70">
        <f t="shared" si="20"/>
        <v>2019</v>
      </c>
      <c r="K304" s="71">
        <v>19.779199999999999</v>
      </c>
      <c r="L304" s="71">
        <v>19.734500000000001</v>
      </c>
      <c r="M304" s="71">
        <v>19.680800000000001</v>
      </c>
    </row>
    <row r="305" spans="1:13">
      <c r="A305" s="57" t="s">
        <v>910</v>
      </c>
      <c r="B305" s="58">
        <f t="shared" si="18"/>
        <v>38992</v>
      </c>
      <c r="C305" s="59">
        <f t="shared" si="19"/>
        <v>2006</v>
      </c>
      <c r="D305" s="61">
        <v>10.9733</v>
      </c>
      <c r="E305" s="61">
        <v>10.993499999999999</v>
      </c>
      <c r="F305" s="61">
        <v>11.0502</v>
      </c>
      <c r="H305" s="62" t="s">
        <v>911</v>
      </c>
      <c r="I305" s="58">
        <f t="shared" si="21"/>
        <v>43740</v>
      </c>
      <c r="J305" s="60">
        <f t="shared" si="20"/>
        <v>2019</v>
      </c>
      <c r="K305" s="64">
        <v>19.798500000000001</v>
      </c>
      <c r="L305" s="64">
        <v>19.779199999999999</v>
      </c>
      <c r="M305" s="64">
        <v>19.734500000000001</v>
      </c>
    </row>
    <row r="306" spans="1:13">
      <c r="A306" s="65" t="s">
        <v>912</v>
      </c>
      <c r="B306" s="66">
        <f t="shared" si="18"/>
        <v>38993</v>
      </c>
      <c r="C306" s="67">
        <f t="shared" si="19"/>
        <v>2006</v>
      </c>
      <c r="D306" s="68">
        <v>11.0404</v>
      </c>
      <c r="E306" s="68">
        <v>10.9733</v>
      </c>
      <c r="F306" s="68">
        <v>10.993499999999999</v>
      </c>
      <c r="H306" s="69" t="s">
        <v>913</v>
      </c>
      <c r="I306" s="66">
        <f t="shared" si="21"/>
        <v>43741</v>
      </c>
      <c r="J306" s="70">
        <f t="shared" si="20"/>
        <v>2019</v>
      </c>
      <c r="K306" s="71">
        <v>19.736799999999999</v>
      </c>
      <c r="L306" s="71">
        <v>19.798500000000001</v>
      </c>
      <c r="M306" s="71">
        <v>19.779199999999999</v>
      </c>
    </row>
    <row r="307" spans="1:13">
      <c r="A307" s="57" t="s">
        <v>914</v>
      </c>
      <c r="B307" s="58">
        <f t="shared" si="18"/>
        <v>38994</v>
      </c>
      <c r="C307" s="59">
        <f t="shared" si="19"/>
        <v>2006</v>
      </c>
      <c r="D307" s="61">
        <v>11.0533</v>
      </c>
      <c r="E307" s="61">
        <v>11.0404</v>
      </c>
      <c r="F307" s="61">
        <v>10.9733</v>
      </c>
      <c r="H307" s="62" t="s">
        <v>915</v>
      </c>
      <c r="I307" s="58">
        <f t="shared" si="21"/>
        <v>43742</v>
      </c>
      <c r="J307" s="60">
        <f t="shared" si="20"/>
        <v>2019</v>
      </c>
      <c r="K307" s="64">
        <v>19.525500000000001</v>
      </c>
      <c r="L307" s="64">
        <v>19.736799999999999</v>
      </c>
      <c r="M307" s="64">
        <v>19.798500000000001</v>
      </c>
    </row>
    <row r="308" spans="1:13">
      <c r="A308" s="65" t="s">
        <v>916</v>
      </c>
      <c r="B308" s="66">
        <f t="shared" si="18"/>
        <v>38995</v>
      </c>
      <c r="C308" s="67">
        <f t="shared" si="19"/>
        <v>2006</v>
      </c>
      <c r="D308" s="68">
        <v>11.0185</v>
      </c>
      <c r="E308" s="68">
        <v>11.0533</v>
      </c>
      <c r="F308" s="68">
        <v>11.0404</v>
      </c>
      <c r="H308" s="69" t="s">
        <v>917</v>
      </c>
      <c r="I308" s="66">
        <f t="shared" si="21"/>
        <v>43743</v>
      </c>
      <c r="J308" s="70">
        <f t="shared" si="20"/>
        <v>2019</v>
      </c>
      <c r="K308" s="72" t="s">
        <v>362</v>
      </c>
      <c r="L308" s="72" t="s">
        <v>362</v>
      </c>
      <c r="M308" s="71">
        <v>19.736799999999999</v>
      </c>
    </row>
    <row r="309" spans="1:13">
      <c r="A309" s="57" t="s">
        <v>918</v>
      </c>
      <c r="B309" s="58">
        <f t="shared" si="18"/>
        <v>38996</v>
      </c>
      <c r="C309" s="59">
        <f t="shared" si="19"/>
        <v>2006</v>
      </c>
      <c r="D309" s="61">
        <v>11.0624</v>
      </c>
      <c r="E309" s="61">
        <v>11.0185</v>
      </c>
      <c r="F309" s="61">
        <v>11.0533</v>
      </c>
      <c r="H309" s="62" t="s">
        <v>919</v>
      </c>
      <c r="I309" s="58">
        <f t="shared" si="21"/>
        <v>43744</v>
      </c>
      <c r="J309" s="60">
        <f t="shared" si="20"/>
        <v>2019</v>
      </c>
      <c r="K309" s="63" t="s">
        <v>362</v>
      </c>
      <c r="L309" s="63" t="s">
        <v>362</v>
      </c>
      <c r="M309" s="64">
        <v>19.736799999999999</v>
      </c>
    </row>
    <row r="310" spans="1:13">
      <c r="A310" s="65" t="s">
        <v>920</v>
      </c>
      <c r="B310" s="66">
        <f t="shared" si="18"/>
        <v>38997</v>
      </c>
      <c r="C310" s="67">
        <f t="shared" si="19"/>
        <v>2006</v>
      </c>
      <c r="D310" s="70" t="s">
        <v>362</v>
      </c>
      <c r="E310" s="70" t="s">
        <v>362</v>
      </c>
      <c r="F310" s="68">
        <v>11.0185</v>
      </c>
      <c r="H310" s="69" t="s">
        <v>921</v>
      </c>
      <c r="I310" s="66">
        <f t="shared" si="21"/>
        <v>43745</v>
      </c>
      <c r="J310" s="70">
        <f t="shared" si="20"/>
        <v>2019</v>
      </c>
      <c r="K310" s="71">
        <v>19.552199999999999</v>
      </c>
      <c r="L310" s="71">
        <v>19.525500000000001</v>
      </c>
      <c r="M310" s="71">
        <v>19.736799999999999</v>
      </c>
    </row>
    <row r="311" spans="1:13">
      <c r="A311" s="57" t="s">
        <v>922</v>
      </c>
      <c r="B311" s="58">
        <f t="shared" si="18"/>
        <v>38998</v>
      </c>
      <c r="C311" s="59">
        <f t="shared" si="19"/>
        <v>2006</v>
      </c>
      <c r="D311" s="60" t="s">
        <v>362</v>
      </c>
      <c r="E311" s="60" t="s">
        <v>362</v>
      </c>
      <c r="F311" s="61">
        <v>11.0185</v>
      </c>
      <c r="H311" s="62" t="s">
        <v>923</v>
      </c>
      <c r="I311" s="58">
        <f t="shared" si="21"/>
        <v>43746</v>
      </c>
      <c r="J311" s="60">
        <f t="shared" si="20"/>
        <v>2019</v>
      </c>
      <c r="K311" s="64">
        <v>19.584</v>
      </c>
      <c r="L311" s="64">
        <v>19.552199999999999</v>
      </c>
      <c r="M311" s="64">
        <v>19.525500000000001</v>
      </c>
    </row>
    <row r="312" spans="1:13">
      <c r="A312" s="65" t="s">
        <v>924</v>
      </c>
      <c r="B312" s="66">
        <f t="shared" si="18"/>
        <v>38999</v>
      </c>
      <c r="C312" s="67">
        <f t="shared" si="19"/>
        <v>2006</v>
      </c>
      <c r="D312" s="68">
        <v>11.084199999999999</v>
      </c>
      <c r="E312" s="68">
        <v>11.0624</v>
      </c>
      <c r="F312" s="68">
        <v>11.0185</v>
      </c>
      <c r="H312" s="69" t="s">
        <v>925</v>
      </c>
      <c r="I312" s="66">
        <f t="shared" si="21"/>
        <v>43747</v>
      </c>
      <c r="J312" s="70">
        <f t="shared" si="20"/>
        <v>2019</v>
      </c>
      <c r="K312" s="71">
        <v>19.568899999999999</v>
      </c>
      <c r="L312" s="71">
        <v>19.584</v>
      </c>
      <c r="M312" s="71">
        <v>19.552199999999999</v>
      </c>
    </row>
    <row r="313" spans="1:13">
      <c r="A313" s="57" t="s">
        <v>926</v>
      </c>
      <c r="B313" s="58">
        <f t="shared" si="18"/>
        <v>39000</v>
      </c>
      <c r="C313" s="59">
        <f t="shared" si="19"/>
        <v>2006</v>
      </c>
      <c r="D313" s="61">
        <v>11.059699999999999</v>
      </c>
      <c r="E313" s="61">
        <v>11.084199999999999</v>
      </c>
      <c r="F313" s="61">
        <v>11.0624</v>
      </c>
      <c r="H313" s="62" t="s">
        <v>927</v>
      </c>
      <c r="I313" s="58">
        <f t="shared" si="21"/>
        <v>43748</v>
      </c>
      <c r="J313" s="60">
        <f t="shared" si="20"/>
        <v>2019</v>
      </c>
      <c r="K313" s="64">
        <v>19.476400000000002</v>
      </c>
      <c r="L313" s="64">
        <v>19.568899999999999</v>
      </c>
      <c r="M313" s="64">
        <v>19.584</v>
      </c>
    </row>
    <row r="314" spans="1:13">
      <c r="A314" s="65" t="s">
        <v>928</v>
      </c>
      <c r="B314" s="66">
        <f t="shared" si="18"/>
        <v>39001</v>
      </c>
      <c r="C314" s="67">
        <f t="shared" si="19"/>
        <v>2006</v>
      </c>
      <c r="D314" s="68">
        <v>11.024800000000001</v>
      </c>
      <c r="E314" s="68">
        <v>11.059699999999999</v>
      </c>
      <c r="F314" s="68">
        <v>11.084199999999999</v>
      </c>
      <c r="H314" s="69" t="s">
        <v>929</v>
      </c>
      <c r="I314" s="66">
        <f t="shared" si="21"/>
        <v>43749</v>
      </c>
      <c r="J314" s="70">
        <f t="shared" si="20"/>
        <v>2019</v>
      </c>
      <c r="K314" s="71">
        <v>19.3217</v>
      </c>
      <c r="L314" s="71">
        <v>19.476400000000002</v>
      </c>
      <c r="M314" s="71">
        <v>19.568899999999999</v>
      </c>
    </row>
    <row r="315" spans="1:13">
      <c r="A315" s="57" t="s">
        <v>930</v>
      </c>
      <c r="B315" s="58">
        <f t="shared" si="18"/>
        <v>39002</v>
      </c>
      <c r="C315" s="59">
        <f t="shared" si="19"/>
        <v>2006</v>
      </c>
      <c r="D315" s="61">
        <v>10.9406</v>
      </c>
      <c r="E315" s="61">
        <v>11.024800000000001</v>
      </c>
      <c r="F315" s="61">
        <v>11.059699999999999</v>
      </c>
      <c r="H315" s="62" t="s">
        <v>931</v>
      </c>
      <c r="I315" s="58">
        <f t="shared" si="21"/>
        <v>43750</v>
      </c>
      <c r="J315" s="60">
        <f t="shared" si="20"/>
        <v>2019</v>
      </c>
      <c r="K315" s="63" t="s">
        <v>362</v>
      </c>
      <c r="L315" s="63" t="s">
        <v>362</v>
      </c>
      <c r="M315" s="64">
        <v>19.476400000000002</v>
      </c>
    </row>
    <row r="316" spans="1:13">
      <c r="A316" s="65" t="s">
        <v>932</v>
      </c>
      <c r="B316" s="66">
        <f t="shared" si="18"/>
        <v>39003</v>
      </c>
      <c r="C316" s="67">
        <f t="shared" si="19"/>
        <v>2006</v>
      </c>
      <c r="D316" s="68">
        <v>10.8765</v>
      </c>
      <c r="E316" s="68">
        <v>10.9406</v>
      </c>
      <c r="F316" s="68">
        <v>11.024800000000001</v>
      </c>
      <c r="H316" s="69" t="s">
        <v>933</v>
      </c>
      <c r="I316" s="66">
        <f t="shared" si="21"/>
        <v>43751</v>
      </c>
      <c r="J316" s="70">
        <f t="shared" si="20"/>
        <v>2019</v>
      </c>
      <c r="K316" s="72" t="s">
        <v>362</v>
      </c>
      <c r="L316" s="72" t="s">
        <v>362</v>
      </c>
      <c r="M316" s="71">
        <v>19.476400000000002</v>
      </c>
    </row>
    <row r="317" spans="1:13">
      <c r="A317" s="57" t="s">
        <v>934</v>
      </c>
      <c r="B317" s="58">
        <f t="shared" si="18"/>
        <v>39004</v>
      </c>
      <c r="C317" s="59">
        <f t="shared" si="19"/>
        <v>2006</v>
      </c>
      <c r="D317" s="60" t="s">
        <v>362</v>
      </c>
      <c r="E317" s="60" t="s">
        <v>362</v>
      </c>
      <c r="F317" s="61">
        <v>10.9406</v>
      </c>
      <c r="H317" s="62" t="s">
        <v>935</v>
      </c>
      <c r="I317" s="58">
        <f t="shared" si="21"/>
        <v>43752</v>
      </c>
      <c r="J317" s="60">
        <f t="shared" si="20"/>
        <v>2019</v>
      </c>
      <c r="K317" s="64">
        <v>19.2652</v>
      </c>
      <c r="L317" s="64">
        <v>19.3217</v>
      </c>
      <c r="M317" s="64">
        <v>19.476400000000002</v>
      </c>
    </row>
    <row r="318" spans="1:13">
      <c r="A318" s="65" t="s">
        <v>936</v>
      </c>
      <c r="B318" s="66">
        <f t="shared" si="18"/>
        <v>39005</v>
      </c>
      <c r="C318" s="67">
        <f t="shared" si="19"/>
        <v>2006</v>
      </c>
      <c r="D318" s="70" t="s">
        <v>362</v>
      </c>
      <c r="E318" s="70" t="s">
        <v>362</v>
      </c>
      <c r="F318" s="68">
        <v>10.9406</v>
      </c>
      <c r="H318" s="69" t="s">
        <v>937</v>
      </c>
      <c r="I318" s="66">
        <f t="shared" si="21"/>
        <v>43753</v>
      </c>
      <c r="J318" s="70">
        <f t="shared" si="20"/>
        <v>2019</v>
      </c>
      <c r="K318" s="71">
        <v>19.251999999999999</v>
      </c>
      <c r="L318" s="71">
        <v>19.2652</v>
      </c>
      <c r="M318" s="71">
        <v>19.3217</v>
      </c>
    </row>
    <row r="319" spans="1:13">
      <c r="A319" s="57" t="s">
        <v>938</v>
      </c>
      <c r="B319" s="58">
        <f t="shared" si="18"/>
        <v>39006</v>
      </c>
      <c r="C319" s="59">
        <f t="shared" si="19"/>
        <v>2006</v>
      </c>
      <c r="D319" s="61">
        <v>10.836399999999999</v>
      </c>
      <c r="E319" s="61">
        <v>10.8765</v>
      </c>
      <c r="F319" s="61">
        <v>10.9406</v>
      </c>
      <c r="H319" s="62" t="s">
        <v>939</v>
      </c>
      <c r="I319" s="58">
        <f t="shared" si="21"/>
        <v>43754</v>
      </c>
      <c r="J319" s="60">
        <f t="shared" si="20"/>
        <v>2019</v>
      </c>
      <c r="K319" s="64">
        <v>19.2135</v>
      </c>
      <c r="L319" s="64">
        <v>19.251999999999999</v>
      </c>
      <c r="M319" s="64">
        <v>19.2652</v>
      </c>
    </row>
    <row r="320" spans="1:13">
      <c r="A320" s="65" t="s">
        <v>940</v>
      </c>
      <c r="B320" s="66">
        <f t="shared" si="18"/>
        <v>39007</v>
      </c>
      <c r="C320" s="67">
        <f t="shared" si="19"/>
        <v>2006</v>
      </c>
      <c r="D320" s="68">
        <v>10.8703</v>
      </c>
      <c r="E320" s="68">
        <v>10.836399999999999</v>
      </c>
      <c r="F320" s="68">
        <v>10.8765</v>
      </c>
      <c r="H320" s="69" t="s">
        <v>941</v>
      </c>
      <c r="I320" s="66">
        <f t="shared" si="21"/>
        <v>43755</v>
      </c>
      <c r="J320" s="70">
        <f t="shared" si="20"/>
        <v>2019</v>
      </c>
      <c r="K320" s="71">
        <v>19.1602</v>
      </c>
      <c r="L320" s="71">
        <v>19.2135</v>
      </c>
      <c r="M320" s="71">
        <v>19.251999999999999</v>
      </c>
    </row>
    <row r="321" spans="1:13">
      <c r="A321" s="57" t="s">
        <v>942</v>
      </c>
      <c r="B321" s="58">
        <f t="shared" si="18"/>
        <v>39008</v>
      </c>
      <c r="C321" s="59">
        <f t="shared" si="19"/>
        <v>2006</v>
      </c>
      <c r="D321" s="61">
        <v>10.825699999999999</v>
      </c>
      <c r="E321" s="61">
        <v>10.8703</v>
      </c>
      <c r="F321" s="61">
        <v>10.836399999999999</v>
      </c>
      <c r="H321" s="62" t="s">
        <v>943</v>
      </c>
      <c r="I321" s="58">
        <f t="shared" si="21"/>
        <v>43756</v>
      </c>
      <c r="J321" s="60">
        <f t="shared" si="20"/>
        <v>2019</v>
      </c>
      <c r="K321" s="64">
        <v>19.1492</v>
      </c>
      <c r="L321" s="64">
        <v>19.1602</v>
      </c>
      <c r="M321" s="64">
        <v>19.2135</v>
      </c>
    </row>
    <row r="322" spans="1:13">
      <c r="A322" s="65" t="s">
        <v>944</v>
      </c>
      <c r="B322" s="66">
        <f t="shared" si="18"/>
        <v>39009</v>
      </c>
      <c r="C322" s="67">
        <f t="shared" si="19"/>
        <v>2006</v>
      </c>
      <c r="D322" s="68">
        <v>10.805999999999999</v>
      </c>
      <c r="E322" s="68">
        <v>10.825699999999999</v>
      </c>
      <c r="F322" s="68">
        <v>10.8703</v>
      </c>
      <c r="H322" s="69" t="s">
        <v>945</v>
      </c>
      <c r="I322" s="66">
        <f t="shared" si="21"/>
        <v>43757</v>
      </c>
      <c r="J322" s="70">
        <f t="shared" si="20"/>
        <v>2019</v>
      </c>
      <c r="K322" s="72" t="s">
        <v>362</v>
      </c>
      <c r="L322" s="72" t="s">
        <v>362</v>
      </c>
      <c r="M322" s="71">
        <v>19.1602</v>
      </c>
    </row>
    <row r="323" spans="1:13">
      <c r="A323" s="57" t="s">
        <v>946</v>
      </c>
      <c r="B323" s="58">
        <f t="shared" si="18"/>
        <v>39010</v>
      </c>
      <c r="C323" s="59">
        <f t="shared" si="19"/>
        <v>2006</v>
      </c>
      <c r="D323" s="61">
        <v>10.8169</v>
      </c>
      <c r="E323" s="61">
        <v>10.805999999999999</v>
      </c>
      <c r="F323" s="61">
        <v>10.825699999999999</v>
      </c>
      <c r="H323" s="62" t="s">
        <v>947</v>
      </c>
      <c r="I323" s="58">
        <f t="shared" si="21"/>
        <v>43758</v>
      </c>
      <c r="J323" s="60">
        <f t="shared" si="20"/>
        <v>2019</v>
      </c>
      <c r="K323" s="63" t="s">
        <v>362</v>
      </c>
      <c r="L323" s="63" t="s">
        <v>362</v>
      </c>
      <c r="M323" s="64">
        <v>19.1602</v>
      </c>
    </row>
    <row r="324" spans="1:13">
      <c r="A324" s="65" t="s">
        <v>948</v>
      </c>
      <c r="B324" s="66">
        <f t="shared" si="18"/>
        <v>39011</v>
      </c>
      <c r="C324" s="67">
        <f t="shared" si="19"/>
        <v>2006</v>
      </c>
      <c r="D324" s="70" t="s">
        <v>362</v>
      </c>
      <c r="E324" s="70" t="s">
        <v>362</v>
      </c>
      <c r="F324" s="68">
        <v>10.805999999999999</v>
      </c>
      <c r="H324" s="69" t="s">
        <v>949</v>
      </c>
      <c r="I324" s="66">
        <f t="shared" si="21"/>
        <v>43759</v>
      </c>
      <c r="J324" s="70">
        <f t="shared" si="20"/>
        <v>2019</v>
      </c>
      <c r="K324" s="71">
        <v>19.142199999999999</v>
      </c>
      <c r="L324" s="71">
        <v>19.1492</v>
      </c>
      <c r="M324" s="71">
        <v>19.1602</v>
      </c>
    </row>
    <row r="325" spans="1:13">
      <c r="A325" s="57" t="s">
        <v>950</v>
      </c>
      <c r="B325" s="58">
        <f t="shared" si="18"/>
        <v>39012</v>
      </c>
      <c r="C325" s="59">
        <f t="shared" si="19"/>
        <v>2006</v>
      </c>
      <c r="D325" s="60" t="s">
        <v>362</v>
      </c>
      <c r="E325" s="60" t="s">
        <v>362</v>
      </c>
      <c r="F325" s="61">
        <v>10.805999999999999</v>
      </c>
      <c r="H325" s="62" t="s">
        <v>951</v>
      </c>
      <c r="I325" s="58">
        <f t="shared" si="21"/>
        <v>43760</v>
      </c>
      <c r="J325" s="60">
        <f t="shared" si="20"/>
        <v>2019</v>
      </c>
      <c r="K325" s="64">
        <v>19.105</v>
      </c>
      <c r="L325" s="64">
        <v>19.142199999999999</v>
      </c>
      <c r="M325" s="64">
        <v>19.1492</v>
      </c>
    </row>
    <row r="326" spans="1:13">
      <c r="A326" s="65" t="s">
        <v>952</v>
      </c>
      <c r="B326" s="66">
        <f t="shared" si="18"/>
        <v>39013</v>
      </c>
      <c r="C326" s="67">
        <f t="shared" si="19"/>
        <v>2006</v>
      </c>
      <c r="D326" s="68">
        <v>10.8489</v>
      </c>
      <c r="E326" s="68">
        <v>10.8169</v>
      </c>
      <c r="F326" s="68">
        <v>10.805999999999999</v>
      </c>
      <c r="H326" s="69" t="s">
        <v>953</v>
      </c>
      <c r="I326" s="66">
        <f t="shared" si="21"/>
        <v>43761</v>
      </c>
      <c r="J326" s="70">
        <f t="shared" si="20"/>
        <v>2019</v>
      </c>
      <c r="K326" s="71">
        <v>19.125800000000002</v>
      </c>
      <c r="L326" s="71">
        <v>19.105</v>
      </c>
      <c r="M326" s="71">
        <v>19.142199999999999</v>
      </c>
    </row>
    <row r="327" spans="1:13">
      <c r="A327" s="57" t="s">
        <v>954</v>
      </c>
      <c r="B327" s="58">
        <f t="shared" si="18"/>
        <v>39014</v>
      </c>
      <c r="C327" s="59">
        <f t="shared" si="19"/>
        <v>2006</v>
      </c>
      <c r="D327" s="61">
        <v>10.828900000000001</v>
      </c>
      <c r="E327" s="61">
        <v>10.8489</v>
      </c>
      <c r="F327" s="61">
        <v>10.8169</v>
      </c>
      <c r="H327" s="62" t="s">
        <v>955</v>
      </c>
      <c r="I327" s="58">
        <f t="shared" si="21"/>
        <v>43762</v>
      </c>
      <c r="J327" s="60">
        <f t="shared" si="20"/>
        <v>2019</v>
      </c>
      <c r="K327" s="64">
        <v>19.087800000000001</v>
      </c>
      <c r="L327" s="64">
        <v>19.125800000000002</v>
      </c>
      <c r="M327" s="64">
        <v>19.105</v>
      </c>
    </row>
    <row r="328" spans="1:13">
      <c r="A328" s="65" t="s">
        <v>956</v>
      </c>
      <c r="B328" s="66">
        <f t="shared" si="18"/>
        <v>39015</v>
      </c>
      <c r="C328" s="67">
        <f t="shared" si="19"/>
        <v>2006</v>
      </c>
      <c r="D328" s="68">
        <v>10.7918</v>
      </c>
      <c r="E328" s="68">
        <v>10.828900000000001</v>
      </c>
      <c r="F328" s="68">
        <v>10.8489</v>
      </c>
      <c r="H328" s="69" t="s">
        <v>957</v>
      </c>
      <c r="I328" s="66">
        <f t="shared" si="21"/>
        <v>43763</v>
      </c>
      <c r="J328" s="70">
        <f t="shared" si="20"/>
        <v>2019</v>
      </c>
      <c r="K328" s="71">
        <v>19.082000000000001</v>
      </c>
      <c r="L328" s="71">
        <v>19.087800000000001</v>
      </c>
      <c r="M328" s="71">
        <v>19.125800000000002</v>
      </c>
    </row>
    <row r="329" spans="1:13">
      <c r="A329" s="57" t="s">
        <v>958</v>
      </c>
      <c r="B329" s="58">
        <f t="shared" si="18"/>
        <v>39016</v>
      </c>
      <c r="C329" s="59">
        <f t="shared" si="19"/>
        <v>2006</v>
      </c>
      <c r="D329" s="61">
        <v>10.731299999999999</v>
      </c>
      <c r="E329" s="61">
        <v>10.7918</v>
      </c>
      <c r="F329" s="61">
        <v>10.828900000000001</v>
      </c>
      <c r="H329" s="62" t="s">
        <v>959</v>
      </c>
      <c r="I329" s="58">
        <f t="shared" si="21"/>
        <v>43764</v>
      </c>
      <c r="J329" s="60">
        <f t="shared" si="20"/>
        <v>2019</v>
      </c>
      <c r="K329" s="63" t="s">
        <v>362</v>
      </c>
      <c r="L329" s="63" t="s">
        <v>362</v>
      </c>
      <c r="M329" s="64">
        <v>19.087800000000001</v>
      </c>
    </row>
    <row r="330" spans="1:13">
      <c r="A330" s="65" t="s">
        <v>960</v>
      </c>
      <c r="B330" s="66">
        <f t="shared" si="18"/>
        <v>39017</v>
      </c>
      <c r="C330" s="67">
        <f t="shared" si="19"/>
        <v>2006</v>
      </c>
      <c r="D330" s="68">
        <v>10.709300000000001</v>
      </c>
      <c r="E330" s="68">
        <v>10.731299999999999</v>
      </c>
      <c r="F330" s="68">
        <v>10.7918</v>
      </c>
      <c r="H330" s="69" t="s">
        <v>961</v>
      </c>
      <c r="I330" s="66">
        <f t="shared" si="21"/>
        <v>43765</v>
      </c>
      <c r="J330" s="70">
        <f t="shared" si="20"/>
        <v>2019</v>
      </c>
      <c r="K330" s="72" t="s">
        <v>362</v>
      </c>
      <c r="L330" s="72" t="s">
        <v>362</v>
      </c>
      <c r="M330" s="71">
        <v>19.087800000000001</v>
      </c>
    </row>
    <row r="331" spans="1:13">
      <c r="A331" s="57" t="s">
        <v>962</v>
      </c>
      <c r="B331" s="58">
        <f t="shared" si="18"/>
        <v>39018</v>
      </c>
      <c r="C331" s="59">
        <f t="shared" si="19"/>
        <v>2006</v>
      </c>
      <c r="D331" s="60" t="s">
        <v>362</v>
      </c>
      <c r="E331" s="60" t="s">
        <v>362</v>
      </c>
      <c r="F331" s="61">
        <v>10.731299999999999</v>
      </c>
      <c r="H331" s="62" t="s">
        <v>963</v>
      </c>
      <c r="I331" s="58">
        <f t="shared" si="21"/>
        <v>43766</v>
      </c>
      <c r="J331" s="60">
        <f t="shared" si="20"/>
        <v>2019</v>
      </c>
      <c r="K331" s="64">
        <v>19.054300000000001</v>
      </c>
      <c r="L331" s="64">
        <v>19.082000000000001</v>
      </c>
      <c r="M331" s="64">
        <v>19.087800000000001</v>
      </c>
    </row>
    <row r="332" spans="1:13">
      <c r="A332" s="65" t="s">
        <v>964</v>
      </c>
      <c r="B332" s="66">
        <f t="shared" si="18"/>
        <v>39019</v>
      </c>
      <c r="C332" s="67">
        <f t="shared" si="19"/>
        <v>2006</v>
      </c>
      <c r="D332" s="70" t="s">
        <v>362</v>
      </c>
      <c r="E332" s="70" t="s">
        <v>362</v>
      </c>
      <c r="F332" s="68">
        <v>10.731299999999999</v>
      </c>
      <c r="H332" s="69" t="s">
        <v>965</v>
      </c>
      <c r="I332" s="66">
        <f t="shared" si="21"/>
        <v>43767</v>
      </c>
      <c r="J332" s="70">
        <f t="shared" si="20"/>
        <v>2019</v>
      </c>
      <c r="K332" s="71">
        <v>19.116700000000002</v>
      </c>
      <c r="L332" s="71">
        <v>19.054300000000001</v>
      </c>
      <c r="M332" s="71">
        <v>19.082000000000001</v>
      </c>
    </row>
    <row r="333" spans="1:13">
      <c r="A333" s="57" t="s">
        <v>966</v>
      </c>
      <c r="B333" s="58">
        <f t="shared" si="18"/>
        <v>39020</v>
      </c>
      <c r="C333" s="59">
        <f t="shared" si="19"/>
        <v>2006</v>
      </c>
      <c r="D333" s="61">
        <v>10.773999999999999</v>
      </c>
      <c r="E333" s="61">
        <v>10.709300000000001</v>
      </c>
      <c r="F333" s="61">
        <v>10.731299999999999</v>
      </c>
      <c r="H333" s="62" t="s">
        <v>967</v>
      </c>
      <c r="I333" s="58">
        <f t="shared" si="21"/>
        <v>43768</v>
      </c>
      <c r="J333" s="60">
        <f t="shared" si="20"/>
        <v>2019</v>
      </c>
      <c r="K333" s="64">
        <v>19.164300000000001</v>
      </c>
      <c r="L333" s="64">
        <v>19.116700000000002</v>
      </c>
      <c r="M333" s="64">
        <v>19.054300000000001</v>
      </c>
    </row>
    <row r="334" spans="1:13">
      <c r="A334" s="65" t="s">
        <v>968</v>
      </c>
      <c r="B334" s="66">
        <f t="shared" si="18"/>
        <v>39021</v>
      </c>
      <c r="C334" s="67">
        <f t="shared" si="19"/>
        <v>2006</v>
      </c>
      <c r="D334" s="68">
        <v>10.763999999999999</v>
      </c>
      <c r="E334" s="68">
        <v>10.773999999999999</v>
      </c>
      <c r="F334" s="68">
        <v>10.709300000000001</v>
      </c>
      <c r="H334" s="69" t="s">
        <v>969</v>
      </c>
      <c r="I334" s="66">
        <f t="shared" si="21"/>
        <v>43769</v>
      </c>
      <c r="J334" s="70">
        <f t="shared" si="20"/>
        <v>2019</v>
      </c>
      <c r="K334" s="71">
        <v>19.194800000000001</v>
      </c>
      <c r="L334" s="71">
        <v>19.164300000000001</v>
      </c>
      <c r="M334" s="71">
        <v>19.116700000000002</v>
      </c>
    </row>
    <row r="335" spans="1:13">
      <c r="A335" s="57" t="s">
        <v>970</v>
      </c>
      <c r="B335" s="58">
        <f t="shared" si="18"/>
        <v>39022</v>
      </c>
      <c r="C335" s="59">
        <f t="shared" si="19"/>
        <v>2006</v>
      </c>
      <c r="D335" s="61">
        <v>10.744899999999999</v>
      </c>
      <c r="E335" s="61">
        <v>10.763999999999999</v>
      </c>
      <c r="F335" s="61">
        <v>10.773999999999999</v>
      </c>
      <c r="H335" s="62" t="s">
        <v>971</v>
      </c>
      <c r="I335" s="58">
        <f t="shared" si="21"/>
        <v>43770</v>
      </c>
      <c r="J335" s="60">
        <f t="shared" si="20"/>
        <v>2019</v>
      </c>
      <c r="K335" s="64">
        <v>19.105799999999999</v>
      </c>
      <c r="L335" s="64">
        <v>19.194800000000001</v>
      </c>
      <c r="M335" s="64">
        <v>19.164300000000001</v>
      </c>
    </row>
    <row r="336" spans="1:13">
      <c r="A336" s="65" t="s">
        <v>972</v>
      </c>
      <c r="B336" s="66">
        <f t="shared" si="18"/>
        <v>39023</v>
      </c>
      <c r="C336" s="67">
        <f t="shared" si="19"/>
        <v>2006</v>
      </c>
      <c r="D336" s="70" t="s">
        <v>362</v>
      </c>
      <c r="E336" s="70" t="s">
        <v>362</v>
      </c>
      <c r="F336" s="68">
        <v>10.763999999999999</v>
      </c>
      <c r="H336" s="69" t="s">
        <v>973</v>
      </c>
      <c r="I336" s="66">
        <f t="shared" si="21"/>
        <v>43771</v>
      </c>
      <c r="J336" s="70">
        <f t="shared" si="20"/>
        <v>2019</v>
      </c>
      <c r="K336" s="72" t="s">
        <v>362</v>
      </c>
      <c r="L336" s="72" t="s">
        <v>362</v>
      </c>
      <c r="M336" s="71">
        <v>19.194800000000001</v>
      </c>
    </row>
    <row r="337" spans="1:13">
      <c r="A337" s="57" t="s">
        <v>974</v>
      </c>
      <c r="B337" s="58">
        <f t="shared" si="18"/>
        <v>39024</v>
      </c>
      <c r="C337" s="59">
        <f t="shared" si="19"/>
        <v>2006</v>
      </c>
      <c r="D337" s="61">
        <v>10.7948</v>
      </c>
      <c r="E337" s="61">
        <v>10.744899999999999</v>
      </c>
      <c r="F337" s="61">
        <v>10.763999999999999</v>
      </c>
      <c r="H337" s="62" t="s">
        <v>975</v>
      </c>
      <c r="I337" s="58">
        <f t="shared" si="21"/>
        <v>43772</v>
      </c>
      <c r="J337" s="60">
        <f t="shared" si="20"/>
        <v>2019</v>
      </c>
      <c r="K337" s="63" t="s">
        <v>362</v>
      </c>
      <c r="L337" s="63" t="s">
        <v>362</v>
      </c>
      <c r="M337" s="64">
        <v>19.194800000000001</v>
      </c>
    </row>
    <row r="338" spans="1:13">
      <c r="A338" s="65" t="s">
        <v>976</v>
      </c>
      <c r="B338" s="66">
        <f t="shared" si="18"/>
        <v>39025</v>
      </c>
      <c r="C338" s="67">
        <f t="shared" si="19"/>
        <v>2006</v>
      </c>
      <c r="D338" s="70" t="s">
        <v>362</v>
      </c>
      <c r="E338" s="70" t="s">
        <v>362</v>
      </c>
      <c r="F338" s="68">
        <v>10.744899999999999</v>
      </c>
      <c r="H338" s="69" t="s">
        <v>977</v>
      </c>
      <c r="I338" s="66">
        <f t="shared" si="21"/>
        <v>43773</v>
      </c>
      <c r="J338" s="70">
        <f t="shared" si="20"/>
        <v>2019</v>
      </c>
      <c r="K338" s="71">
        <v>19.1525</v>
      </c>
      <c r="L338" s="71">
        <v>19.105799999999999</v>
      </c>
      <c r="M338" s="71">
        <v>19.194800000000001</v>
      </c>
    </row>
    <row r="339" spans="1:13">
      <c r="A339" s="57" t="s">
        <v>978</v>
      </c>
      <c r="B339" s="58">
        <f t="shared" si="18"/>
        <v>39026</v>
      </c>
      <c r="C339" s="59">
        <f t="shared" si="19"/>
        <v>2006</v>
      </c>
      <c r="D339" s="60" t="s">
        <v>362</v>
      </c>
      <c r="E339" s="60" t="s">
        <v>362</v>
      </c>
      <c r="F339" s="61">
        <v>10.744899999999999</v>
      </c>
      <c r="H339" s="62" t="s">
        <v>979</v>
      </c>
      <c r="I339" s="58">
        <f t="shared" si="21"/>
        <v>43774</v>
      </c>
      <c r="J339" s="60">
        <f t="shared" si="20"/>
        <v>2019</v>
      </c>
      <c r="K339" s="64">
        <v>19.212499999999999</v>
      </c>
      <c r="L339" s="64">
        <v>19.1525</v>
      </c>
      <c r="M339" s="64">
        <v>19.105799999999999</v>
      </c>
    </row>
    <row r="340" spans="1:13">
      <c r="A340" s="65" t="s">
        <v>980</v>
      </c>
      <c r="B340" s="66">
        <f t="shared" si="18"/>
        <v>39027</v>
      </c>
      <c r="C340" s="67">
        <f t="shared" si="19"/>
        <v>2006</v>
      </c>
      <c r="D340" s="68">
        <v>10.8344</v>
      </c>
      <c r="E340" s="68">
        <v>10.7948</v>
      </c>
      <c r="F340" s="68">
        <v>10.744899999999999</v>
      </c>
      <c r="H340" s="69" t="s">
        <v>981</v>
      </c>
      <c r="I340" s="66">
        <f t="shared" si="21"/>
        <v>43775</v>
      </c>
      <c r="J340" s="70">
        <f t="shared" si="20"/>
        <v>2019</v>
      </c>
      <c r="K340" s="71">
        <v>19.1953</v>
      </c>
      <c r="L340" s="71">
        <v>19.212499999999999</v>
      </c>
      <c r="M340" s="71">
        <v>19.1525</v>
      </c>
    </row>
    <row r="341" spans="1:13">
      <c r="A341" s="57" t="s">
        <v>982</v>
      </c>
      <c r="B341" s="58">
        <f t="shared" si="18"/>
        <v>39028</v>
      </c>
      <c r="C341" s="59">
        <f t="shared" si="19"/>
        <v>2006</v>
      </c>
      <c r="D341" s="61">
        <v>10.82</v>
      </c>
      <c r="E341" s="61">
        <v>10.8344</v>
      </c>
      <c r="F341" s="61">
        <v>10.7948</v>
      </c>
      <c r="H341" s="62" t="s">
        <v>983</v>
      </c>
      <c r="I341" s="58">
        <f t="shared" si="21"/>
        <v>43776</v>
      </c>
      <c r="J341" s="60">
        <f t="shared" si="20"/>
        <v>2019</v>
      </c>
      <c r="K341" s="64">
        <v>19.1327</v>
      </c>
      <c r="L341" s="64">
        <v>19.1953</v>
      </c>
      <c r="M341" s="64">
        <v>19.212499999999999</v>
      </c>
    </row>
    <row r="342" spans="1:13">
      <c r="A342" s="65" t="s">
        <v>984</v>
      </c>
      <c r="B342" s="66">
        <f t="shared" si="18"/>
        <v>39029</v>
      </c>
      <c r="C342" s="67">
        <f t="shared" si="19"/>
        <v>2006</v>
      </c>
      <c r="D342" s="68">
        <v>10.8598</v>
      </c>
      <c r="E342" s="68">
        <v>10.82</v>
      </c>
      <c r="F342" s="68">
        <v>10.8344</v>
      </c>
      <c r="H342" s="69" t="s">
        <v>985</v>
      </c>
      <c r="I342" s="66">
        <f t="shared" si="21"/>
        <v>43777</v>
      </c>
      <c r="J342" s="70">
        <f t="shared" si="20"/>
        <v>2019</v>
      </c>
      <c r="K342" s="71">
        <v>19.1068</v>
      </c>
      <c r="L342" s="71">
        <v>19.1327</v>
      </c>
      <c r="M342" s="71">
        <v>19.1953</v>
      </c>
    </row>
    <row r="343" spans="1:13">
      <c r="A343" s="57" t="s">
        <v>986</v>
      </c>
      <c r="B343" s="58">
        <f t="shared" si="18"/>
        <v>39030</v>
      </c>
      <c r="C343" s="59">
        <f t="shared" si="19"/>
        <v>2006</v>
      </c>
      <c r="D343" s="61">
        <v>10.863200000000001</v>
      </c>
      <c r="E343" s="61">
        <v>10.8598</v>
      </c>
      <c r="F343" s="61">
        <v>10.82</v>
      </c>
      <c r="H343" s="62" t="s">
        <v>987</v>
      </c>
      <c r="I343" s="58">
        <f t="shared" si="21"/>
        <v>43778</v>
      </c>
      <c r="J343" s="60">
        <f t="shared" si="20"/>
        <v>2019</v>
      </c>
      <c r="K343" s="63" t="s">
        <v>362</v>
      </c>
      <c r="L343" s="63" t="s">
        <v>362</v>
      </c>
      <c r="M343" s="64">
        <v>19.1327</v>
      </c>
    </row>
    <row r="344" spans="1:13">
      <c r="A344" s="65" t="s">
        <v>988</v>
      </c>
      <c r="B344" s="66">
        <f t="shared" si="18"/>
        <v>39031</v>
      </c>
      <c r="C344" s="67">
        <f t="shared" si="19"/>
        <v>2006</v>
      </c>
      <c r="D344" s="68">
        <v>10.915800000000001</v>
      </c>
      <c r="E344" s="68">
        <v>10.863200000000001</v>
      </c>
      <c r="F344" s="68">
        <v>10.8598</v>
      </c>
      <c r="H344" s="69" t="s">
        <v>989</v>
      </c>
      <c r="I344" s="66">
        <f t="shared" si="21"/>
        <v>43779</v>
      </c>
      <c r="J344" s="70">
        <f t="shared" si="20"/>
        <v>2019</v>
      </c>
      <c r="K344" s="72" t="s">
        <v>362</v>
      </c>
      <c r="L344" s="72" t="s">
        <v>362</v>
      </c>
      <c r="M344" s="71">
        <v>19.1327</v>
      </c>
    </row>
    <row r="345" spans="1:13">
      <c r="A345" s="57" t="s">
        <v>990</v>
      </c>
      <c r="B345" s="58">
        <f t="shared" si="18"/>
        <v>39032</v>
      </c>
      <c r="C345" s="59">
        <f t="shared" si="19"/>
        <v>2006</v>
      </c>
      <c r="D345" s="60" t="s">
        <v>362</v>
      </c>
      <c r="E345" s="60" t="s">
        <v>362</v>
      </c>
      <c r="F345" s="61">
        <v>10.863200000000001</v>
      </c>
      <c r="H345" s="62" t="s">
        <v>991</v>
      </c>
      <c r="I345" s="58">
        <f t="shared" si="21"/>
        <v>43780</v>
      </c>
      <c r="J345" s="60">
        <f t="shared" si="20"/>
        <v>2019</v>
      </c>
      <c r="K345" s="64">
        <v>19.109000000000002</v>
      </c>
      <c r="L345" s="64">
        <v>19.1068</v>
      </c>
      <c r="M345" s="64">
        <v>19.1327</v>
      </c>
    </row>
    <row r="346" spans="1:13">
      <c r="A346" s="65" t="s">
        <v>992</v>
      </c>
      <c r="B346" s="66">
        <f t="shared" si="18"/>
        <v>39033</v>
      </c>
      <c r="C346" s="67">
        <f t="shared" si="19"/>
        <v>2006</v>
      </c>
      <c r="D346" s="70" t="s">
        <v>362</v>
      </c>
      <c r="E346" s="70" t="s">
        <v>362</v>
      </c>
      <c r="F346" s="68">
        <v>10.863200000000001</v>
      </c>
      <c r="H346" s="69" t="s">
        <v>993</v>
      </c>
      <c r="I346" s="66">
        <f t="shared" si="21"/>
        <v>43781</v>
      </c>
      <c r="J346" s="70">
        <f t="shared" si="20"/>
        <v>2019</v>
      </c>
      <c r="K346" s="71">
        <v>19.2178</v>
      </c>
      <c r="L346" s="71">
        <v>19.109000000000002</v>
      </c>
      <c r="M346" s="71">
        <v>19.1068</v>
      </c>
    </row>
    <row r="347" spans="1:13">
      <c r="A347" s="57" t="s">
        <v>994</v>
      </c>
      <c r="B347" s="58">
        <f t="shared" si="18"/>
        <v>39034</v>
      </c>
      <c r="C347" s="59">
        <f t="shared" si="19"/>
        <v>2006</v>
      </c>
      <c r="D347" s="61">
        <v>10.926299999999999</v>
      </c>
      <c r="E347" s="61">
        <v>10.915800000000001</v>
      </c>
      <c r="F347" s="61">
        <v>10.863200000000001</v>
      </c>
      <c r="H347" s="62" t="s">
        <v>995</v>
      </c>
      <c r="I347" s="58">
        <f t="shared" si="21"/>
        <v>43782</v>
      </c>
      <c r="J347" s="60">
        <f t="shared" si="20"/>
        <v>2019</v>
      </c>
      <c r="K347" s="64">
        <v>19.4543</v>
      </c>
      <c r="L347" s="64">
        <v>19.2178</v>
      </c>
      <c r="M347" s="64">
        <v>19.109000000000002</v>
      </c>
    </row>
    <row r="348" spans="1:13">
      <c r="A348" s="65" t="s">
        <v>996</v>
      </c>
      <c r="B348" s="66">
        <f t="shared" si="18"/>
        <v>39035</v>
      </c>
      <c r="C348" s="67">
        <f t="shared" si="19"/>
        <v>2006</v>
      </c>
      <c r="D348" s="68">
        <v>10.8675</v>
      </c>
      <c r="E348" s="68">
        <v>10.926299999999999</v>
      </c>
      <c r="F348" s="68">
        <v>10.915800000000001</v>
      </c>
      <c r="H348" s="69" t="s">
        <v>997</v>
      </c>
      <c r="I348" s="66">
        <f t="shared" si="21"/>
        <v>43783</v>
      </c>
      <c r="J348" s="70">
        <f t="shared" si="20"/>
        <v>2019</v>
      </c>
      <c r="K348" s="71">
        <v>19.422799999999999</v>
      </c>
      <c r="L348" s="71">
        <v>19.4543</v>
      </c>
      <c r="M348" s="71">
        <v>19.2178</v>
      </c>
    </row>
    <row r="349" spans="1:13">
      <c r="A349" s="57" t="s">
        <v>998</v>
      </c>
      <c r="B349" s="58">
        <f t="shared" si="18"/>
        <v>39036</v>
      </c>
      <c r="C349" s="59">
        <f t="shared" si="19"/>
        <v>2006</v>
      </c>
      <c r="D349" s="61">
        <v>10.859500000000001</v>
      </c>
      <c r="E349" s="61">
        <v>10.8675</v>
      </c>
      <c r="F349" s="61">
        <v>10.926299999999999</v>
      </c>
      <c r="H349" s="62" t="s">
        <v>999</v>
      </c>
      <c r="I349" s="58">
        <f t="shared" si="21"/>
        <v>43784</v>
      </c>
      <c r="J349" s="60">
        <f t="shared" si="20"/>
        <v>2019</v>
      </c>
      <c r="K349" s="64">
        <v>19.206299999999999</v>
      </c>
      <c r="L349" s="64">
        <v>19.422799999999999</v>
      </c>
      <c r="M349" s="64">
        <v>19.4543</v>
      </c>
    </row>
    <row r="350" spans="1:13">
      <c r="A350" s="65" t="s">
        <v>1000</v>
      </c>
      <c r="B350" s="66">
        <f t="shared" si="18"/>
        <v>39037</v>
      </c>
      <c r="C350" s="67">
        <f t="shared" si="19"/>
        <v>2006</v>
      </c>
      <c r="D350" s="68">
        <v>10.8527</v>
      </c>
      <c r="E350" s="68">
        <v>10.859500000000001</v>
      </c>
      <c r="F350" s="68">
        <v>10.8675</v>
      </c>
      <c r="H350" s="69" t="s">
        <v>1001</v>
      </c>
      <c r="I350" s="66">
        <f t="shared" si="21"/>
        <v>43785</v>
      </c>
      <c r="J350" s="70">
        <f t="shared" si="20"/>
        <v>2019</v>
      </c>
      <c r="K350" s="72" t="s">
        <v>362</v>
      </c>
      <c r="L350" s="72" t="s">
        <v>362</v>
      </c>
      <c r="M350" s="71">
        <v>19.422799999999999</v>
      </c>
    </row>
    <row r="351" spans="1:13">
      <c r="A351" s="57" t="s">
        <v>1002</v>
      </c>
      <c r="B351" s="58">
        <f t="shared" ref="B351:B414" si="22">DATE(RIGHT(A351,4),LEFT(RIGHT(A351,7),2),LEFT(A351,2))</f>
        <v>39038</v>
      </c>
      <c r="C351" s="59">
        <f t="shared" ref="C351:C414" si="23">YEAR(B351)</f>
        <v>2006</v>
      </c>
      <c r="D351" s="61">
        <v>10.952400000000001</v>
      </c>
      <c r="E351" s="61">
        <v>10.8527</v>
      </c>
      <c r="F351" s="61">
        <v>10.859500000000001</v>
      </c>
      <c r="H351" s="62" t="s">
        <v>1003</v>
      </c>
      <c r="I351" s="58">
        <f t="shared" si="21"/>
        <v>43786</v>
      </c>
      <c r="J351" s="60">
        <f t="shared" ref="J351:J414" si="24">YEAR(I351)</f>
        <v>2019</v>
      </c>
      <c r="K351" s="63" t="s">
        <v>362</v>
      </c>
      <c r="L351" s="63" t="s">
        <v>362</v>
      </c>
      <c r="M351" s="64">
        <v>19.422799999999999</v>
      </c>
    </row>
    <row r="352" spans="1:13">
      <c r="A352" s="65" t="s">
        <v>1004</v>
      </c>
      <c r="B352" s="66">
        <f t="shared" si="22"/>
        <v>39039</v>
      </c>
      <c r="C352" s="67">
        <f t="shared" si="23"/>
        <v>2006</v>
      </c>
      <c r="D352" s="70" t="s">
        <v>362</v>
      </c>
      <c r="E352" s="70" t="s">
        <v>362</v>
      </c>
      <c r="F352" s="68">
        <v>10.8527</v>
      </c>
      <c r="H352" s="69" t="s">
        <v>1005</v>
      </c>
      <c r="I352" s="66">
        <f t="shared" ref="I352:I415" si="25">DATE(RIGHT(H352,4),LEFT(RIGHT(A352,7),2),LEFT(A352,2))</f>
        <v>43787</v>
      </c>
      <c r="J352" s="70">
        <f t="shared" si="24"/>
        <v>2019</v>
      </c>
      <c r="K352" s="72" t="s">
        <v>362</v>
      </c>
      <c r="L352" s="72" t="s">
        <v>362</v>
      </c>
      <c r="M352" s="71">
        <v>19.422799999999999</v>
      </c>
    </row>
    <row r="353" spans="1:13">
      <c r="A353" s="57" t="s">
        <v>1006</v>
      </c>
      <c r="B353" s="58">
        <f t="shared" si="22"/>
        <v>39040</v>
      </c>
      <c r="C353" s="59">
        <f t="shared" si="23"/>
        <v>2006</v>
      </c>
      <c r="D353" s="60" t="s">
        <v>362</v>
      </c>
      <c r="E353" s="60" t="s">
        <v>362</v>
      </c>
      <c r="F353" s="61">
        <v>10.8527</v>
      </c>
      <c r="H353" s="62" t="s">
        <v>1007</v>
      </c>
      <c r="I353" s="58">
        <f t="shared" si="25"/>
        <v>43788</v>
      </c>
      <c r="J353" s="60">
        <f t="shared" si="24"/>
        <v>2019</v>
      </c>
      <c r="K353" s="64">
        <v>19.3687</v>
      </c>
      <c r="L353" s="64">
        <v>19.206299999999999</v>
      </c>
      <c r="M353" s="64">
        <v>19.422799999999999</v>
      </c>
    </row>
    <row r="354" spans="1:13">
      <c r="A354" s="65" t="s">
        <v>1008</v>
      </c>
      <c r="B354" s="66">
        <f t="shared" si="22"/>
        <v>39041</v>
      </c>
      <c r="C354" s="67">
        <f t="shared" si="23"/>
        <v>2006</v>
      </c>
      <c r="D354" s="70" t="s">
        <v>362</v>
      </c>
      <c r="E354" s="70" t="s">
        <v>362</v>
      </c>
      <c r="F354" s="68">
        <v>10.8527</v>
      </c>
      <c r="H354" s="69" t="s">
        <v>1009</v>
      </c>
      <c r="I354" s="66">
        <f t="shared" si="25"/>
        <v>43789</v>
      </c>
      <c r="J354" s="70">
        <f t="shared" si="24"/>
        <v>2019</v>
      </c>
      <c r="K354" s="71">
        <v>19.48</v>
      </c>
      <c r="L354" s="71">
        <v>19.3687</v>
      </c>
      <c r="M354" s="71">
        <v>19.206299999999999</v>
      </c>
    </row>
    <row r="355" spans="1:13">
      <c r="A355" s="57" t="s">
        <v>1010</v>
      </c>
      <c r="B355" s="58">
        <f t="shared" si="22"/>
        <v>39042</v>
      </c>
      <c r="C355" s="59">
        <f t="shared" si="23"/>
        <v>2006</v>
      </c>
      <c r="D355" s="61">
        <v>11.0021</v>
      </c>
      <c r="E355" s="61">
        <v>10.952400000000001</v>
      </c>
      <c r="F355" s="61">
        <v>10.8527</v>
      </c>
      <c r="H355" s="62" t="s">
        <v>1011</v>
      </c>
      <c r="I355" s="58">
        <f t="shared" si="25"/>
        <v>43790</v>
      </c>
      <c r="J355" s="60">
        <f t="shared" si="24"/>
        <v>2019</v>
      </c>
      <c r="K355" s="64">
        <v>19.413799999999998</v>
      </c>
      <c r="L355" s="64">
        <v>19.48</v>
      </c>
      <c r="M355" s="64">
        <v>19.3687</v>
      </c>
    </row>
    <row r="356" spans="1:13">
      <c r="A356" s="65" t="s">
        <v>1012</v>
      </c>
      <c r="B356" s="66">
        <f t="shared" si="22"/>
        <v>39043</v>
      </c>
      <c r="C356" s="67">
        <f t="shared" si="23"/>
        <v>2006</v>
      </c>
      <c r="D356" s="68">
        <v>10.9756</v>
      </c>
      <c r="E356" s="68">
        <v>11.0021</v>
      </c>
      <c r="F356" s="68">
        <v>10.952400000000001</v>
      </c>
      <c r="H356" s="69" t="s">
        <v>1013</v>
      </c>
      <c r="I356" s="66">
        <f t="shared" si="25"/>
        <v>43791</v>
      </c>
      <c r="J356" s="70">
        <f t="shared" si="24"/>
        <v>2019</v>
      </c>
      <c r="K356" s="71">
        <v>19.398700000000002</v>
      </c>
      <c r="L356" s="71">
        <v>19.413799999999998</v>
      </c>
      <c r="M356" s="71">
        <v>19.48</v>
      </c>
    </row>
    <row r="357" spans="1:13">
      <c r="A357" s="57" t="s">
        <v>1014</v>
      </c>
      <c r="B357" s="58">
        <f t="shared" si="22"/>
        <v>39044</v>
      </c>
      <c r="C357" s="59">
        <f t="shared" si="23"/>
        <v>2006</v>
      </c>
      <c r="D357" s="61">
        <v>10.9682</v>
      </c>
      <c r="E357" s="61">
        <v>10.9756</v>
      </c>
      <c r="F357" s="61">
        <v>11.0021</v>
      </c>
      <c r="H357" s="62" t="s">
        <v>1015</v>
      </c>
      <c r="I357" s="58">
        <f t="shared" si="25"/>
        <v>43792</v>
      </c>
      <c r="J357" s="60">
        <f t="shared" si="24"/>
        <v>2019</v>
      </c>
      <c r="K357" s="63" t="s">
        <v>362</v>
      </c>
      <c r="L357" s="63" t="s">
        <v>362</v>
      </c>
      <c r="M357" s="64">
        <v>19.413799999999998</v>
      </c>
    </row>
    <row r="358" spans="1:13">
      <c r="A358" s="65" t="s">
        <v>1016</v>
      </c>
      <c r="B358" s="66">
        <f t="shared" si="22"/>
        <v>39045</v>
      </c>
      <c r="C358" s="67">
        <f t="shared" si="23"/>
        <v>2006</v>
      </c>
      <c r="D358" s="68">
        <v>11.0242</v>
      </c>
      <c r="E358" s="68">
        <v>10.9682</v>
      </c>
      <c r="F358" s="68">
        <v>10.9756</v>
      </c>
      <c r="H358" s="69" t="s">
        <v>1017</v>
      </c>
      <c r="I358" s="66">
        <f t="shared" si="25"/>
        <v>43793</v>
      </c>
      <c r="J358" s="70">
        <f t="shared" si="24"/>
        <v>2019</v>
      </c>
      <c r="K358" s="72" t="s">
        <v>362</v>
      </c>
      <c r="L358" s="72" t="s">
        <v>362</v>
      </c>
      <c r="M358" s="71">
        <v>19.413799999999998</v>
      </c>
    </row>
    <row r="359" spans="1:13">
      <c r="A359" s="57" t="s">
        <v>1018</v>
      </c>
      <c r="B359" s="58">
        <f t="shared" si="22"/>
        <v>39046</v>
      </c>
      <c r="C359" s="59">
        <f t="shared" si="23"/>
        <v>2006</v>
      </c>
      <c r="D359" s="60" t="s">
        <v>362</v>
      </c>
      <c r="E359" s="60" t="s">
        <v>362</v>
      </c>
      <c r="F359" s="61">
        <v>10.9682</v>
      </c>
      <c r="H359" s="62" t="s">
        <v>1019</v>
      </c>
      <c r="I359" s="58">
        <f t="shared" si="25"/>
        <v>43794</v>
      </c>
      <c r="J359" s="60">
        <f t="shared" si="24"/>
        <v>2019</v>
      </c>
      <c r="K359" s="64">
        <v>19.4468</v>
      </c>
      <c r="L359" s="64">
        <v>19.398700000000002</v>
      </c>
      <c r="M359" s="64">
        <v>19.413799999999998</v>
      </c>
    </row>
    <row r="360" spans="1:13">
      <c r="A360" s="65" t="s">
        <v>1020</v>
      </c>
      <c r="B360" s="66">
        <f t="shared" si="22"/>
        <v>39047</v>
      </c>
      <c r="C360" s="67">
        <f t="shared" si="23"/>
        <v>2006</v>
      </c>
      <c r="D360" s="70" t="s">
        <v>362</v>
      </c>
      <c r="E360" s="70" t="s">
        <v>362</v>
      </c>
      <c r="F360" s="68">
        <v>10.9682</v>
      </c>
      <c r="H360" s="69" t="s">
        <v>1021</v>
      </c>
      <c r="I360" s="66">
        <f t="shared" si="25"/>
        <v>43795</v>
      </c>
      <c r="J360" s="70">
        <f t="shared" si="24"/>
        <v>2019</v>
      </c>
      <c r="K360" s="71">
        <v>19.5185</v>
      </c>
      <c r="L360" s="71">
        <v>19.4468</v>
      </c>
      <c r="M360" s="71">
        <v>19.398700000000002</v>
      </c>
    </row>
    <row r="361" spans="1:13">
      <c r="A361" s="57" t="s">
        <v>1022</v>
      </c>
      <c r="B361" s="58">
        <f t="shared" si="22"/>
        <v>39048</v>
      </c>
      <c r="C361" s="59">
        <f t="shared" si="23"/>
        <v>2006</v>
      </c>
      <c r="D361" s="61">
        <v>11.052</v>
      </c>
      <c r="E361" s="61">
        <v>11.0242</v>
      </c>
      <c r="F361" s="61">
        <v>10.9682</v>
      </c>
      <c r="H361" s="62" t="s">
        <v>1023</v>
      </c>
      <c r="I361" s="58">
        <f t="shared" si="25"/>
        <v>43796</v>
      </c>
      <c r="J361" s="60">
        <f t="shared" si="24"/>
        <v>2019</v>
      </c>
      <c r="K361" s="64">
        <v>19.560700000000001</v>
      </c>
      <c r="L361" s="64">
        <v>19.5185</v>
      </c>
      <c r="M361" s="64">
        <v>19.4468</v>
      </c>
    </row>
    <row r="362" spans="1:13">
      <c r="A362" s="65" t="s">
        <v>1024</v>
      </c>
      <c r="B362" s="66">
        <f t="shared" si="22"/>
        <v>39049</v>
      </c>
      <c r="C362" s="67">
        <f t="shared" si="23"/>
        <v>2006</v>
      </c>
      <c r="D362" s="68">
        <v>11.045400000000001</v>
      </c>
      <c r="E362" s="68">
        <v>11.052</v>
      </c>
      <c r="F362" s="68">
        <v>11.0242</v>
      </c>
      <c r="H362" s="69" t="s">
        <v>1025</v>
      </c>
      <c r="I362" s="66">
        <f t="shared" si="25"/>
        <v>43797</v>
      </c>
      <c r="J362" s="70">
        <f t="shared" si="24"/>
        <v>2019</v>
      </c>
      <c r="K362" s="71">
        <v>19.6113</v>
      </c>
      <c r="L362" s="71">
        <v>19.560700000000001</v>
      </c>
      <c r="M362" s="71">
        <v>19.5185</v>
      </c>
    </row>
    <row r="363" spans="1:13">
      <c r="A363" s="57" t="s">
        <v>1026</v>
      </c>
      <c r="B363" s="58">
        <f t="shared" si="22"/>
        <v>39050</v>
      </c>
      <c r="C363" s="59">
        <f t="shared" si="23"/>
        <v>2006</v>
      </c>
      <c r="D363" s="61">
        <v>10.9983</v>
      </c>
      <c r="E363" s="61">
        <v>11.045400000000001</v>
      </c>
      <c r="F363" s="61">
        <v>11.052</v>
      </c>
      <c r="H363" s="62" t="s">
        <v>1027</v>
      </c>
      <c r="I363" s="58">
        <f t="shared" si="25"/>
        <v>43798</v>
      </c>
      <c r="J363" s="60">
        <f t="shared" si="24"/>
        <v>2019</v>
      </c>
      <c r="K363" s="64">
        <v>19.5352</v>
      </c>
      <c r="L363" s="64">
        <v>19.6113</v>
      </c>
      <c r="M363" s="64">
        <v>19.560700000000001</v>
      </c>
    </row>
    <row r="364" spans="1:13">
      <c r="A364" s="65" t="s">
        <v>1028</v>
      </c>
      <c r="B364" s="66">
        <f t="shared" si="22"/>
        <v>39051</v>
      </c>
      <c r="C364" s="67">
        <f t="shared" si="23"/>
        <v>2006</v>
      </c>
      <c r="D364" s="68">
        <v>10.9975</v>
      </c>
      <c r="E364" s="68">
        <v>10.9983</v>
      </c>
      <c r="F364" s="68">
        <v>11.045400000000001</v>
      </c>
      <c r="H364" s="69" t="s">
        <v>1029</v>
      </c>
      <c r="I364" s="66">
        <f t="shared" si="25"/>
        <v>43799</v>
      </c>
      <c r="J364" s="70">
        <f t="shared" si="24"/>
        <v>2019</v>
      </c>
      <c r="K364" s="72" t="s">
        <v>362</v>
      </c>
      <c r="L364" s="72" t="s">
        <v>362</v>
      </c>
      <c r="M364" s="71">
        <v>19.6113</v>
      </c>
    </row>
    <row r="365" spans="1:13">
      <c r="A365" s="57" t="s">
        <v>1030</v>
      </c>
      <c r="B365" s="58">
        <f t="shared" si="22"/>
        <v>39052</v>
      </c>
      <c r="C365" s="59">
        <f t="shared" si="23"/>
        <v>2006</v>
      </c>
      <c r="D365" s="60" t="s">
        <v>362</v>
      </c>
      <c r="E365" s="60" t="s">
        <v>362</v>
      </c>
      <c r="F365" s="61">
        <v>10.9983</v>
      </c>
      <c r="H365" s="62" t="s">
        <v>1031</v>
      </c>
      <c r="I365" s="58">
        <f t="shared" si="25"/>
        <v>43800</v>
      </c>
      <c r="J365" s="60">
        <f t="shared" si="24"/>
        <v>2019</v>
      </c>
      <c r="K365" s="63" t="s">
        <v>362</v>
      </c>
      <c r="L365" s="63" t="s">
        <v>362</v>
      </c>
      <c r="M365" s="64">
        <v>19.6113</v>
      </c>
    </row>
    <row r="366" spans="1:13">
      <c r="A366" s="65" t="s">
        <v>1032</v>
      </c>
      <c r="B366" s="66">
        <f t="shared" si="22"/>
        <v>39053</v>
      </c>
      <c r="C366" s="67">
        <f t="shared" si="23"/>
        <v>2006</v>
      </c>
      <c r="D366" s="70" t="s">
        <v>362</v>
      </c>
      <c r="E366" s="70" t="s">
        <v>362</v>
      </c>
      <c r="F366" s="68">
        <v>10.9983</v>
      </c>
      <c r="H366" s="69" t="s">
        <v>1033</v>
      </c>
      <c r="I366" s="66">
        <f t="shared" si="25"/>
        <v>43801</v>
      </c>
      <c r="J366" s="70">
        <f t="shared" si="24"/>
        <v>2019</v>
      </c>
      <c r="K366" s="71">
        <v>19.5717</v>
      </c>
      <c r="L366" s="71">
        <v>19.5352</v>
      </c>
      <c r="M366" s="71">
        <v>19.6113</v>
      </c>
    </row>
    <row r="367" spans="1:13">
      <c r="A367" s="57" t="s">
        <v>1034</v>
      </c>
      <c r="B367" s="58">
        <f t="shared" si="22"/>
        <v>39054</v>
      </c>
      <c r="C367" s="59">
        <f t="shared" si="23"/>
        <v>2006</v>
      </c>
      <c r="D367" s="60" t="s">
        <v>362</v>
      </c>
      <c r="E367" s="60" t="s">
        <v>362</v>
      </c>
      <c r="F367" s="61">
        <v>10.9983</v>
      </c>
      <c r="H367" s="62" t="s">
        <v>1035</v>
      </c>
      <c r="I367" s="58">
        <f t="shared" si="25"/>
        <v>43802</v>
      </c>
      <c r="J367" s="60">
        <f t="shared" si="24"/>
        <v>2019</v>
      </c>
      <c r="K367" s="64">
        <v>19.567799999999998</v>
      </c>
      <c r="L367" s="64">
        <v>19.5717</v>
      </c>
      <c r="M367" s="64">
        <v>19.5352</v>
      </c>
    </row>
    <row r="368" spans="1:13">
      <c r="A368" s="65" t="s">
        <v>1036</v>
      </c>
      <c r="B368" s="66">
        <f t="shared" si="22"/>
        <v>39055</v>
      </c>
      <c r="C368" s="67">
        <f t="shared" si="23"/>
        <v>2006</v>
      </c>
      <c r="D368" s="68">
        <v>10.9595</v>
      </c>
      <c r="E368" s="68">
        <v>10.9975</v>
      </c>
      <c r="F368" s="68">
        <v>10.9983</v>
      </c>
      <c r="H368" s="69" t="s">
        <v>1037</v>
      </c>
      <c r="I368" s="66">
        <f t="shared" si="25"/>
        <v>43803</v>
      </c>
      <c r="J368" s="70">
        <f t="shared" si="24"/>
        <v>2019</v>
      </c>
      <c r="K368" s="71">
        <v>19.470700000000001</v>
      </c>
      <c r="L368" s="71">
        <v>19.567799999999998</v>
      </c>
      <c r="M368" s="71">
        <v>19.5717</v>
      </c>
    </row>
    <row r="369" spans="1:13">
      <c r="A369" s="57" t="s">
        <v>1038</v>
      </c>
      <c r="B369" s="58">
        <f t="shared" si="22"/>
        <v>39056</v>
      </c>
      <c r="C369" s="59">
        <f t="shared" si="23"/>
        <v>2006</v>
      </c>
      <c r="D369" s="61">
        <v>10.894</v>
      </c>
      <c r="E369" s="61">
        <v>10.9595</v>
      </c>
      <c r="F369" s="61">
        <v>10.9975</v>
      </c>
      <c r="H369" s="62" t="s">
        <v>1039</v>
      </c>
      <c r="I369" s="58">
        <f t="shared" si="25"/>
        <v>43804</v>
      </c>
      <c r="J369" s="60">
        <f t="shared" si="24"/>
        <v>2019</v>
      </c>
      <c r="K369" s="64">
        <v>19.3688</v>
      </c>
      <c r="L369" s="64">
        <v>19.470700000000001</v>
      </c>
      <c r="M369" s="64">
        <v>19.567799999999998</v>
      </c>
    </row>
    <row r="370" spans="1:13">
      <c r="A370" s="65" t="s">
        <v>1040</v>
      </c>
      <c r="B370" s="66">
        <f t="shared" si="22"/>
        <v>39057</v>
      </c>
      <c r="C370" s="67">
        <f t="shared" si="23"/>
        <v>2006</v>
      </c>
      <c r="D370" s="68">
        <v>10.862</v>
      </c>
      <c r="E370" s="68">
        <v>10.894</v>
      </c>
      <c r="F370" s="68">
        <v>10.9595</v>
      </c>
      <c r="H370" s="69" t="s">
        <v>1041</v>
      </c>
      <c r="I370" s="66">
        <f t="shared" si="25"/>
        <v>43805</v>
      </c>
      <c r="J370" s="70">
        <f t="shared" si="24"/>
        <v>2019</v>
      </c>
      <c r="K370" s="71">
        <v>19.3247</v>
      </c>
      <c r="L370" s="71">
        <v>19.3688</v>
      </c>
      <c r="M370" s="71">
        <v>19.470700000000001</v>
      </c>
    </row>
    <row r="371" spans="1:13">
      <c r="A371" s="57" t="s">
        <v>1042</v>
      </c>
      <c r="B371" s="58">
        <f t="shared" si="22"/>
        <v>39058</v>
      </c>
      <c r="C371" s="59">
        <f t="shared" si="23"/>
        <v>2006</v>
      </c>
      <c r="D371" s="61">
        <v>10.8558</v>
      </c>
      <c r="E371" s="61">
        <v>10.862</v>
      </c>
      <c r="F371" s="61">
        <v>10.894</v>
      </c>
      <c r="H371" s="62" t="s">
        <v>1043</v>
      </c>
      <c r="I371" s="58">
        <f t="shared" si="25"/>
        <v>43806</v>
      </c>
      <c r="J371" s="60">
        <f t="shared" si="24"/>
        <v>2019</v>
      </c>
      <c r="K371" s="63" t="s">
        <v>362</v>
      </c>
      <c r="L371" s="63" t="s">
        <v>362</v>
      </c>
      <c r="M371" s="64">
        <v>19.3688</v>
      </c>
    </row>
    <row r="372" spans="1:13">
      <c r="A372" s="65" t="s">
        <v>1044</v>
      </c>
      <c r="B372" s="66">
        <f t="shared" si="22"/>
        <v>39059</v>
      </c>
      <c r="C372" s="67">
        <f t="shared" si="23"/>
        <v>2006</v>
      </c>
      <c r="D372" s="68">
        <v>10.8606</v>
      </c>
      <c r="E372" s="68">
        <v>10.8558</v>
      </c>
      <c r="F372" s="68">
        <v>10.862</v>
      </c>
      <c r="H372" s="69" t="s">
        <v>1045</v>
      </c>
      <c r="I372" s="66">
        <f t="shared" si="25"/>
        <v>43807</v>
      </c>
      <c r="J372" s="70">
        <f t="shared" si="24"/>
        <v>2019</v>
      </c>
      <c r="K372" s="72" t="s">
        <v>362</v>
      </c>
      <c r="L372" s="72" t="s">
        <v>362</v>
      </c>
      <c r="M372" s="71">
        <v>19.3688</v>
      </c>
    </row>
    <row r="373" spans="1:13">
      <c r="A373" s="57" t="s">
        <v>1046</v>
      </c>
      <c r="B373" s="58">
        <f t="shared" si="22"/>
        <v>39060</v>
      </c>
      <c r="C373" s="59">
        <f t="shared" si="23"/>
        <v>2006</v>
      </c>
      <c r="D373" s="60" t="s">
        <v>362</v>
      </c>
      <c r="E373" s="60" t="s">
        <v>362</v>
      </c>
      <c r="F373" s="61">
        <v>10.8558</v>
      </c>
      <c r="H373" s="62" t="s">
        <v>1047</v>
      </c>
      <c r="I373" s="58">
        <f t="shared" si="25"/>
        <v>43808</v>
      </c>
      <c r="J373" s="60">
        <f t="shared" si="24"/>
        <v>2019</v>
      </c>
      <c r="K373" s="64">
        <v>19.2302</v>
      </c>
      <c r="L373" s="64">
        <v>19.3247</v>
      </c>
      <c r="M373" s="64">
        <v>19.3688</v>
      </c>
    </row>
    <row r="374" spans="1:13">
      <c r="A374" s="65" t="s">
        <v>1048</v>
      </c>
      <c r="B374" s="66">
        <f t="shared" si="22"/>
        <v>39061</v>
      </c>
      <c r="C374" s="67">
        <f t="shared" si="23"/>
        <v>2006</v>
      </c>
      <c r="D374" s="70" t="s">
        <v>362</v>
      </c>
      <c r="E374" s="70" t="s">
        <v>362</v>
      </c>
      <c r="F374" s="68">
        <v>10.8558</v>
      </c>
      <c r="H374" s="69" t="s">
        <v>1049</v>
      </c>
      <c r="I374" s="66">
        <f t="shared" si="25"/>
        <v>43809</v>
      </c>
      <c r="J374" s="70">
        <f t="shared" si="24"/>
        <v>2019</v>
      </c>
      <c r="K374" s="71">
        <v>19.2362</v>
      </c>
      <c r="L374" s="71">
        <v>19.2302</v>
      </c>
      <c r="M374" s="71">
        <v>19.3247</v>
      </c>
    </row>
    <row r="375" spans="1:13">
      <c r="A375" s="57" t="s">
        <v>1050</v>
      </c>
      <c r="B375" s="58">
        <f t="shared" si="22"/>
        <v>39062</v>
      </c>
      <c r="C375" s="59">
        <f t="shared" si="23"/>
        <v>2006</v>
      </c>
      <c r="D375" s="61">
        <v>10.8375</v>
      </c>
      <c r="E375" s="61">
        <v>10.8606</v>
      </c>
      <c r="F375" s="61">
        <v>10.8558</v>
      </c>
      <c r="H375" s="62" t="s">
        <v>1051</v>
      </c>
      <c r="I375" s="58">
        <f t="shared" si="25"/>
        <v>43810</v>
      </c>
      <c r="J375" s="60">
        <f t="shared" si="24"/>
        <v>2019</v>
      </c>
      <c r="K375" s="64">
        <v>19.1785</v>
      </c>
      <c r="L375" s="64">
        <v>19.2362</v>
      </c>
      <c r="M375" s="64">
        <v>19.2302</v>
      </c>
    </row>
    <row r="376" spans="1:13">
      <c r="A376" s="65" t="s">
        <v>1052</v>
      </c>
      <c r="B376" s="66">
        <f t="shared" si="22"/>
        <v>39063</v>
      </c>
      <c r="C376" s="67">
        <f t="shared" si="23"/>
        <v>2006</v>
      </c>
      <c r="D376" s="70" t="s">
        <v>362</v>
      </c>
      <c r="E376" s="70" t="s">
        <v>362</v>
      </c>
      <c r="F376" s="68">
        <v>10.8606</v>
      </c>
      <c r="H376" s="69" t="s">
        <v>1053</v>
      </c>
      <c r="I376" s="66">
        <f t="shared" si="25"/>
        <v>43811</v>
      </c>
      <c r="J376" s="70">
        <f t="shared" si="24"/>
        <v>2019</v>
      </c>
      <c r="K376" s="72" t="s">
        <v>362</v>
      </c>
      <c r="L376" s="72" t="s">
        <v>362</v>
      </c>
      <c r="M376" s="71">
        <v>19.2362</v>
      </c>
    </row>
    <row r="377" spans="1:13">
      <c r="A377" s="57" t="s">
        <v>1054</v>
      </c>
      <c r="B377" s="58">
        <f t="shared" si="22"/>
        <v>39064</v>
      </c>
      <c r="C377" s="59">
        <f t="shared" si="23"/>
        <v>2006</v>
      </c>
      <c r="D377" s="61">
        <v>10.8255</v>
      </c>
      <c r="E377" s="61">
        <v>10.8375</v>
      </c>
      <c r="F377" s="61">
        <v>10.8606</v>
      </c>
      <c r="H377" s="62" t="s">
        <v>1055</v>
      </c>
      <c r="I377" s="58">
        <f t="shared" si="25"/>
        <v>43812</v>
      </c>
      <c r="J377" s="60">
        <f t="shared" si="24"/>
        <v>2019</v>
      </c>
      <c r="K377" s="64">
        <v>19.045500000000001</v>
      </c>
      <c r="L377" s="64">
        <v>19.1785</v>
      </c>
      <c r="M377" s="64">
        <v>19.2362</v>
      </c>
    </row>
    <row r="378" spans="1:13">
      <c r="A378" s="65" t="s">
        <v>1056</v>
      </c>
      <c r="B378" s="66">
        <f t="shared" si="22"/>
        <v>39065</v>
      </c>
      <c r="C378" s="67">
        <f t="shared" si="23"/>
        <v>2006</v>
      </c>
      <c r="D378" s="68">
        <v>10.792199999999999</v>
      </c>
      <c r="E378" s="68">
        <v>10.8255</v>
      </c>
      <c r="F378" s="68">
        <v>10.8375</v>
      </c>
      <c r="H378" s="69" t="s">
        <v>1057</v>
      </c>
      <c r="I378" s="66">
        <f t="shared" si="25"/>
        <v>43813</v>
      </c>
      <c r="J378" s="70">
        <f t="shared" si="24"/>
        <v>2019</v>
      </c>
      <c r="K378" s="72" t="s">
        <v>362</v>
      </c>
      <c r="L378" s="72" t="s">
        <v>362</v>
      </c>
      <c r="M378" s="71">
        <v>19.1785</v>
      </c>
    </row>
    <row r="379" spans="1:13">
      <c r="A379" s="57" t="s">
        <v>1058</v>
      </c>
      <c r="B379" s="58">
        <f t="shared" si="22"/>
        <v>39066</v>
      </c>
      <c r="C379" s="59">
        <f t="shared" si="23"/>
        <v>2006</v>
      </c>
      <c r="D379" s="61">
        <v>10.773999999999999</v>
      </c>
      <c r="E379" s="61">
        <v>10.792199999999999</v>
      </c>
      <c r="F379" s="61">
        <v>10.8255</v>
      </c>
      <c r="H379" s="62" t="s">
        <v>1059</v>
      </c>
      <c r="I379" s="58">
        <f t="shared" si="25"/>
        <v>43814</v>
      </c>
      <c r="J379" s="60">
        <f t="shared" si="24"/>
        <v>2019</v>
      </c>
      <c r="K379" s="63" t="s">
        <v>362</v>
      </c>
      <c r="L379" s="63" t="s">
        <v>362</v>
      </c>
      <c r="M379" s="64">
        <v>19.1785</v>
      </c>
    </row>
    <row r="380" spans="1:13">
      <c r="A380" s="65" t="s">
        <v>1060</v>
      </c>
      <c r="B380" s="66">
        <f t="shared" si="22"/>
        <v>39067</v>
      </c>
      <c r="C380" s="67">
        <f t="shared" si="23"/>
        <v>2006</v>
      </c>
      <c r="D380" s="70" t="s">
        <v>362</v>
      </c>
      <c r="E380" s="70" t="s">
        <v>362</v>
      </c>
      <c r="F380" s="68">
        <v>10.792199999999999</v>
      </c>
      <c r="H380" s="69" t="s">
        <v>1061</v>
      </c>
      <c r="I380" s="66">
        <f t="shared" si="25"/>
        <v>43815</v>
      </c>
      <c r="J380" s="70">
        <f t="shared" si="24"/>
        <v>2019</v>
      </c>
      <c r="K380" s="71">
        <v>18.970199999999998</v>
      </c>
      <c r="L380" s="71">
        <v>19.045500000000001</v>
      </c>
      <c r="M380" s="71">
        <v>19.1785</v>
      </c>
    </row>
    <row r="381" spans="1:13">
      <c r="A381" s="57" t="s">
        <v>1062</v>
      </c>
      <c r="B381" s="58">
        <f t="shared" si="22"/>
        <v>39068</v>
      </c>
      <c r="C381" s="59">
        <f t="shared" si="23"/>
        <v>2006</v>
      </c>
      <c r="D381" s="60" t="s">
        <v>362</v>
      </c>
      <c r="E381" s="60" t="s">
        <v>362</v>
      </c>
      <c r="F381" s="61">
        <v>10.792199999999999</v>
      </c>
      <c r="H381" s="62" t="s">
        <v>1063</v>
      </c>
      <c r="I381" s="58">
        <f t="shared" si="25"/>
        <v>43816</v>
      </c>
      <c r="J381" s="60">
        <f t="shared" si="24"/>
        <v>2019</v>
      </c>
      <c r="K381" s="64">
        <v>18.916499999999999</v>
      </c>
      <c r="L381" s="64">
        <v>18.970199999999998</v>
      </c>
      <c r="M381" s="64">
        <v>19.045500000000001</v>
      </c>
    </row>
    <row r="382" spans="1:13">
      <c r="A382" s="65" t="s">
        <v>1064</v>
      </c>
      <c r="B382" s="66">
        <f t="shared" si="22"/>
        <v>39069</v>
      </c>
      <c r="C382" s="67">
        <f t="shared" si="23"/>
        <v>2006</v>
      </c>
      <c r="D382" s="68">
        <v>10.8002</v>
      </c>
      <c r="E382" s="68">
        <v>10.773999999999999</v>
      </c>
      <c r="F382" s="68">
        <v>10.792199999999999</v>
      </c>
      <c r="H382" s="69" t="s">
        <v>1065</v>
      </c>
      <c r="I382" s="66">
        <f t="shared" si="25"/>
        <v>43817</v>
      </c>
      <c r="J382" s="70">
        <f t="shared" si="24"/>
        <v>2019</v>
      </c>
      <c r="K382" s="71">
        <v>18.9542</v>
      </c>
      <c r="L382" s="71">
        <v>18.916499999999999</v>
      </c>
      <c r="M382" s="71">
        <v>18.970199999999998</v>
      </c>
    </row>
    <row r="383" spans="1:13">
      <c r="A383" s="57" t="s">
        <v>1066</v>
      </c>
      <c r="B383" s="58">
        <f t="shared" si="22"/>
        <v>39070</v>
      </c>
      <c r="C383" s="59">
        <f t="shared" si="23"/>
        <v>2006</v>
      </c>
      <c r="D383" s="61">
        <v>10.8492</v>
      </c>
      <c r="E383" s="61">
        <v>10.8002</v>
      </c>
      <c r="F383" s="61">
        <v>10.773999999999999</v>
      </c>
      <c r="H383" s="62" t="s">
        <v>1067</v>
      </c>
      <c r="I383" s="58">
        <f t="shared" si="25"/>
        <v>43818</v>
      </c>
      <c r="J383" s="60">
        <f t="shared" si="24"/>
        <v>2019</v>
      </c>
      <c r="K383" s="64">
        <v>18.963999999999999</v>
      </c>
      <c r="L383" s="64">
        <v>18.9542</v>
      </c>
      <c r="M383" s="64">
        <v>18.916499999999999</v>
      </c>
    </row>
    <row r="384" spans="1:13">
      <c r="A384" s="65" t="s">
        <v>1068</v>
      </c>
      <c r="B384" s="66">
        <f t="shared" si="22"/>
        <v>39071</v>
      </c>
      <c r="C384" s="67">
        <f t="shared" si="23"/>
        <v>2006</v>
      </c>
      <c r="D384" s="68">
        <v>10.807499999999999</v>
      </c>
      <c r="E384" s="68">
        <v>10.8492</v>
      </c>
      <c r="F384" s="68">
        <v>10.8002</v>
      </c>
      <c r="H384" s="69" t="s">
        <v>1069</v>
      </c>
      <c r="I384" s="66">
        <f t="shared" si="25"/>
        <v>43819</v>
      </c>
      <c r="J384" s="70">
        <f t="shared" si="24"/>
        <v>2019</v>
      </c>
      <c r="K384" s="71">
        <v>18.9133</v>
      </c>
      <c r="L384" s="71">
        <v>18.963999999999999</v>
      </c>
      <c r="M384" s="71">
        <v>18.9542</v>
      </c>
    </row>
    <row r="385" spans="1:13">
      <c r="A385" s="57" t="s">
        <v>1070</v>
      </c>
      <c r="B385" s="58">
        <f t="shared" si="22"/>
        <v>39072</v>
      </c>
      <c r="C385" s="59">
        <f t="shared" si="23"/>
        <v>2006</v>
      </c>
      <c r="D385" s="61">
        <v>10.841100000000001</v>
      </c>
      <c r="E385" s="61">
        <v>10.807499999999999</v>
      </c>
      <c r="F385" s="61">
        <v>10.8492</v>
      </c>
      <c r="H385" s="62" t="s">
        <v>1071</v>
      </c>
      <c r="I385" s="58">
        <f t="shared" si="25"/>
        <v>43820</v>
      </c>
      <c r="J385" s="60">
        <f t="shared" si="24"/>
        <v>2019</v>
      </c>
      <c r="K385" s="63" t="s">
        <v>362</v>
      </c>
      <c r="L385" s="63" t="s">
        <v>362</v>
      </c>
      <c r="M385" s="64">
        <v>18.963999999999999</v>
      </c>
    </row>
    <row r="386" spans="1:13">
      <c r="A386" s="65" t="s">
        <v>1072</v>
      </c>
      <c r="B386" s="66">
        <f t="shared" si="22"/>
        <v>39073</v>
      </c>
      <c r="C386" s="67">
        <f t="shared" si="23"/>
        <v>2006</v>
      </c>
      <c r="D386" s="68">
        <v>10.8597</v>
      </c>
      <c r="E386" s="68">
        <v>10.841100000000001</v>
      </c>
      <c r="F386" s="68">
        <v>10.807499999999999</v>
      </c>
      <c r="H386" s="69" t="s">
        <v>1073</v>
      </c>
      <c r="I386" s="66">
        <f t="shared" si="25"/>
        <v>43821</v>
      </c>
      <c r="J386" s="70">
        <f t="shared" si="24"/>
        <v>2019</v>
      </c>
      <c r="K386" s="72" t="s">
        <v>362</v>
      </c>
      <c r="L386" s="72" t="s">
        <v>362</v>
      </c>
      <c r="M386" s="71">
        <v>18.963999999999999</v>
      </c>
    </row>
    <row r="387" spans="1:13">
      <c r="A387" s="57" t="s">
        <v>1074</v>
      </c>
      <c r="B387" s="58">
        <f t="shared" si="22"/>
        <v>39074</v>
      </c>
      <c r="C387" s="59">
        <f t="shared" si="23"/>
        <v>2006</v>
      </c>
      <c r="D387" s="60" t="s">
        <v>362</v>
      </c>
      <c r="E387" s="60" t="s">
        <v>362</v>
      </c>
      <c r="F387" s="61">
        <v>10.841100000000001</v>
      </c>
      <c r="H387" s="62" t="s">
        <v>1075</v>
      </c>
      <c r="I387" s="58">
        <f t="shared" si="25"/>
        <v>43822</v>
      </c>
      <c r="J387" s="60">
        <f t="shared" si="24"/>
        <v>2019</v>
      </c>
      <c r="K387" s="64">
        <v>18.938500000000001</v>
      </c>
      <c r="L387" s="64">
        <v>18.9133</v>
      </c>
      <c r="M387" s="64">
        <v>18.963999999999999</v>
      </c>
    </row>
    <row r="388" spans="1:13">
      <c r="A388" s="65" t="s">
        <v>1076</v>
      </c>
      <c r="B388" s="66">
        <f t="shared" si="22"/>
        <v>39075</v>
      </c>
      <c r="C388" s="67">
        <f t="shared" si="23"/>
        <v>2006</v>
      </c>
      <c r="D388" s="70" t="s">
        <v>362</v>
      </c>
      <c r="E388" s="70" t="s">
        <v>362</v>
      </c>
      <c r="F388" s="68">
        <v>10.841100000000001</v>
      </c>
      <c r="H388" s="69" t="s">
        <v>1077</v>
      </c>
      <c r="I388" s="66">
        <f t="shared" si="25"/>
        <v>43823</v>
      </c>
      <c r="J388" s="70">
        <f t="shared" si="24"/>
        <v>2019</v>
      </c>
      <c r="K388" s="71">
        <v>18.964300000000001</v>
      </c>
      <c r="L388" s="71">
        <v>18.938500000000001</v>
      </c>
      <c r="M388" s="71">
        <v>18.9133</v>
      </c>
    </row>
    <row r="389" spans="1:13">
      <c r="A389" s="57" t="s">
        <v>1078</v>
      </c>
      <c r="B389" s="58">
        <f t="shared" si="22"/>
        <v>39076</v>
      </c>
      <c r="C389" s="59">
        <f t="shared" si="23"/>
        <v>2006</v>
      </c>
      <c r="D389" s="60" t="s">
        <v>362</v>
      </c>
      <c r="E389" s="60" t="s">
        <v>362</v>
      </c>
      <c r="F389" s="61">
        <v>10.841100000000001</v>
      </c>
      <c r="H389" s="62" t="s">
        <v>1079</v>
      </c>
      <c r="I389" s="58">
        <f t="shared" si="25"/>
        <v>43824</v>
      </c>
      <c r="J389" s="60">
        <f t="shared" si="24"/>
        <v>2019</v>
      </c>
      <c r="K389" s="63" t="s">
        <v>362</v>
      </c>
      <c r="L389" s="63" t="s">
        <v>362</v>
      </c>
      <c r="M389" s="64">
        <v>18.938500000000001</v>
      </c>
    </row>
    <row r="390" spans="1:13">
      <c r="A390" s="65" t="s">
        <v>1080</v>
      </c>
      <c r="B390" s="66">
        <f t="shared" si="22"/>
        <v>39077</v>
      </c>
      <c r="C390" s="67">
        <f t="shared" si="23"/>
        <v>2006</v>
      </c>
      <c r="D390" s="68">
        <v>10.874700000000001</v>
      </c>
      <c r="E390" s="68">
        <v>10.8597</v>
      </c>
      <c r="F390" s="68">
        <v>10.841100000000001</v>
      </c>
      <c r="H390" s="69" t="s">
        <v>1081</v>
      </c>
      <c r="I390" s="66">
        <f t="shared" si="25"/>
        <v>43825</v>
      </c>
      <c r="J390" s="70">
        <f t="shared" si="24"/>
        <v>2019</v>
      </c>
      <c r="K390" s="71">
        <v>18.944500000000001</v>
      </c>
      <c r="L390" s="71">
        <v>18.964300000000001</v>
      </c>
      <c r="M390" s="71">
        <v>18.938500000000001</v>
      </c>
    </row>
    <row r="391" spans="1:13">
      <c r="A391" s="57" t="s">
        <v>1082</v>
      </c>
      <c r="B391" s="58">
        <f t="shared" si="22"/>
        <v>39078</v>
      </c>
      <c r="C391" s="59">
        <f t="shared" si="23"/>
        <v>2006</v>
      </c>
      <c r="D391" s="61">
        <v>10.881</v>
      </c>
      <c r="E391" s="61">
        <v>10.874700000000001</v>
      </c>
      <c r="F391" s="61">
        <v>10.8597</v>
      </c>
      <c r="H391" s="62" t="s">
        <v>1083</v>
      </c>
      <c r="I391" s="58">
        <f t="shared" si="25"/>
        <v>43826</v>
      </c>
      <c r="J391" s="60">
        <f t="shared" si="24"/>
        <v>2019</v>
      </c>
      <c r="K391" s="64">
        <v>18.845199999999998</v>
      </c>
      <c r="L391" s="64">
        <v>18.944500000000001</v>
      </c>
      <c r="M391" s="64">
        <v>18.964300000000001</v>
      </c>
    </row>
    <row r="392" spans="1:13">
      <c r="A392" s="65" t="s">
        <v>1084</v>
      </c>
      <c r="B392" s="66">
        <f t="shared" si="22"/>
        <v>39079</v>
      </c>
      <c r="C392" s="67">
        <f t="shared" si="23"/>
        <v>2006</v>
      </c>
      <c r="D392" s="68">
        <v>10.875500000000001</v>
      </c>
      <c r="E392" s="68">
        <v>10.881</v>
      </c>
      <c r="F392" s="68">
        <v>10.874700000000001</v>
      </c>
      <c r="H392" s="69" t="s">
        <v>1085</v>
      </c>
      <c r="I392" s="66">
        <f t="shared" si="25"/>
        <v>43827</v>
      </c>
      <c r="J392" s="70">
        <f t="shared" si="24"/>
        <v>2019</v>
      </c>
      <c r="K392" s="72" t="s">
        <v>362</v>
      </c>
      <c r="L392" s="72" t="s">
        <v>362</v>
      </c>
      <c r="M392" s="71">
        <v>18.944500000000001</v>
      </c>
    </row>
    <row r="393" spans="1:13">
      <c r="A393" s="57" t="s">
        <v>1086</v>
      </c>
      <c r="B393" s="58">
        <f t="shared" si="22"/>
        <v>39080</v>
      </c>
      <c r="C393" s="59">
        <f t="shared" si="23"/>
        <v>2006</v>
      </c>
      <c r="D393" s="61">
        <v>10.8116</v>
      </c>
      <c r="E393" s="61">
        <v>10.875500000000001</v>
      </c>
      <c r="F393" s="61">
        <v>10.881</v>
      </c>
      <c r="H393" s="62" t="s">
        <v>1087</v>
      </c>
      <c r="I393" s="58">
        <f t="shared" si="25"/>
        <v>43828</v>
      </c>
      <c r="J393" s="60">
        <f t="shared" si="24"/>
        <v>2019</v>
      </c>
      <c r="K393" s="63" t="s">
        <v>362</v>
      </c>
      <c r="L393" s="63" t="s">
        <v>362</v>
      </c>
      <c r="M393" s="64">
        <v>18.944500000000001</v>
      </c>
    </row>
    <row r="394" spans="1:13">
      <c r="A394" s="65" t="s">
        <v>1088</v>
      </c>
      <c r="B394" s="66">
        <f t="shared" si="22"/>
        <v>39081</v>
      </c>
      <c r="C394" s="67">
        <f t="shared" si="23"/>
        <v>2006</v>
      </c>
      <c r="D394" s="70" t="s">
        <v>362</v>
      </c>
      <c r="E394" s="70" t="s">
        <v>362</v>
      </c>
      <c r="F394" s="68">
        <v>10.875500000000001</v>
      </c>
      <c r="H394" s="69" t="s">
        <v>1089</v>
      </c>
      <c r="I394" s="66">
        <f t="shared" si="25"/>
        <v>43829</v>
      </c>
      <c r="J394" s="70">
        <f t="shared" si="24"/>
        <v>2019</v>
      </c>
      <c r="K394" s="71">
        <v>18.872699999999998</v>
      </c>
      <c r="L394" s="71">
        <v>18.845199999999998</v>
      </c>
      <c r="M394" s="71">
        <v>18.944500000000001</v>
      </c>
    </row>
    <row r="395" spans="1:13">
      <c r="A395" s="57" t="s">
        <v>1090</v>
      </c>
      <c r="B395" s="58">
        <f t="shared" si="22"/>
        <v>39082</v>
      </c>
      <c r="C395" s="59">
        <f t="shared" si="23"/>
        <v>2006</v>
      </c>
      <c r="D395" s="60" t="s">
        <v>362</v>
      </c>
      <c r="E395" s="60" t="s">
        <v>362</v>
      </c>
      <c r="F395" s="61">
        <v>10.875500000000001</v>
      </c>
      <c r="H395" s="62" t="s">
        <v>1091</v>
      </c>
      <c r="I395" s="58">
        <f t="shared" si="25"/>
        <v>43830</v>
      </c>
      <c r="J395" s="60">
        <f t="shared" si="24"/>
        <v>2019</v>
      </c>
      <c r="K395" s="64">
        <v>18.8642</v>
      </c>
      <c r="L395" s="64">
        <v>18.872699999999998</v>
      </c>
      <c r="M395" s="64">
        <v>18.845199999999998</v>
      </c>
    </row>
    <row r="396" spans="1:13">
      <c r="A396" s="65" t="s">
        <v>1092</v>
      </c>
      <c r="B396" s="66">
        <f t="shared" si="22"/>
        <v>39083</v>
      </c>
      <c r="C396" s="67">
        <f t="shared" si="23"/>
        <v>2007</v>
      </c>
      <c r="D396" s="70" t="s">
        <v>362</v>
      </c>
      <c r="E396" s="70" t="s">
        <v>362</v>
      </c>
      <c r="F396" s="68">
        <v>10.875500000000001</v>
      </c>
      <c r="H396" s="69" t="s">
        <v>1093</v>
      </c>
      <c r="I396" s="66">
        <f t="shared" si="25"/>
        <v>43831</v>
      </c>
      <c r="J396" s="70">
        <f t="shared" si="24"/>
        <v>2020</v>
      </c>
      <c r="K396" s="72" t="s">
        <v>362</v>
      </c>
      <c r="L396" s="72" t="s">
        <v>362</v>
      </c>
      <c r="M396" s="71">
        <v>18.872699999999998</v>
      </c>
    </row>
    <row r="397" spans="1:13">
      <c r="A397" s="57" t="s">
        <v>1094</v>
      </c>
      <c r="B397" s="58">
        <f t="shared" si="22"/>
        <v>39084</v>
      </c>
      <c r="C397" s="59">
        <f t="shared" si="23"/>
        <v>2007</v>
      </c>
      <c r="D397" s="61">
        <v>10.781499999999999</v>
      </c>
      <c r="E397" s="61">
        <v>10.8116</v>
      </c>
      <c r="F397" s="61">
        <v>10.875500000000001</v>
      </c>
      <c r="H397" s="62" t="s">
        <v>1095</v>
      </c>
      <c r="I397" s="58">
        <f t="shared" si="25"/>
        <v>43832</v>
      </c>
      <c r="J397" s="60">
        <f t="shared" si="24"/>
        <v>2020</v>
      </c>
      <c r="K397" s="64">
        <v>18.881699999999999</v>
      </c>
      <c r="L397" s="64">
        <v>18.8642</v>
      </c>
      <c r="M397" s="64">
        <v>18.872699999999998</v>
      </c>
    </row>
    <row r="398" spans="1:13">
      <c r="A398" s="65" t="s">
        <v>1096</v>
      </c>
      <c r="B398" s="66">
        <f t="shared" si="22"/>
        <v>39085</v>
      </c>
      <c r="C398" s="67">
        <f t="shared" si="23"/>
        <v>2007</v>
      </c>
      <c r="D398" s="68">
        <v>10.770799999999999</v>
      </c>
      <c r="E398" s="68">
        <v>10.781499999999999</v>
      </c>
      <c r="F398" s="68">
        <v>10.8116</v>
      </c>
      <c r="H398" s="69" t="s">
        <v>1097</v>
      </c>
      <c r="I398" s="66">
        <f t="shared" si="25"/>
        <v>43833</v>
      </c>
      <c r="J398" s="70">
        <f t="shared" si="24"/>
        <v>2020</v>
      </c>
      <c r="K398" s="71">
        <v>18.8673</v>
      </c>
      <c r="L398" s="71">
        <v>18.881699999999999</v>
      </c>
      <c r="M398" s="71">
        <v>18.8642</v>
      </c>
    </row>
    <row r="399" spans="1:13">
      <c r="A399" s="57" t="s">
        <v>1098</v>
      </c>
      <c r="B399" s="58">
        <f t="shared" si="22"/>
        <v>39086</v>
      </c>
      <c r="C399" s="59">
        <f t="shared" si="23"/>
        <v>2007</v>
      </c>
      <c r="D399" s="61">
        <v>10.865</v>
      </c>
      <c r="E399" s="61">
        <v>10.770799999999999</v>
      </c>
      <c r="F399" s="61">
        <v>10.781499999999999</v>
      </c>
      <c r="H399" s="62" t="s">
        <v>1099</v>
      </c>
      <c r="I399" s="58">
        <f t="shared" si="25"/>
        <v>43834</v>
      </c>
      <c r="J399" s="60">
        <f t="shared" si="24"/>
        <v>2020</v>
      </c>
      <c r="K399" s="63" t="s">
        <v>362</v>
      </c>
      <c r="L399" s="63" t="s">
        <v>362</v>
      </c>
      <c r="M399" s="64">
        <v>18.881699999999999</v>
      </c>
    </row>
    <row r="400" spans="1:13">
      <c r="A400" s="65" t="s">
        <v>1100</v>
      </c>
      <c r="B400" s="66">
        <f t="shared" si="22"/>
        <v>39087</v>
      </c>
      <c r="C400" s="67">
        <f t="shared" si="23"/>
        <v>2007</v>
      </c>
      <c r="D400" s="68">
        <v>10.935499999999999</v>
      </c>
      <c r="E400" s="68">
        <v>10.865</v>
      </c>
      <c r="F400" s="68">
        <v>10.770799999999999</v>
      </c>
      <c r="H400" s="69" t="s">
        <v>1101</v>
      </c>
      <c r="I400" s="66">
        <f t="shared" si="25"/>
        <v>43835</v>
      </c>
      <c r="J400" s="70">
        <f t="shared" si="24"/>
        <v>2020</v>
      </c>
      <c r="K400" s="72" t="s">
        <v>362</v>
      </c>
      <c r="L400" s="72" t="s">
        <v>362</v>
      </c>
      <c r="M400" s="71">
        <v>18.881699999999999</v>
      </c>
    </row>
    <row r="401" spans="1:13">
      <c r="A401" s="57" t="s">
        <v>1102</v>
      </c>
      <c r="B401" s="58">
        <f t="shared" si="22"/>
        <v>39088</v>
      </c>
      <c r="C401" s="59">
        <f t="shared" si="23"/>
        <v>2007</v>
      </c>
      <c r="D401" s="60" t="s">
        <v>362</v>
      </c>
      <c r="E401" s="60" t="s">
        <v>362</v>
      </c>
      <c r="F401" s="61">
        <v>10.865</v>
      </c>
      <c r="H401" s="62" t="s">
        <v>1103</v>
      </c>
      <c r="I401" s="58">
        <f t="shared" si="25"/>
        <v>43836</v>
      </c>
      <c r="J401" s="60">
        <f t="shared" si="24"/>
        <v>2020</v>
      </c>
      <c r="K401" s="64">
        <v>18.827000000000002</v>
      </c>
      <c r="L401" s="64">
        <v>18.8673</v>
      </c>
      <c r="M401" s="64">
        <v>18.881699999999999</v>
      </c>
    </row>
    <row r="402" spans="1:13">
      <c r="A402" s="65" t="s">
        <v>1104</v>
      </c>
      <c r="B402" s="66">
        <f t="shared" si="22"/>
        <v>39089</v>
      </c>
      <c r="C402" s="67">
        <f t="shared" si="23"/>
        <v>2007</v>
      </c>
      <c r="D402" s="70" t="s">
        <v>362</v>
      </c>
      <c r="E402" s="70" t="s">
        <v>362</v>
      </c>
      <c r="F402" s="68">
        <v>10.865</v>
      </c>
      <c r="H402" s="69" t="s">
        <v>1105</v>
      </c>
      <c r="I402" s="66">
        <f t="shared" si="25"/>
        <v>43837</v>
      </c>
      <c r="J402" s="70">
        <f t="shared" si="24"/>
        <v>2020</v>
      </c>
      <c r="K402" s="71">
        <v>18.885200000000001</v>
      </c>
      <c r="L402" s="71">
        <v>18.827000000000002</v>
      </c>
      <c r="M402" s="71">
        <v>18.8673</v>
      </c>
    </row>
    <row r="403" spans="1:13">
      <c r="A403" s="57" t="s">
        <v>1106</v>
      </c>
      <c r="B403" s="58">
        <f t="shared" si="22"/>
        <v>39090</v>
      </c>
      <c r="C403" s="59">
        <f t="shared" si="23"/>
        <v>2007</v>
      </c>
      <c r="D403" s="61">
        <v>10.970499999999999</v>
      </c>
      <c r="E403" s="61">
        <v>10.935499999999999</v>
      </c>
      <c r="F403" s="61">
        <v>10.865</v>
      </c>
      <c r="H403" s="62" t="s">
        <v>1107</v>
      </c>
      <c r="I403" s="58">
        <f t="shared" si="25"/>
        <v>43838</v>
      </c>
      <c r="J403" s="60">
        <f t="shared" si="24"/>
        <v>2020</v>
      </c>
      <c r="K403" s="64">
        <v>18.797999999999998</v>
      </c>
      <c r="L403" s="64">
        <v>18.885200000000001</v>
      </c>
      <c r="M403" s="64">
        <v>18.827000000000002</v>
      </c>
    </row>
    <row r="404" spans="1:13">
      <c r="A404" s="65" t="s">
        <v>1108</v>
      </c>
      <c r="B404" s="66">
        <f t="shared" si="22"/>
        <v>39091</v>
      </c>
      <c r="C404" s="67">
        <f t="shared" si="23"/>
        <v>2007</v>
      </c>
      <c r="D404" s="68">
        <v>11.0091</v>
      </c>
      <c r="E404" s="68">
        <v>10.970499999999999</v>
      </c>
      <c r="F404" s="68">
        <v>10.935499999999999</v>
      </c>
      <c r="H404" s="69" t="s">
        <v>1109</v>
      </c>
      <c r="I404" s="66">
        <f t="shared" si="25"/>
        <v>43839</v>
      </c>
      <c r="J404" s="70">
        <f t="shared" si="24"/>
        <v>2020</v>
      </c>
      <c r="K404" s="71">
        <v>18.845300000000002</v>
      </c>
      <c r="L404" s="71">
        <v>18.797999999999998</v>
      </c>
      <c r="M404" s="71">
        <v>18.885200000000001</v>
      </c>
    </row>
    <row r="405" spans="1:13">
      <c r="A405" s="57" t="s">
        <v>1110</v>
      </c>
      <c r="B405" s="58">
        <f t="shared" si="22"/>
        <v>39092</v>
      </c>
      <c r="C405" s="59">
        <f t="shared" si="23"/>
        <v>2007</v>
      </c>
      <c r="D405" s="61">
        <v>11.033300000000001</v>
      </c>
      <c r="E405" s="61">
        <v>11.0091</v>
      </c>
      <c r="F405" s="61">
        <v>10.970499999999999</v>
      </c>
      <c r="H405" s="62" t="s">
        <v>1111</v>
      </c>
      <c r="I405" s="58">
        <f t="shared" si="25"/>
        <v>43840</v>
      </c>
      <c r="J405" s="60">
        <f t="shared" si="24"/>
        <v>2020</v>
      </c>
      <c r="K405" s="64">
        <v>18.773199999999999</v>
      </c>
      <c r="L405" s="64">
        <v>18.845300000000002</v>
      </c>
      <c r="M405" s="64">
        <v>18.797999999999998</v>
      </c>
    </row>
    <row r="406" spans="1:13">
      <c r="A406" s="65" t="s">
        <v>1112</v>
      </c>
      <c r="B406" s="66">
        <f t="shared" si="22"/>
        <v>39093</v>
      </c>
      <c r="C406" s="67">
        <f t="shared" si="23"/>
        <v>2007</v>
      </c>
      <c r="D406" s="68">
        <v>10.965</v>
      </c>
      <c r="E406" s="68">
        <v>11.033300000000001</v>
      </c>
      <c r="F406" s="68">
        <v>11.0091</v>
      </c>
      <c r="H406" s="69" t="s">
        <v>1113</v>
      </c>
      <c r="I406" s="66">
        <f t="shared" si="25"/>
        <v>43841</v>
      </c>
      <c r="J406" s="70">
        <f t="shared" si="24"/>
        <v>2020</v>
      </c>
      <c r="K406" s="72" t="s">
        <v>362</v>
      </c>
      <c r="L406" s="72" t="s">
        <v>362</v>
      </c>
      <c r="M406" s="71">
        <v>18.845300000000002</v>
      </c>
    </row>
    <row r="407" spans="1:13">
      <c r="A407" s="57" t="s">
        <v>1114</v>
      </c>
      <c r="B407" s="58">
        <f t="shared" si="22"/>
        <v>39094</v>
      </c>
      <c r="C407" s="59">
        <f t="shared" si="23"/>
        <v>2007</v>
      </c>
      <c r="D407" s="61">
        <v>10.9765</v>
      </c>
      <c r="E407" s="61">
        <v>10.965</v>
      </c>
      <c r="F407" s="61">
        <v>11.033300000000001</v>
      </c>
      <c r="H407" s="62" t="s">
        <v>1115</v>
      </c>
      <c r="I407" s="58">
        <f t="shared" si="25"/>
        <v>43842</v>
      </c>
      <c r="J407" s="60">
        <f t="shared" si="24"/>
        <v>2020</v>
      </c>
      <c r="K407" s="63" t="s">
        <v>362</v>
      </c>
      <c r="L407" s="63" t="s">
        <v>362</v>
      </c>
      <c r="M407" s="64">
        <v>18.845300000000002</v>
      </c>
    </row>
    <row r="408" spans="1:13">
      <c r="A408" s="65" t="s">
        <v>1116</v>
      </c>
      <c r="B408" s="66">
        <f t="shared" si="22"/>
        <v>39095</v>
      </c>
      <c r="C408" s="67">
        <f t="shared" si="23"/>
        <v>2007</v>
      </c>
      <c r="D408" s="70" t="s">
        <v>362</v>
      </c>
      <c r="E408" s="70" t="s">
        <v>362</v>
      </c>
      <c r="F408" s="68">
        <v>10.965</v>
      </c>
      <c r="H408" s="69" t="s">
        <v>1117</v>
      </c>
      <c r="I408" s="66">
        <f t="shared" si="25"/>
        <v>43843</v>
      </c>
      <c r="J408" s="70">
        <f t="shared" si="24"/>
        <v>2020</v>
      </c>
      <c r="K408" s="71">
        <v>18.8215</v>
      </c>
      <c r="L408" s="71">
        <v>18.773199999999999</v>
      </c>
      <c r="M408" s="71">
        <v>18.845300000000002</v>
      </c>
    </row>
    <row r="409" spans="1:13">
      <c r="A409" s="57" t="s">
        <v>1118</v>
      </c>
      <c r="B409" s="58">
        <f t="shared" si="22"/>
        <v>39096</v>
      </c>
      <c r="C409" s="59">
        <f t="shared" si="23"/>
        <v>2007</v>
      </c>
      <c r="D409" s="60" t="s">
        <v>362</v>
      </c>
      <c r="E409" s="60" t="s">
        <v>362</v>
      </c>
      <c r="F409" s="61">
        <v>10.965</v>
      </c>
      <c r="H409" s="62" t="s">
        <v>1119</v>
      </c>
      <c r="I409" s="58">
        <f t="shared" si="25"/>
        <v>43844</v>
      </c>
      <c r="J409" s="60">
        <f t="shared" si="24"/>
        <v>2020</v>
      </c>
      <c r="K409" s="64">
        <v>18.812000000000001</v>
      </c>
      <c r="L409" s="64">
        <v>18.8215</v>
      </c>
      <c r="M409" s="64">
        <v>18.773199999999999</v>
      </c>
    </row>
    <row r="410" spans="1:13">
      <c r="A410" s="65" t="s">
        <v>1120</v>
      </c>
      <c r="B410" s="66">
        <f t="shared" si="22"/>
        <v>39097</v>
      </c>
      <c r="C410" s="67">
        <f t="shared" si="23"/>
        <v>2007</v>
      </c>
      <c r="D410" s="68">
        <v>10.9419</v>
      </c>
      <c r="E410" s="68">
        <v>10.9765</v>
      </c>
      <c r="F410" s="68">
        <v>10.965</v>
      </c>
      <c r="H410" s="69" t="s">
        <v>1121</v>
      </c>
      <c r="I410" s="66">
        <f t="shared" si="25"/>
        <v>43845</v>
      </c>
      <c r="J410" s="70">
        <f t="shared" si="24"/>
        <v>2020</v>
      </c>
      <c r="K410" s="71">
        <v>18.807700000000001</v>
      </c>
      <c r="L410" s="71">
        <v>18.812000000000001</v>
      </c>
      <c r="M410" s="71">
        <v>18.8215</v>
      </c>
    </row>
    <row r="411" spans="1:13">
      <c r="A411" s="57" t="s">
        <v>1122</v>
      </c>
      <c r="B411" s="58">
        <f t="shared" si="22"/>
        <v>39098</v>
      </c>
      <c r="C411" s="59">
        <f t="shared" si="23"/>
        <v>2007</v>
      </c>
      <c r="D411" s="61">
        <v>10.986000000000001</v>
      </c>
      <c r="E411" s="61">
        <v>10.9419</v>
      </c>
      <c r="F411" s="61">
        <v>10.9765</v>
      </c>
      <c r="H411" s="62" t="s">
        <v>1123</v>
      </c>
      <c r="I411" s="58">
        <f t="shared" si="25"/>
        <v>43846</v>
      </c>
      <c r="J411" s="60">
        <f t="shared" si="24"/>
        <v>2020</v>
      </c>
      <c r="K411" s="64">
        <v>18.792999999999999</v>
      </c>
      <c r="L411" s="64">
        <v>18.807700000000001</v>
      </c>
      <c r="M411" s="64">
        <v>18.812000000000001</v>
      </c>
    </row>
    <row r="412" spans="1:13">
      <c r="A412" s="65" t="s">
        <v>1124</v>
      </c>
      <c r="B412" s="66">
        <f t="shared" si="22"/>
        <v>39099</v>
      </c>
      <c r="C412" s="67">
        <f t="shared" si="23"/>
        <v>2007</v>
      </c>
      <c r="D412" s="68">
        <v>10.923400000000001</v>
      </c>
      <c r="E412" s="68">
        <v>10.986000000000001</v>
      </c>
      <c r="F412" s="68">
        <v>10.9419</v>
      </c>
      <c r="H412" s="69" t="s">
        <v>1125</v>
      </c>
      <c r="I412" s="66">
        <f t="shared" si="25"/>
        <v>43847</v>
      </c>
      <c r="J412" s="70">
        <f t="shared" si="24"/>
        <v>2020</v>
      </c>
      <c r="K412" s="71">
        <v>18.738800000000001</v>
      </c>
      <c r="L412" s="71">
        <v>18.792999999999999</v>
      </c>
      <c r="M412" s="71">
        <v>18.807700000000001</v>
      </c>
    </row>
    <row r="413" spans="1:13">
      <c r="A413" s="57" t="s">
        <v>1126</v>
      </c>
      <c r="B413" s="58">
        <f t="shared" si="22"/>
        <v>39100</v>
      </c>
      <c r="C413" s="59">
        <f t="shared" si="23"/>
        <v>2007</v>
      </c>
      <c r="D413" s="61">
        <v>10.9232</v>
      </c>
      <c r="E413" s="61">
        <v>10.923400000000001</v>
      </c>
      <c r="F413" s="61">
        <v>10.986000000000001</v>
      </c>
      <c r="H413" s="62" t="s">
        <v>1127</v>
      </c>
      <c r="I413" s="58">
        <f t="shared" si="25"/>
        <v>43848</v>
      </c>
      <c r="J413" s="60">
        <f t="shared" si="24"/>
        <v>2020</v>
      </c>
      <c r="K413" s="63" t="s">
        <v>362</v>
      </c>
      <c r="L413" s="63" t="s">
        <v>362</v>
      </c>
      <c r="M413" s="64">
        <v>18.792999999999999</v>
      </c>
    </row>
    <row r="414" spans="1:13">
      <c r="A414" s="65" t="s">
        <v>1128</v>
      </c>
      <c r="B414" s="66">
        <f t="shared" si="22"/>
        <v>39101</v>
      </c>
      <c r="C414" s="67">
        <f t="shared" si="23"/>
        <v>2007</v>
      </c>
      <c r="D414" s="68">
        <v>10.882400000000001</v>
      </c>
      <c r="E414" s="68">
        <v>10.9232</v>
      </c>
      <c r="F414" s="68">
        <v>10.923400000000001</v>
      </c>
      <c r="H414" s="69" t="s">
        <v>1129</v>
      </c>
      <c r="I414" s="66">
        <f t="shared" si="25"/>
        <v>43849</v>
      </c>
      <c r="J414" s="70">
        <f t="shared" si="24"/>
        <v>2020</v>
      </c>
      <c r="K414" s="72" t="s">
        <v>362</v>
      </c>
      <c r="L414" s="72" t="s">
        <v>362</v>
      </c>
      <c r="M414" s="71">
        <v>18.792999999999999</v>
      </c>
    </row>
    <row r="415" spans="1:13">
      <c r="A415" s="57" t="s">
        <v>1130</v>
      </c>
      <c r="B415" s="58">
        <f t="shared" ref="B415:B478" si="26">DATE(RIGHT(A415,4),LEFT(RIGHT(A415,7),2),LEFT(A415,2))</f>
        <v>39102</v>
      </c>
      <c r="C415" s="59">
        <f t="shared" ref="C415:C478" si="27">YEAR(B415)</f>
        <v>2007</v>
      </c>
      <c r="D415" s="60" t="s">
        <v>362</v>
      </c>
      <c r="E415" s="60" t="s">
        <v>362</v>
      </c>
      <c r="F415" s="61">
        <v>10.9232</v>
      </c>
      <c r="H415" s="62" t="s">
        <v>1131</v>
      </c>
      <c r="I415" s="58">
        <f t="shared" si="25"/>
        <v>43850</v>
      </c>
      <c r="J415" s="60">
        <f t="shared" ref="J415:J478" si="28">YEAR(I415)</f>
        <v>2020</v>
      </c>
      <c r="K415" s="64">
        <v>18.672499999999999</v>
      </c>
      <c r="L415" s="64">
        <v>18.738800000000001</v>
      </c>
      <c r="M415" s="64">
        <v>18.792999999999999</v>
      </c>
    </row>
    <row r="416" spans="1:13">
      <c r="A416" s="65" t="s">
        <v>1132</v>
      </c>
      <c r="B416" s="66">
        <f t="shared" si="26"/>
        <v>39103</v>
      </c>
      <c r="C416" s="67">
        <f t="shared" si="27"/>
        <v>2007</v>
      </c>
      <c r="D416" s="70" t="s">
        <v>362</v>
      </c>
      <c r="E416" s="70" t="s">
        <v>362</v>
      </c>
      <c r="F416" s="68">
        <v>10.9232</v>
      </c>
      <c r="H416" s="69" t="s">
        <v>1133</v>
      </c>
      <c r="I416" s="66">
        <f t="shared" ref="I416:I479" si="29">DATE(RIGHT(H416,4),LEFT(RIGHT(A416,7),2),LEFT(A416,2))</f>
        <v>43851</v>
      </c>
      <c r="J416" s="70">
        <f t="shared" si="28"/>
        <v>2020</v>
      </c>
      <c r="K416" s="71">
        <v>18.700700000000001</v>
      </c>
      <c r="L416" s="71">
        <v>18.672499999999999</v>
      </c>
      <c r="M416" s="71">
        <v>18.738800000000001</v>
      </c>
    </row>
    <row r="417" spans="1:13">
      <c r="A417" s="57" t="s">
        <v>1134</v>
      </c>
      <c r="B417" s="58">
        <f t="shared" si="26"/>
        <v>39104</v>
      </c>
      <c r="C417" s="59">
        <f t="shared" si="27"/>
        <v>2007</v>
      </c>
      <c r="D417" s="61">
        <v>10.8918</v>
      </c>
      <c r="E417" s="61">
        <v>10.882400000000001</v>
      </c>
      <c r="F417" s="61">
        <v>10.9232</v>
      </c>
      <c r="H417" s="62" t="s">
        <v>1135</v>
      </c>
      <c r="I417" s="58">
        <f t="shared" si="29"/>
        <v>43852</v>
      </c>
      <c r="J417" s="60">
        <f t="shared" si="28"/>
        <v>2020</v>
      </c>
      <c r="K417" s="64">
        <v>18.688300000000002</v>
      </c>
      <c r="L417" s="64">
        <v>18.700700000000001</v>
      </c>
      <c r="M417" s="64">
        <v>18.672499999999999</v>
      </c>
    </row>
    <row r="418" spans="1:13">
      <c r="A418" s="65" t="s">
        <v>1136</v>
      </c>
      <c r="B418" s="66">
        <f t="shared" si="26"/>
        <v>39105</v>
      </c>
      <c r="C418" s="67">
        <f t="shared" si="27"/>
        <v>2007</v>
      </c>
      <c r="D418" s="68">
        <v>10.964499999999999</v>
      </c>
      <c r="E418" s="68">
        <v>10.8918</v>
      </c>
      <c r="F418" s="68">
        <v>10.882400000000001</v>
      </c>
      <c r="H418" s="69" t="s">
        <v>1137</v>
      </c>
      <c r="I418" s="66">
        <f t="shared" si="29"/>
        <v>43853</v>
      </c>
      <c r="J418" s="70">
        <f t="shared" si="28"/>
        <v>2020</v>
      </c>
      <c r="K418" s="71">
        <v>18.8018</v>
      </c>
      <c r="L418" s="71">
        <v>18.688300000000002</v>
      </c>
      <c r="M418" s="71">
        <v>18.700700000000001</v>
      </c>
    </row>
    <row r="419" spans="1:13">
      <c r="A419" s="57" t="s">
        <v>1138</v>
      </c>
      <c r="B419" s="58">
        <f t="shared" si="26"/>
        <v>39106</v>
      </c>
      <c r="C419" s="59">
        <f t="shared" si="27"/>
        <v>2007</v>
      </c>
      <c r="D419" s="61">
        <v>10.948600000000001</v>
      </c>
      <c r="E419" s="61">
        <v>10.964499999999999</v>
      </c>
      <c r="F419" s="61">
        <v>10.8918</v>
      </c>
      <c r="H419" s="62" t="s">
        <v>1139</v>
      </c>
      <c r="I419" s="58">
        <f t="shared" si="29"/>
        <v>43854</v>
      </c>
      <c r="J419" s="60">
        <f t="shared" si="28"/>
        <v>2020</v>
      </c>
      <c r="K419" s="64">
        <v>18.831299999999999</v>
      </c>
      <c r="L419" s="64">
        <v>18.8018</v>
      </c>
      <c r="M419" s="64">
        <v>18.688300000000002</v>
      </c>
    </row>
    <row r="420" spans="1:13">
      <c r="A420" s="65" t="s">
        <v>1140</v>
      </c>
      <c r="B420" s="66">
        <f t="shared" si="26"/>
        <v>39107</v>
      </c>
      <c r="C420" s="67">
        <f t="shared" si="27"/>
        <v>2007</v>
      </c>
      <c r="D420" s="68">
        <v>10.975300000000001</v>
      </c>
      <c r="E420" s="68">
        <v>10.948600000000001</v>
      </c>
      <c r="F420" s="68">
        <v>10.964499999999999</v>
      </c>
      <c r="H420" s="69" t="s">
        <v>1141</v>
      </c>
      <c r="I420" s="66">
        <f t="shared" si="29"/>
        <v>43855</v>
      </c>
      <c r="J420" s="70">
        <f t="shared" si="28"/>
        <v>2020</v>
      </c>
      <c r="K420" s="72" t="s">
        <v>362</v>
      </c>
      <c r="L420" s="72" t="s">
        <v>362</v>
      </c>
      <c r="M420" s="71">
        <v>18.8018</v>
      </c>
    </row>
    <row r="421" spans="1:13">
      <c r="A421" s="57" t="s">
        <v>1142</v>
      </c>
      <c r="B421" s="58">
        <f t="shared" si="26"/>
        <v>39108</v>
      </c>
      <c r="C421" s="59">
        <f t="shared" si="27"/>
        <v>2007</v>
      </c>
      <c r="D421" s="61">
        <v>11.0402</v>
      </c>
      <c r="E421" s="61">
        <v>10.975300000000001</v>
      </c>
      <c r="F421" s="61">
        <v>10.948600000000001</v>
      </c>
      <c r="H421" s="62" t="s">
        <v>1143</v>
      </c>
      <c r="I421" s="58">
        <f t="shared" si="29"/>
        <v>43856</v>
      </c>
      <c r="J421" s="60">
        <f t="shared" si="28"/>
        <v>2020</v>
      </c>
      <c r="K421" s="63" t="s">
        <v>362</v>
      </c>
      <c r="L421" s="63" t="s">
        <v>362</v>
      </c>
      <c r="M421" s="64">
        <v>18.8018</v>
      </c>
    </row>
    <row r="422" spans="1:13">
      <c r="A422" s="65" t="s">
        <v>1144</v>
      </c>
      <c r="B422" s="66">
        <f t="shared" si="26"/>
        <v>39109</v>
      </c>
      <c r="C422" s="67">
        <f t="shared" si="27"/>
        <v>2007</v>
      </c>
      <c r="D422" s="70" t="s">
        <v>362</v>
      </c>
      <c r="E422" s="70" t="s">
        <v>362</v>
      </c>
      <c r="F422" s="68">
        <v>10.975300000000001</v>
      </c>
      <c r="H422" s="69" t="s">
        <v>1145</v>
      </c>
      <c r="I422" s="66">
        <f t="shared" si="29"/>
        <v>43857</v>
      </c>
      <c r="J422" s="70">
        <f t="shared" si="28"/>
        <v>2020</v>
      </c>
      <c r="K422" s="71">
        <v>18.9407</v>
      </c>
      <c r="L422" s="71">
        <v>18.831299999999999</v>
      </c>
      <c r="M422" s="71">
        <v>18.8018</v>
      </c>
    </row>
    <row r="423" spans="1:13">
      <c r="A423" s="57" t="s">
        <v>1146</v>
      </c>
      <c r="B423" s="58">
        <f t="shared" si="26"/>
        <v>39110</v>
      </c>
      <c r="C423" s="59">
        <f t="shared" si="27"/>
        <v>2007</v>
      </c>
      <c r="D423" s="60" t="s">
        <v>362</v>
      </c>
      <c r="E423" s="60" t="s">
        <v>362</v>
      </c>
      <c r="F423" s="61">
        <v>10.975300000000001</v>
      </c>
      <c r="H423" s="62" t="s">
        <v>1147</v>
      </c>
      <c r="I423" s="58">
        <f t="shared" si="29"/>
        <v>43858</v>
      </c>
      <c r="J423" s="60">
        <f t="shared" si="28"/>
        <v>2020</v>
      </c>
      <c r="K423" s="64">
        <v>18.802199999999999</v>
      </c>
      <c r="L423" s="64">
        <v>18.9407</v>
      </c>
      <c r="M423" s="64">
        <v>18.831299999999999</v>
      </c>
    </row>
    <row r="424" spans="1:13">
      <c r="A424" s="65" t="s">
        <v>1148</v>
      </c>
      <c r="B424" s="66">
        <f t="shared" si="26"/>
        <v>39111</v>
      </c>
      <c r="C424" s="67">
        <f t="shared" si="27"/>
        <v>2007</v>
      </c>
      <c r="D424" s="68">
        <v>11.0855</v>
      </c>
      <c r="E424" s="68">
        <v>11.0402</v>
      </c>
      <c r="F424" s="68">
        <v>10.975300000000001</v>
      </c>
      <c r="H424" s="69" t="s">
        <v>1149</v>
      </c>
      <c r="I424" s="66">
        <f t="shared" si="29"/>
        <v>43859</v>
      </c>
      <c r="J424" s="70">
        <f t="shared" si="28"/>
        <v>2020</v>
      </c>
      <c r="K424" s="71">
        <v>18.706700000000001</v>
      </c>
      <c r="L424" s="71">
        <v>18.802199999999999</v>
      </c>
      <c r="M424" s="71">
        <v>18.9407</v>
      </c>
    </row>
    <row r="425" spans="1:13">
      <c r="A425" s="57" t="s">
        <v>1150</v>
      </c>
      <c r="B425" s="58">
        <f t="shared" si="26"/>
        <v>39112</v>
      </c>
      <c r="C425" s="59">
        <f t="shared" si="27"/>
        <v>2007</v>
      </c>
      <c r="D425" s="61">
        <v>11.0548</v>
      </c>
      <c r="E425" s="61">
        <v>11.0855</v>
      </c>
      <c r="F425" s="61">
        <v>11.0402</v>
      </c>
      <c r="H425" s="62" t="s">
        <v>1151</v>
      </c>
      <c r="I425" s="58">
        <f t="shared" si="29"/>
        <v>43860</v>
      </c>
      <c r="J425" s="60">
        <f t="shared" si="28"/>
        <v>2020</v>
      </c>
      <c r="K425" s="64">
        <v>18.785299999999999</v>
      </c>
      <c r="L425" s="64">
        <v>18.706700000000001</v>
      </c>
      <c r="M425" s="64">
        <v>18.802199999999999</v>
      </c>
    </row>
    <row r="426" spans="1:13">
      <c r="A426" s="65" t="s">
        <v>1152</v>
      </c>
      <c r="B426" s="66">
        <f t="shared" si="26"/>
        <v>39113</v>
      </c>
      <c r="C426" s="67">
        <f t="shared" si="27"/>
        <v>2007</v>
      </c>
      <c r="D426" s="68">
        <v>11.0382</v>
      </c>
      <c r="E426" s="68">
        <v>11.0548</v>
      </c>
      <c r="F426" s="68">
        <v>11.0855</v>
      </c>
      <c r="H426" s="69" t="s">
        <v>1153</v>
      </c>
      <c r="I426" s="66">
        <f t="shared" si="29"/>
        <v>43861</v>
      </c>
      <c r="J426" s="70">
        <f t="shared" si="28"/>
        <v>2020</v>
      </c>
      <c r="K426" s="71">
        <v>18.908200000000001</v>
      </c>
      <c r="L426" s="71">
        <v>18.785299999999999</v>
      </c>
      <c r="M426" s="71">
        <v>18.706700000000001</v>
      </c>
    </row>
    <row r="427" spans="1:13">
      <c r="A427" s="57" t="s">
        <v>1154</v>
      </c>
      <c r="B427" s="58">
        <f t="shared" si="26"/>
        <v>39114</v>
      </c>
      <c r="C427" s="59">
        <f t="shared" si="27"/>
        <v>2007</v>
      </c>
      <c r="D427" s="61">
        <v>10.981999999999999</v>
      </c>
      <c r="E427" s="61">
        <v>11.0382</v>
      </c>
      <c r="F427" s="61">
        <v>11.0548</v>
      </c>
      <c r="H427" s="62" t="s">
        <v>1155</v>
      </c>
      <c r="I427" s="58">
        <f t="shared" si="29"/>
        <v>43862</v>
      </c>
      <c r="J427" s="60">
        <f t="shared" si="28"/>
        <v>2020</v>
      </c>
      <c r="K427" s="63" t="s">
        <v>362</v>
      </c>
      <c r="L427" s="63" t="s">
        <v>362</v>
      </c>
      <c r="M427" s="64">
        <v>18.785299999999999</v>
      </c>
    </row>
    <row r="428" spans="1:13">
      <c r="A428" s="65" t="s">
        <v>1156</v>
      </c>
      <c r="B428" s="66">
        <f t="shared" si="26"/>
        <v>39115</v>
      </c>
      <c r="C428" s="67">
        <f t="shared" si="27"/>
        <v>2007</v>
      </c>
      <c r="D428" s="68">
        <v>10.992100000000001</v>
      </c>
      <c r="E428" s="68">
        <v>10.981999999999999</v>
      </c>
      <c r="F428" s="68">
        <v>11.0382</v>
      </c>
      <c r="H428" s="69" t="s">
        <v>1157</v>
      </c>
      <c r="I428" s="66">
        <f t="shared" si="29"/>
        <v>43863</v>
      </c>
      <c r="J428" s="70">
        <f t="shared" si="28"/>
        <v>2020</v>
      </c>
      <c r="K428" s="72" t="s">
        <v>362</v>
      </c>
      <c r="L428" s="72" t="s">
        <v>362</v>
      </c>
      <c r="M428" s="71">
        <v>18.785299999999999</v>
      </c>
    </row>
    <row r="429" spans="1:13">
      <c r="A429" s="57" t="s">
        <v>1158</v>
      </c>
      <c r="B429" s="58">
        <f t="shared" si="26"/>
        <v>39116</v>
      </c>
      <c r="C429" s="59">
        <f t="shared" si="27"/>
        <v>2007</v>
      </c>
      <c r="D429" s="60" t="s">
        <v>362</v>
      </c>
      <c r="E429" s="60" t="s">
        <v>362</v>
      </c>
      <c r="F429" s="61">
        <v>10.981999999999999</v>
      </c>
      <c r="H429" s="62" t="s">
        <v>1159</v>
      </c>
      <c r="I429" s="58">
        <f t="shared" si="29"/>
        <v>43864</v>
      </c>
      <c r="J429" s="60">
        <f t="shared" si="28"/>
        <v>2020</v>
      </c>
      <c r="K429" s="63" t="s">
        <v>362</v>
      </c>
      <c r="L429" s="63" t="s">
        <v>362</v>
      </c>
      <c r="M429" s="64">
        <v>18.785299999999999</v>
      </c>
    </row>
    <row r="430" spans="1:13">
      <c r="A430" s="65" t="s">
        <v>1160</v>
      </c>
      <c r="B430" s="66">
        <f t="shared" si="26"/>
        <v>39117</v>
      </c>
      <c r="C430" s="67">
        <f t="shared" si="27"/>
        <v>2007</v>
      </c>
      <c r="D430" s="70" t="s">
        <v>362</v>
      </c>
      <c r="E430" s="70" t="s">
        <v>362</v>
      </c>
      <c r="F430" s="68">
        <v>10.981999999999999</v>
      </c>
      <c r="H430" s="69" t="s">
        <v>1161</v>
      </c>
      <c r="I430" s="66">
        <f t="shared" si="29"/>
        <v>43865</v>
      </c>
      <c r="J430" s="70">
        <f t="shared" si="28"/>
        <v>2020</v>
      </c>
      <c r="K430" s="71">
        <v>18.6797</v>
      </c>
      <c r="L430" s="71">
        <v>18.908200000000001</v>
      </c>
      <c r="M430" s="71">
        <v>18.785299999999999</v>
      </c>
    </row>
    <row r="431" spans="1:13">
      <c r="A431" s="57" t="s">
        <v>1162</v>
      </c>
      <c r="B431" s="58">
        <f t="shared" si="26"/>
        <v>39118</v>
      </c>
      <c r="C431" s="59">
        <f t="shared" si="27"/>
        <v>2007</v>
      </c>
      <c r="D431" s="60" t="s">
        <v>362</v>
      </c>
      <c r="E431" s="60" t="s">
        <v>362</v>
      </c>
      <c r="F431" s="61">
        <v>10.981999999999999</v>
      </c>
      <c r="H431" s="62" t="s">
        <v>1163</v>
      </c>
      <c r="I431" s="58">
        <f t="shared" si="29"/>
        <v>43866</v>
      </c>
      <c r="J431" s="60">
        <f t="shared" si="28"/>
        <v>2020</v>
      </c>
      <c r="K431" s="64">
        <v>18.624500000000001</v>
      </c>
      <c r="L431" s="64">
        <v>18.6797</v>
      </c>
      <c r="M431" s="64">
        <v>18.908200000000001</v>
      </c>
    </row>
    <row r="432" spans="1:13">
      <c r="A432" s="65" t="s">
        <v>1164</v>
      </c>
      <c r="B432" s="66">
        <f t="shared" si="26"/>
        <v>39119</v>
      </c>
      <c r="C432" s="67">
        <f t="shared" si="27"/>
        <v>2007</v>
      </c>
      <c r="D432" s="68">
        <v>10.9192</v>
      </c>
      <c r="E432" s="68">
        <v>10.992100000000001</v>
      </c>
      <c r="F432" s="68">
        <v>10.981999999999999</v>
      </c>
      <c r="H432" s="69" t="s">
        <v>1165</v>
      </c>
      <c r="I432" s="66">
        <f t="shared" si="29"/>
        <v>43867</v>
      </c>
      <c r="J432" s="70">
        <f t="shared" si="28"/>
        <v>2020</v>
      </c>
      <c r="K432" s="71">
        <v>18.6645</v>
      </c>
      <c r="L432" s="71">
        <v>18.624500000000001</v>
      </c>
      <c r="M432" s="71">
        <v>18.6797</v>
      </c>
    </row>
    <row r="433" spans="1:13">
      <c r="A433" s="57" t="s">
        <v>1166</v>
      </c>
      <c r="B433" s="58">
        <f t="shared" si="26"/>
        <v>39120</v>
      </c>
      <c r="C433" s="59">
        <f t="shared" si="27"/>
        <v>2007</v>
      </c>
      <c r="D433" s="61">
        <v>10.936999999999999</v>
      </c>
      <c r="E433" s="61">
        <v>10.9192</v>
      </c>
      <c r="F433" s="61">
        <v>10.992100000000001</v>
      </c>
      <c r="H433" s="62" t="s">
        <v>1167</v>
      </c>
      <c r="I433" s="58">
        <f t="shared" si="29"/>
        <v>43868</v>
      </c>
      <c r="J433" s="60">
        <f t="shared" si="28"/>
        <v>2020</v>
      </c>
      <c r="K433" s="64">
        <v>18.776299999999999</v>
      </c>
      <c r="L433" s="64">
        <v>18.6645</v>
      </c>
      <c r="M433" s="64">
        <v>18.624500000000001</v>
      </c>
    </row>
    <row r="434" spans="1:13">
      <c r="A434" s="65" t="s">
        <v>1168</v>
      </c>
      <c r="B434" s="66">
        <f t="shared" si="26"/>
        <v>39121</v>
      </c>
      <c r="C434" s="67">
        <f t="shared" si="27"/>
        <v>2007</v>
      </c>
      <c r="D434" s="68">
        <v>10.968299999999999</v>
      </c>
      <c r="E434" s="68">
        <v>10.936999999999999</v>
      </c>
      <c r="F434" s="68">
        <v>10.9192</v>
      </c>
      <c r="H434" s="69" t="s">
        <v>1169</v>
      </c>
      <c r="I434" s="66">
        <f t="shared" si="29"/>
        <v>43869</v>
      </c>
      <c r="J434" s="70">
        <f t="shared" si="28"/>
        <v>2020</v>
      </c>
      <c r="K434" s="72" t="s">
        <v>362</v>
      </c>
      <c r="L434" s="72" t="s">
        <v>362</v>
      </c>
      <c r="M434" s="71">
        <v>18.6645</v>
      </c>
    </row>
    <row r="435" spans="1:13">
      <c r="A435" s="57" t="s">
        <v>1170</v>
      </c>
      <c r="B435" s="58">
        <f t="shared" si="26"/>
        <v>39122</v>
      </c>
      <c r="C435" s="59">
        <f t="shared" si="27"/>
        <v>2007</v>
      </c>
      <c r="D435" s="61">
        <v>10.960100000000001</v>
      </c>
      <c r="E435" s="61">
        <v>10.968299999999999</v>
      </c>
      <c r="F435" s="61">
        <v>10.936999999999999</v>
      </c>
      <c r="H435" s="62" t="s">
        <v>1171</v>
      </c>
      <c r="I435" s="58">
        <f t="shared" si="29"/>
        <v>43870</v>
      </c>
      <c r="J435" s="60">
        <f t="shared" si="28"/>
        <v>2020</v>
      </c>
      <c r="K435" s="63" t="s">
        <v>362</v>
      </c>
      <c r="L435" s="63" t="s">
        <v>362</v>
      </c>
      <c r="M435" s="64">
        <v>18.6645</v>
      </c>
    </row>
    <row r="436" spans="1:13">
      <c r="A436" s="65" t="s">
        <v>1172</v>
      </c>
      <c r="B436" s="66">
        <f t="shared" si="26"/>
        <v>39123</v>
      </c>
      <c r="C436" s="67">
        <f t="shared" si="27"/>
        <v>2007</v>
      </c>
      <c r="D436" s="70" t="s">
        <v>362</v>
      </c>
      <c r="E436" s="70" t="s">
        <v>362</v>
      </c>
      <c r="F436" s="68">
        <v>10.968299999999999</v>
      </c>
      <c r="H436" s="69" t="s">
        <v>1173</v>
      </c>
      <c r="I436" s="66">
        <f t="shared" si="29"/>
        <v>43871</v>
      </c>
      <c r="J436" s="70">
        <f t="shared" si="28"/>
        <v>2020</v>
      </c>
      <c r="K436" s="71">
        <v>18.7653</v>
      </c>
      <c r="L436" s="71">
        <v>18.776299999999999</v>
      </c>
      <c r="M436" s="71">
        <v>18.6645</v>
      </c>
    </row>
    <row r="437" spans="1:13">
      <c r="A437" s="57" t="s">
        <v>1174</v>
      </c>
      <c r="B437" s="58">
        <f t="shared" si="26"/>
        <v>39124</v>
      </c>
      <c r="C437" s="59">
        <f t="shared" si="27"/>
        <v>2007</v>
      </c>
      <c r="D437" s="60" t="s">
        <v>362</v>
      </c>
      <c r="E437" s="60" t="s">
        <v>362</v>
      </c>
      <c r="F437" s="61">
        <v>10.968299999999999</v>
      </c>
      <c r="H437" s="62" t="s">
        <v>1175</v>
      </c>
      <c r="I437" s="58">
        <f t="shared" si="29"/>
        <v>43872</v>
      </c>
      <c r="J437" s="60">
        <f t="shared" si="28"/>
        <v>2020</v>
      </c>
      <c r="K437" s="64">
        <v>18.673999999999999</v>
      </c>
      <c r="L437" s="64">
        <v>18.7653</v>
      </c>
      <c r="M437" s="64">
        <v>18.776299999999999</v>
      </c>
    </row>
    <row r="438" spans="1:13">
      <c r="A438" s="65" t="s">
        <v>1176</v>
      </c>
      <c r="B438" s="66">
        <f t="shared" si="26"/>
        <v>39125</v>
      </c>
      <c r="C438" s="67">
        <f t="shared" si="27"/>
        <v>2007</v>
      </c>
      <c r="D438" s="68">
        <v>11.0227</v>
      </c>
      <c r="E438" s="68">
        <v>10.960100000000001</v>
      </c>
      <c r="F438" s="68">
        <v>10.968299999999999</v>
      </c>
      <c r="H438" s="69" t="s">
        <v>1177</v>
      </c>
      <c r="I438" s="66">
        <f t="shared" si="29"/>
        <v>43873</v>
      </c>
      <c r="J438" s="70">
        <f t="shared" si="28"/>
        <v>2020</v>
      </c>
      <c r="K438" s="71">
        <v>18.630800000000001</v>
      </c>
      <c r="L438" s="71">
        <v>18.673999999999999</v>
      </c>
      <c r="M438" s="71">
        <v>18.7653</v>
      </c>
    </row>
    <row r="439" spans="1:13">
      <c r="A439" s="57" t="s">
        <v>1178</v>
      </c>
      <c r="B439" s="58">
        <f t="shared" si="26"/>
        <v>39126</v>
      </c>
      <c r="C439" s="59">
        <f t="shared" si="27"/>
        <v>2007</v>
      </c>
      <c r="D439" s="61">
        <v>10.9915</v>
      </c>
      <c r="E439" s="61">
        <v>11.0227</v>
      </c>
      <c r="F439" s="61">
        <v>10.960100000000001</v>
      </c>
      <c r="H439" s="62" t="s">
        <v>1179</v>
      </c>
      <c r="I439" s="58">
        <f t="shared" si="29"/>
        <v>43874</v>
      </c>
      <c r="J439" s="60">
        <f t="shared" si="28"/>
        <v>2020</v>
      </c>
      <c r="K439" s="64">
        <v>18.645800000000001</v>
      </c>
      <c r="L439" s="64">
        <v>18.630800000000001</v>
      </c>
      <c r="M439" s="64">
        <v>18.673999999999999</v>
      </c>
    </row>
    <row r="440" spans="1:13">
      <c r="A440" s="65" t="s">
        <v>1180</v>
      </c>
      <c r="B440" s="66">
        <f t="shared" si="26"/>
        <v>39127</v>
      </c>
      <c r="C440" s="67">
        <f t="shared" si="27"/>
        <v>2007</v>
      </c>
      <c r="D440" s="68">
        <v>10.9152</v>
      </c>
      <c r="E440" s="68">
        <v>10.9915</v>
      </c>
      <c r="F440" s="68">
        <v>11.0227</v>
      </c>
      <c r="H440" s="69" t="s">
        <v>1181</v>
      </c>
      <c r="I440" s="66">
        <f t="shared" si="29"/>
        <v>43875</v>
      </c>
      <c r="J440" s="70">
        <f t="shared" si="28"/>
        <v>2020</v>
      </c>
      <c r="K440" s="71">
        <v>18.571200000000001</v>
      </c>
      <c r="L440" s="71">
        <v>18.645800000000001</v>
      </c>
      <c r="M440" s="71">
        <v>18.630800000000001</v>
      </c>
    </row>
    <row r="441" spans="1:13">
      <c r="A441" s="57" t="s">
        <v>1182</v>
      </c>
      <c r="B441" s="58">
        <f t="shared" si="26"/>
        <v>39128</v>
      </c>
      <c r="C441" s="59">
        <f t="shared" si="27"/>
        <v>2007</v>
      </c>
      <c r="D441" s="61">
        <v>10.952199999999999</v>
      </c>
      <c r="E441" s="61">
        <v>10.9152</v>
      </c>
      <c r="F441" s="61">
        <v>10.9915</v>
      </c>
      <c r="H441" s="62" t="s">
        <v>1183</v>
      </c>
      <c r="I441" s="58">
        <f t="shared" si="29"/>
        <v>43876</v>
      </c>
      <c r="J441" s="60">
        <f t="shared" si="28"/>
        <v>2020</v>
      </c>
      <c r="K441" s="63" t="s">
        <v>362</v>
      </c>
      <c r="L441" s="63" t="s">
        <v>362</v>
      </c>
      <c r="M441" s="64">
        <v>18.645800000000001</v>
      </c>
    </row>
    <row r="442" spans="1:13">
      <c r="A442" s="65" t="s">
        <v>1184</v>
      </c>
      <c r="B442" s="66">
        <f t="shared" si="26"/>
        <v>39129</v>
      </c>
      <c r="C442" s="67">
        <f t="shared" si="27"/>
        <v>2007</v>
      </c>
      <c r="D442" s="68">
        <v>10.995799999999999</v>
      </c>
      <c r="E442" s="68">
        <v>10.952199999999999</v>
      </c>
      <c r="F442" s="68">
        <v>10.9152</v>
      </c>
      <c r="H442" s="69" t="s">
        <v>1185</v>
      </c>
      <c r="I442" s="66">
        <f t="shared" si="29"/>
        <v>43877</v>
      </c>
      <c r="J442" s="70">
        <f t="shared" si="28"/>
        <v>2020</v>
      </c>
      <c r="K442" s="72" t="s">
        <v>362</v>
      </c>
      <c r="L442" s="72" t="s">
        <v>362</v>
      </c>
      <c r="M442" s="71">
        <v>18.645800000000001</v>
      </c>
    </row>
    <row r="443" spans="1:13">
      <c r="A443" s="57" t="s">
        <v>1186</v>
      </c>
      <c r="B443" s="58">
        <f t="shared" si="26"/>
        <v>39130</v>
      </c>
      <c r="C443" s="59">
        <f t="shared" si="27"/>
        <v>2007</v>
      </c>
      <c r="D443" s="60" t="s">
        <v>362</v>
      </c>
      <c r="E443" s="60" t="s">
        <v>362</v>
      </c>
      <c r="F443" s="61">
        <v>10.952199999999999</v>
      </c>
      <c r="H443" s="62" t="s">
        <v>1187</v>
      </c>
      <c r="I443" s="58">
        <f t="shared" si="29"/>
        <v>43878</v>
      </c>
      <c r="J443" s="60">
        <f t="shared" si="28"/>
        <v>2020</v>
      </c>
      <c r="K443" s="64">
        <v>18.5715</v>
      </c>
      <c r="L443" s="64">
        <v>18.571200000000001</v>
      </c>
      <c r="M443" s="64">
        <v>18.645800000000001</v>
      </c>
    </row>
    <row r="444" spans="1:13">
      <c r="A444" s="65" t="s">
        <v>1188</v>
      </c>
      <c r="B444" s="66">
        <f t="shared" si="26"/>
        <v>39131</v>
      </c>
      <c r="C444" s="67">
        <f t="shared" si="27"/>
        <v>2007</v>
      </c>
      <c r="D444" s="70" t="s">
        <v>362</v>
      </c>
      <c r="E444" s="70" t="s">
        <v>362</v>
      </c>
      <c r="F444" s="68">
        <v>10.952199999999999</v>
      </c>
      <c r="H444" s="69" t="s">
        <v>1189</v>
      </c>
      <c r="I444" s="66">
        <f t="shared" si="29"/>
        <v>43879</v>
      </c>
      <c r="J444" s="70">
        <f t="shared" si="28"/>
        <v>2020</v>
      </c>
      <c r="K444" s="71">
        <v>18.595199999999998</v>
      </c>
      <c r="L444" s="71">
        <v>18.5715</v>
      </c>
      <c r="M444" s="71">
        <v>18.571200000000001</v>
      </c>
    </row>
    <row r="445" spans="1:13">
      <c r="A445" s="57" t="s">
        <v>1190</v>
      </c>
      <c r="B445" s="58">
        <f t="shared" si="26"/>
        <v>39132</v>
      </c>
      <c r="C445" s="59">
        <f t="shared" si="27"/>
        <v>2007</v>
      </c>
      <c r="D445" s="61">
        <v>10.9778</v>
      </c>
      <c r="E445" s="61">
        <v>10.995799999999999</v>
      </c>
      <c r="F445" s="61">
        <v>10.952199999999999</v>
      </c>
      <c r="H445" s="62" t="s">
        <v>1191</v>
      </c>
      <c r="I445" s="58">
        <f t="shared" si="29"/>
        <v>43880</v>
      </c>
      <c r="J445" s="60">
        <f t="shared" si="28"/>
        <v>2020</v>
      </c>
      <c r="K445" s="64">
        <v>18.591000000000001</v>
      </c>
      <c r="L445" s="64">
        <v>18.595199999999998</v>
      </c>
      <c r="M445" s="64">
        <v>18.5715</v>
      </c>
    </row>
    <row r="446" spans="1:13">
      <c r="A446" s="65" t="s">
        <v>1192</v>
      </c>
      <c r="B446" s="66">
        <f t="shared" si="26"/>
        <v>39133</v>
      </c>
      <c r="C446" s="67">
        <f t="shared" si="27"/>
        <v>2007</v>
      </c>
      <c r="D446" s="68">
        <v>10.9755</v>
      </c>
      <c r="E446" s="68">
        <v>10.9778</v>
      </c>
      <c r="F446" s="68">
        <v>10.995799999999999</v>
      </c>
      <c r="H446" s="69" t="s">
        <v>1193</v>
      </c>
      <c r="I446" s="66">
        <f t="shared" si="29"/>
        <v>43881</v>
      </c>
      <c r="J446" s="70">
        <f t="shared" si="28"/>
        <v>2020</v>
      </c>
      <c r="K446" s="71">
        <v>18.799199999999999</v>
      </c>
      <c r="L446" s="71">
        <v>18.591000000000001</v>
      </c>
      <c r="M446" s="71">
        <v>18.595199999999998</v>
      </c>
    </row>
    <row r="447" spans="1:13">
      <c r="A447" s="57" t="s">
        <v>1194</v>
      </c>
      <c r="B447" s="58">
        <f t="shared" si="26"/>
        <v>39134</v>
      </c>
      <c r="C447" s="59">
        <f t="shared" si="27"/>
        <v>2007</v>
      </c>
      <c r="D447" s="61">
        <v>11.0023</v>
      </c>
      <c r="E447" s="61">
        <v>10.9755</v>
      </c>
      <c r="F447" s="61">
        <v>10.9778</v>
      </c>
      <c r="H447" s="62" t="s">
        <v>1195</v>
      </c>
      <c r="I447" s="58">
        <f t="shared" si="29"/>
        <v>43882</v>
      </c>
      <c r="J447" s="60">
        <f t="shared" si="28"/>
        <v>2020</v>
      </c>
      <c r="K447" s="64">
        <v>18.913799999999998</v>
      </c>
      <c r="L447" s="64">
        <v>18.799199999999999</v>
      </c>
      <c r="M447" s="64">
        <v>18.591000000000001</v>
      </c>
    </row>
    <row r="448" spans="1:13">
      <c r="A448" s="65" t="s">
        <v>1196</v>
      </c>
      <c r="B448" s="66">
        <f t="shared" si="26"/>
        <v>39135</v>
      </c>
      <c r="C448" s="67">
        <f t="shared" si="27"/>
        <v>2007</v>
      </c>
      <c r="D448" s="68">
        <v>10.968299999999999</v>
      </c>
      <c r="E448" s="68">
        <v>11.0023</v>
      </c>
      <c r="F448" s="68">
        <v>10.9755</v>
      </c>
      <c r="H448" s="69" t="s">
        <v>1197</v>
      </c>
      <c r="I448" s="66">
        <f t="shared" si="29"/>
        <v>43883</v>
      </c>
      <c r="J448" s="70">
        <f t="shared" si="28"/>
        <v>2020</v>
      </c>
      <c r="K448" s="72" t="s">
        <v>362</v>
      </c>
      <c r="L448" s="72" t="s">
        <v>362</v>
      </c>
      <c r="M448" s="71">
        <v>18.799199999999999</v>
      </c>
    </row>
    <row r="449" spans="1:13">
      <c r="A449" s="57" t="s">
        <v>1198</v>
      </c>
      <c r="B449" s="58">
        <f t="shared" si="26"/>
        <v>39136</v>
      </c>
      <c r="C449" s="59">
        <f t="shared" si="27"/>
        <v>2007</v>
      </c>
      <c r="D449" s="61">
        <v>11.0397</v>
      </c>
      <c r="E449" s="61">
        <v>10.968299999999999</v>
      </c>
      <c r="F449" s="61">
        <v>11.0023</v>
      </c>
      <c r="H449" s="62" t="s">
        <v>1199</v>
      </c>
      <c r="I449" s="58">
        <f t="shared" si="29"/>
        <v>43884</v>
      </c>
      <c r="J449" s="60">
        <f t="shared" si="28"/>
        <v>2020</v>
      </c>
      <c r="K449" s="63" t="s">
        <v>362</v>
      </c>
      <c r="L449" s="63" t="s">
        <v>362</v>
      </c>
      <c r="M449" s="64">
        <v>18.799199999999999</v>
      </c>
    </row>
    <row r="450" spans="1:13">
      <c r="A450" s="65" t="s">
        <v>1200</v>
      </c>
      <c r="B450" s="66">
        <f t="shared" si="26"/>
        <v>39137</v>
      </c>
      <c r="C450" s="67">
        <f t="shared" si="27"/>
        <v>2007</v>
      </c>
      <c r="D450" s="70" t="s">
        <v>362</v>
      </c>
      <c r="E450" s="70" t="s">
        <v>362</v>
      </c>
      <c r="F450" s="68">
        <v>10.968299999999999</v>
      </c>
      <c r="H450" s="69" t="s">
        <v>1201</v>
      </c>
      <c r="I450" s="66">
        <f t="shared" si="29"/>
        <v>43885</v>
      </c>
      <c r="J450" s="70">
        <f t="shared" si="28"/>
        <v>2020</v>
      </c>
      <c r="K450" s="71">
        <v>19.119700000000002</v>
      </c>
      <c r="L450" s="71">
        <v>18.913799999999998</v>
      </c>
      <c r="M450" s="71">
        <v>18.799199999999999</v>
      </c>
    </row>
    <row r="451" spans="1:13">
      <c r="A451" s="57" t="s">
        <v>1202</v>
      </c>
      <c r="B451" s="58">
        <f t="shared" si="26"/>
        <v>39138</v>
      </c>
      <c r="C451" s="59">
        <f t="shared" si="27"/>
        <v>2007</v>
      </c>
      <c r="D451" s="60" t="s">
        <v>362</v>
      </c>
      <c r="E451" s="60" t="s">
        <v>362</v>
      </c>
      <c r="F451" s="61">
        <v>10.968299999999999</v>
      </c>
      <c r="H451" s="62" t="s">
        <v>1203</v>
      </c>
      <c r="I451" s="58">
        <f t="shared" si="29"/>
        <v>43886</v>
      </c>
      <c r="J451" s="60">
        <f t="shared" si="28"/>
        <v>2020</v>
      </c>
      <c r="K451" s="64">
        <v>19.087800000000001</v>
      </c>
      <c r="L451" s="64">
        <v>19.119700000000002</v>
      </c>
      <c r="M451" s="64">
        <v>18.913799999999998</v>
      </c>
    </row>
    <row r="452" spans="1:13">
      <c r="A452" s="65" t="s">
        <v>1204</v>
      </c>
      <c r="B452" s="66">
        <f t="shared" si="26"/>
        <v>39139</v>
      </c>
      <c r="C452" s="67">
        <f t="shared" si="27"/>
        <v>2007</v>
      </c>
      <c r="D452" s="68">
        <v>11.079000000000001</v>
      </c>
      <c r="E452" s="68">
        <v>11.0397</v>
      </c>
      <c r="F452" s="68">
        <v>10.968299999999999</v>
      </c>
      <c r="H452" s="69" t="s">
        <v>1205</v>
      </c>
      <c r="I452" s="66">
        <f t="shared" si="29"/>
        <v>43887</v>
      </c>
      <c r="J452" s="70">
        <f t="shared" si="28"/>
        <v>2020</v>
      </c>
      <c r="K452" s="71">
        <v>19.1585</v>
      </c>
      <c r="L452" s="71">
        <v>19.087800000000001</v>
      </c>
      <c r="M452" s="71">
        <v>19.119700000000002</v>
      </c>
    </row>
    <row r="453" spans="1:13">
      <c r="A453" s="57" t="s">
        <v>1206</v>
      </c>
      <c r="B453" s="58">
        <f t="shared" si="26"/>
        <v>39140</v>
      </c>
      <c r="C453" s="59">
        <f t="shared" si="27"/>
        <v>2007</v>
      </c>
      <c r="D453" s="61">
        <v>11.1493</v>
      </c>
      <c r="E453" s="61">
        <v>11.079000000000001</v>
      </c>
      <c r="F453" s="61">
        <v>11.0397</v>
      </c>
      <c r="H453" s="62" t="s">
        <v>1207</v>
      </c>
      <c r="I453" s="58">
        <f t="shared" si="29"/>
        <v>43888</v>
      </c>
      <c r="J453" s="60">
        <f t="shared" si="28"/>
        <v>2020</v>
      </c>
      <c r="K453" s="64">
        <v>19.397300000000001</v>
      </c>
      <c r="L453" s="64">
        <v>19.1585</v>
      </c>
      <c r="M453" s="64">
        <v>19.087800000000001</v>
      </c>
    </row>
    <row r="454" spans="1:13">
      <c r="A454" s="65" t="s">
        <v>1208</v>
      </c>
      <c r="B454" s="66">
        <f t="shared" si="26"/>
        <v>39141</v>
      </c>
      <c r="C454" s="67">
        <f t="shared" si="27"/>
        <v>2007</v>
      </c>
      <c r="D454" s="68">
        <v>11.168200000000001</v>
      </c>
      <c r="E454" s="68">
        <v>11.1493</v>
      </c>
      <c r="F454" s="68">
        <v>11.079000000000001</v>
      </c>
      <c r="H454" s="69" t="s">
        <v>1209</v>
      </c>
      <c r="I454" s="66">
        <f t="shared" si="29"/>
        <v>43889</v>
      </c>
      <c r="J454" s="70">
        <f t="shared" si="28"/>
        <v>2020</v>
      </c>
      <c r="K454" s="71">
        <v>19.776</v>
      </c>
      <c r="L454" s="71">
        <v>19.397300000000001</v>
      </c>
      <c r="M454" s="71">
        <v>19.1585</v>
      </c>
    </row>
    <row r="455" spans="1:13">
      <c r="A455" s="57" t="s">
        <v>1210</v>
      </c>
      <c r="B455" s="58">
        <f t="shared" si="26"/>
        <v>39142</v>
      </c>
      <c r="C455" s="59">
        <f t="shared" si="27"/>
        <v>2007</v>
      </c>
      <c r="D455" s="61">
        <v>11.191700000000001</v>
      </c>
      <c r="E455" s="61">
        <v>11.168200000000001</v>
      </c>
      <c r="F455" s="61">
        <v>11.1493</v>
      </c>
      <c r="H455" s="62" t="s">
        <v>1211</v>
      </c>
      <c r="I455" s="58">
        <f t="shared" si="29"/>
        <v>43891</v>
      </c>
      <c r="J455" s="60">
        <f t="shared" si="28"/>
        <v>2020</v>
      </c>
      <c r="K455" s="63" t="s">
        <v>362</v>
      </c>
      <c r="L455" s="63" t="s">
        <v>362</v>
      </c>
      <c r="M455" s="64">
        <v>19.397300000000001</v>
      </c>
    </row>
    <row r="456" spans="1:13">
      <c r="A456" s="65" t="s">
        <v>1212</v>
      </c>
      <c r="B456" s="66">
        <f t="shared" si="26"/>
        <v>39143</v>
      </c>
      <c r="C456" s="67">
        <f t="shared" si="27"/>
        <v>2007</v>
      </c>
      <c r="D456" s="68">
        <v>11.181699999999999</v>
      </c>
      <c r="E456" s="68">
        <v>11.191700000000001</v>
      </c>
      <c r="F456" s="68">
        <v>11.168200000000001</v>
      </c>
      <c r="H456" s="69" t="s">
        <v>1213</v>
      </c>
      <c r="I456" s="66">
        <f t="shared" si="29"/>
        <v>43892</v>
      </c>
      <c r="J456" s="70">
        <f t="shared" si="28"/>
        <v>2020</v>
      </c>
      <c r="K456" s="72" t="s">
        <v>362</v>
      </c>
      <c r="L456" s="72" t="s">
        <v>362</v>
      </c>
      <c r="M456" s="71">
        <v>19.397300000000001</v>
      </c>
    </row>
    <row r="457" spans="1:13">
      <c r="A457" s="57" t="s">
        <v>1214</v>
      </c>
      <c r="B457" s="58">
        <f t="shared" si="26"/>
        <v>39144</v>
      </c>
      <c r="C457" s="59">
        <f t="shared" si="27"/>
        <v>2007</v>
      </c>
      <c r="D457" s="60" t="s">
        <v>362</v>
      </c>
      <c r="E457" s="60" t="s">
        <v>362</v>
      </c>
      <c r="F457" s="61">
        <v>11.191700000000001</v>
      </c>
      <c r="H457" s="62" t="s">
        <v>1215</v>
      </c>
      <c r="I457" s="58">
        <f t="shared" si="29"/>
        <v>43893</v>
      </c>
      <c r="J457" s="60">
        <f t="shared" si="28"/>
        <v>2020</v>
      </c>
      <c r="K457" s="64">
        <v>19.698499999999999</v>
      </c>
      <c r="L457" s="64">
        <v>19.776</v>
      </c>
      <c r="M457" s="64">
        <v>19.397300000000001</v>
      </c>
    </row>
    <row r="458" spans="1:13">
      <c r="A458" s="65" t="s">
        <v>1216</v>
      </c>
      <c r="B458" s="66">
        <f t="shared" si="26"/>
        <v>39145</v>
      </c>
      <c r="C458" s="67">
        <f t="shared" si="27"/>
        <v>2007</v>
      </c>
      <c r="D458" s="70" t="s">
        <v>362</v>
      </c>
      <c r="E458" s="70" t="s">
        <v>362</v>
      </c>
      <c r="F458" s="68">
        <v>11.191700000000001</v>
      </c>
      <c r="H458" s="69" t="s">
        <v>1217</v>
      </c>
      <c r="I458" s="66">
        <f t="shared" si="29"/>
        <v>43894</v>
      </c>
      <c r="J458" s="70">
        <f t="shared" si="28"/>
        <v>2020</v>
      </c>
      <c r="K458" s="71">
        <v>19.2837</v>
      </c>
      <c r="L458" s="71">
        <v>19.698499999999999</v>
      </c>
      <c r="M458" s="71">
        <v>19.776</v>
      </c>
    </row>
    <row r="459" spans="1:13">
      <c r="A459" s="57" t="s">
        <v>1218</v>
      </c>
      <c r="B459" s="58">
        <f t="shared" si="26"/>
        <v>39146</v>
      </c>
      <c r="C459" s="59">
        <f t="shared" si="27"/>
        <v>2007</v>
      </c>
      <c r="D459" s="61">
        <v>11.1762</v>
      </c>
      <c r="E459" s="61">
        <v>11.181699999999999</v>
      </c>
      <c r="F459" s="61">
        <v>11.191700000000001</v>
      </c>
      <c r="H459" s="62" t="s">
        <v>1219</v>
      </c>
      <c r="I459" s="58">
        <f t="shared" si="29"/>
        <v>43895</v>
      </c>
      <c r="J459" s="60">
        <f t="shared" si="28"/>
        <v>2020</v>
      </c>
      <c r="K459" s="64">
        <v>19.5335</v>
      </c>
      <c r="L459" s="64">
        <v>19.2837</v>
      </c>
      <c r="M459" s="64">
        <v>19.698499999999999</v>
      </c>
    </row>
    <row r="460" spans="1:13">
      <c r="A460" s="65" t="s">
        <v>1220</v>
      </c>
      <c r="B460" s="66">
        <f t="shared" si="26"/>
        <v>39147</v>
      </c>
      <c r="C460" s="67">
        <f t="shared" si="27"/>
        <v>2007</v>
      </c>
      <c r="D460" s="68">
        <v>11.1473</v>
      </c>
      <c r="E460" s="68">
        <v>11.1762</v>
      </c>
      <c r="F460" s="68">
        <v>11.181699999999999</v>
      </c>
      <c r="H460" s="69" t="s">
        <v>1221</v>
      </c>
      <c r="I460" s="66">
        <f t="shared" si="29"/>
        <v>43896</v>
      </c>
      <c r="J460" s="70">
        <f t="shared" si="28"/>
        <v>2020</v>
      </c>
      <c r="K460" s="71">
        <v>19.8095</v>
      </c>
      <c r="L460" s="71">
        <v>19.5335</v>
      </c>
      <c r="M460" s="71">
        <v>19.2837</v>
      </c>
    </row>
    <row r="461" spans="1:13">
      <c r="A461" s="57" t="s">
        <v>1222</v>
      </c>
      <c r="B461" s="58">
        <f t="shared" si="26"/>
        <v>39148</v>
      </c>
      <c r="C461" s="59">
        <f t="shared" si="27"/>
        <v>2007</v>
      </c>
      <c r="D461" s="61">
        <v>11.1555</v>
      </c>
      <c r="E461" s="61">
        <v>11.1473</v>
      </c>
      <c r="F461" s="61">
        <v>11.1762</v>
      </c>
      <c r="H461" s="62" t="s">
        <v>1223</v>
      </c>
      <c r="I461" s="58">
        <f t="shared" si="29"/>
        <v>43897</v>
      </c>
      <c r="J461" s="60">
        <f t="shared" si="28"/>
        <v>2020</v>
      </c>
      <c r="K461" s="64">
        <v>20.162299999999998</v>
      </c>
      <c r="L461" s="64">
        <v>19.8095</v>
      </c>
      <c r="M461" s="64">
        <v>19.5335</v>
      </c>
    </row>
    <row r="462" spans="1:13">
      <c r="A462" s="65" t="s">
        <v>1224</v>
      </c>
      <c r="B462" s="66">
        <f t="shared" si="26"/>
        <v>39149</v>
      </c>
      <c r="C462" s="67">
        <f t="shared" si="27"/>
        <v>2007</v>
      </c>
      <c r="D462" s="68">
        <v>11.1426</v>
      </c>
      <c r="E462" s="68">
        <v>11.1555</v>
      </c>
      <c r="F462" s="68">
        <v>11.1473</v>
      </c>
      <c r="H462" s="69" t="s">
        <v>1225</v>
      </c>
      <c r="I462" s="66">
        <f t="shared" si="29"/>
        <v>43898</v>
      </c>
      <c r="J462" s="70">
        <f t="shared" si="28"/>
        <v>2020</v>
      </c>
      <c r="K462" s="72" t="s">
        <v>362</v>
      </c>
      <c r="L462" s="72" t="s">
        <v>362</v>
      </c>
      <c r="M462" s="71">
        <v>19.8095</v>
      </c>
    </row>
    <row r="463" spans="1:13">
      <c r="A463" s="57" t="s">
        <v>1226</v>
      </c>
      <c r="B463" s="58">
        <f t="shared" si="26"/>
        <v>39150</v>
      </c>
      <c r="C463" s="59">
        <f t="shared" si="27"/>
        <v>2007</v>
      </c>
      <c r="D463" s="61">
        <v>11.1205</v>
      </c>
      <c r="E463" s="61">
        <v>11.1426</v>
      </c>
      <c r="F463" s="61">
        <v>11.1555</v>
      </c>
      <c r="H463" s="62" t="s">
        <v>1227</v>
      </c>
      <c r="I463" s="58">
        <f t="shared" si="29"/>
        <v>43899</v>
      </c>
      <c r="J463" s="60">
        <f t="shared" si="28"/>
        <v>2020</v>
      </c>
      <c r="K463" s="63" t="s">
        <v>362</v>
      </c>
      <c r="L463" s="63" t="s">
        <v>362</v>
      </c>
      <c r="M463" s="64">
        <v>19.8095</v>
      </c>
    </row>
    <row r="464" spans="1:13">
      <c r="A464" s="65" t="s">
        <v>1228</v>
      </c>
      <c r="B464" s="66">
        <f t="shared" si="26"/>
        <v>39151</v>
      </c>
      <c r="C464" s="67">
        <f t="shared" si="27"/>
        <v>2007</v>
      </c>
      <c r="D464" s="70" t="s">
        <v>362</v>
      </c>
      <c r="E464" s="70" t="s">
        <v>362</v>
      </c>
      <c r="F464" s="68">
        <v>11.1426</v>
      </c>
      <c r="H464" s="69" t="s">
        <v>1229</v>
      </c>
      <c r="I464" s="66">
        <f t="shared" si="29"/>
        <v>43900</v>
      </c>
      <c r="J464" s="70">
        <f t="shared" si="28"/>
        <v>2020</v>
      </c>
      <c r="K464" s="71">
        <v>21.111699999999999</v>
      </c>
      <c r="L464" s="71">
        <v>20.162299999999998</v>
      </c>
      <c r="M464" s="71">
        <v>19.8095</v>
      </c>
    </row>
    <row r="465" spans="1:13">
      <c r="A465" s="57" t="s">
        <v>1230</v>
      </c>
      <c r="B465" s="58">
        <f t="shared" si="26"/>
        <v>39152</v>
      </c>
      <c r="C465" s="59">
        <f t="shared" si="27"/>
        <v>2007</v>
      </c>
      <c r="D465" s="60" t="s">
        <v>362</v>
      </c>
      <c r="E465" s="60" t="s">
        <v>362</v>
      </c>
      <c r="F465" s="61">
        <v>11.1426</v>
      </c>
      <c r="H465" s="62" t="s">
        <v>1231</v>
      </c>
      <c r="I465" s="58">
        <f t="shared" si="29"/>
        <v>43901</v>
      </c>
      <c r="J465" s="60">
        <f t="shared" si="28"/>
        <v>2020</v>
      </c>
      <c r="K465" s="64">
        <v>21.026700000000002</v>
      </c>
      <c r="L465" s="64">
        <v>21.111699999999999</v>
      </c>
      <c r="M465" s="64">
        <v>20.162299999999998</v>
      </c>
    </row>
    <row r="466" spans="1:13">
      <c r="A466" s="65" t="s">
        <v>1232</v>
      </c>
      <c r="B466" s="66">
        <f t="shared" si="26"/>
        <v>39153</v>
      </c>
      <c r="C466" s="67">
        <f t="shared" si="27"/>
        <v>2007</v>
      </c>
      <c r="D466" s="68">
        <v>11.148300000000001</v>
      </c>
      <c r="E466" s="68">
        <v>11.1205</v>
      </c>
      <c r="F466" s="68">
        <v>11.1426</v>
      </c>
      <c r="H466" s="69" t="s">
        <v>1233</v>
      </c>
      <c r="I466" s="66">
        <f t="shared" si="29"/>
        <v>43902</v>
      </c>
      <c r="J466" s="70">
        <f t="shared" si="28"/>
        <v>2020</v>
      </c>
      <c r="K466" s="71">
        <v>21.213000000000001</v>
      </c>
      <c r="L466" s="71">
        <v>21.026700000000002</v>
      </c>
      <c r="M466" s="71">
        <v>21.111699999999999</v>
      </c>
    </row>
    <row r="467" spans="1:13">
      <c r="A467" s="57" t="s">
        <v>1234</v>
      </c>
      <c r="B467" s="58">
        <f t="shared" si="26"/>
        <v>39154</v>
      </c>
      <c r="C467" s="59">
        <f t="shared" si="27"/>
        <v>2007</v>
      </c>
      <c r="D467" s="61">
        <v>11.172700000000001</v>
      </c>
      <c r="E467" s="61">
        <v>11.148300000000001</v>
      </c>
      <c r="F467" s="61">
        <v>11.1205</v>
      </c>
      <c r="H467" s="62" t="s">
        <v>1235</v>
      </c>
      <c r="I467" s="58">
        <f t="shared" si="29"/>
        <v>43903</v>
      </c>
      <c r="J467" s="60">
        <f t="shared" si="28"/>
        <v>2020</v>
      </c>
      <c r="K467" s="64">
        <v>22.151800000000001</v>
      </c>
      <c r="L467" s="64">
        <v>21.213000000000001</v>
      </c>
      <c r="M467" s="64">
        <v>21.026700000000002</v>
      </c>
    </row>
    <row r="468" spans="1:13">
      <c r="A468" s="65" t="s">
        <v>1236</v>
      </c>
      <c r="B468" s="66">
        <f t="shared" si="26"/>
        <v>39155</v>
      </c>
      <c r="C468" s="67">
        <f t="shared" si="27"/>
        <v>2007</v>
      </c>
      <c r="D468" s="68">
        <v>11.1867</v>
      </c>
      <c r="E468" s="68">
        <v>11.172700000000001</v>
      </c>
      <c r="F468" s="68">
        <v>11.148300000000001</v>
      </c>
      <c r="H468" s="69" t="s">
        <v>1237</v>
      </c>
      <c r="I468" s="66">
        <f t="shared" si="29"/>
        <v>43904</v>
      </c>
      <c r="J468" s="70">
        <f t="shared" si="28"/>
        <v>2020</v>
      </c>
      <c r="K468" s="71">
        <v>21.928799999999999</v>
      </c>
      <c r="L468" s="71">
        <v>22.151800000000001</v>
      </c>
      <c r="M468" s="71">
        <v>21.213000000000001</v>
      </c>
    </row>
    <row r="469" spans="1:13">
      <c r="A469" s="57" t="s">
        <v>1238</v>
      </c>
      <c r="B469" s="58">
        <f t="shared" si="26"/>
        <v>39156</v>
      </c>
      <c r="C469" s="59">
        <f t="shared" si="27"/>
        <v>2007</v>
      </c>
      <c r="D469" s="61">
        <v>11.1348</v>
      </c>
      <c r="E469" s="61">
        <v>11.1867</v>
      </c>
      <c r="F469" s="61">
        <v>11.172700000000001</v>
      </c>
      <c r="H469" s="62" t="s">
        <v>1239</v>
      </c>
      <c r="I469" s="58">
        <f t="shared" si="29"/>
        <v>43905</v>
      </c>
      <c r="J469" s="60">
        <f t="shared" si="28"/>
        <v>2020</v>
      </c>
      <c r="K469" s="63" t="s">
        <v>362</v>
      </c>
      <c r="L469" s="63" t="s">
        <v>362</v>
      </c>
      <c r="M469" s="64">
        <v>22.151800000000001</v>
      </c>
    </row>
    <row r="470" spans="1:13">
      <c r="A470" s="65" t="s">
        <v>1240</v>
      </c>
      <c r="B470" s="66">
        <f t="shared" si="26"/>
        <v>39157</v>
      </c>
      <c r="C470" s="67">
        <f t="shared" si="27"/>
        <v>2007</v>
      </c>
      <c r="D470" s="68">
        <v>11.166399999999999</v>
      </c>
      <c r="E470" s="68">
        <v>11.1348</v>
      </c>
      <c r="F470" s="68">
        <v>11.1867</v>
      </c>
      <c r="H470" s="69" t="s">
        <v>1241</v>
      </c>
      <c r="I470" s="66">
        <f t="shared" si="29"/>
        <v>43906</v>
      </c>
      <c r="J470" s="70">
        <f t="shared" si="28"/>
        <v>2020</v>
      </c>
      <c r="K470" s="72" t="s">
        <v>362</v>
      </c>
      <c r="L470" s="72" t="s">
        <v>362</v>
      </c>
      <c r="M470" s="71">
        <v>22.151800000000001</v>
      </c>
    </row>
    <row r="471" spans="1:13">
      <c r="A471" s="57" t="s">
        <v>1242</v>
      </c>
      <c r="B471" s="58">
        <f t="shared" si="26"/>
        <v>39158</v>
      </c>
      <c r="C471" s="59">
        <f t="shared" si="27"/>
        <v>2007</v>
      </c>
      <c r="D471" s="60" t="s">
        <v>362</v>
      </c>
      <c r="E471" s="60" t="s">
        <v>362</v>
      </c>
      <c r="F471" s="61">
        <v>11.1348</v>
      </c>
      <c r="H471" s="62" t="s">
        <v>1243</v>
      </c>
      <c r="I471" s="58">
        <f t="shared" si="29"/>
        <v>43907</v>
      </c>
      <c r="J471" s="60">
        <f t="shared" si="28"/>
        <v>2020</v>
      </c>
      <c r="K471" s="63" t="s">
        <v>362</v>
      </c>
      <c r="L471" s="63" t="s">
        <v>362</v>
      </c>
      <c r="M471" s="64">
        <v>22.151800000000001</v>
      </c>
    </row>
    <row r="472" spans="1:13">
      <c r="A472" s="65" t="s">
        <v>1244</v>
      </c>
      <c r="B472" s="66">
        <f t="shared" si="26"/>
        <v>39159</v>
      </c>
      <c r="C472" s="67">
        <f t="shared" si="27"/>
        <v>2007</v>
      </c>
      <c r="D472" s="70" t="s">
        <v>362</v>
      </c>
      <c r="E472" s="70" t="s">
        <v>362</v>
      </c>
      <c r="F472" s="68">
        <v>11.1348</v>
      </c>
      <c r="H472" s="69" t="s">
        <v>1245</v>
      </c>
      <c r="I472" s="66">
        <f t="shared" si="29"/>
        <v>43908</v>
      </c>
      <c r="J472" s="70">
        <f t="shared" si="28"/>
        <v>2020</v>
      </c>
      <c r="K472" s="71">
        <v>23.057300000000001</v>
      </c>
      <c r="L472" s="71">
        <v>21.928799999999999</v>
      </c>
      <c r="M472" s="71">
        <v>22.151800000000001</v>
      </c>
    </row>
    <row r="473" spans="1:13">
      <c r="A473" s="57" t="s">
        <v>1246</v>
      </c>
      <c r="B473" s="58">
        <f t="shared" si="26"/>
        <v>39160</v>
      </c>
      <c r="C473" s="59">
        <f t="shared" si="27"/>
        <v>2007</v>
      </c>
      <c r="D473" s="60" t="s">
        <v>362</v>
      </c>
      <c r="E473" s="60" t="s">
        <v>362</v>
      </c>
      <c r="F473" s="61">
        <v>11.1348</v>
      </c>
      <c r="H473" s="62" t="s">
        <v>1247</v>
      </c>
      <c r="I473" s="58">
        <f t="shared" si="29"/>
        <v>43909</v>
      </c>
      <c r="J473" s="60">
        <f t="shared" si="28"/>
        <v>2020</v>
      </c>
      <c r="K473" s="64">
        <v>23.9008</v>
      </c>
      <c r="L473" s="64">
        <v>23.057300000000001</v>
      </c>
      <c r="M473" s="64">
        <v>21.928799999999999</v>
      </c>
    </row>
    <row r="474" spans="1:13">
      <c r="A474" s="65" t="s">
        <v>1248</v>
      </c>
      <c r="B474" s="66">
        <f t="shared" si="26"/>
        <v>39161</v>
      </c>
      <c r="C474" s="67">
        <f t="shared" si="27"/>
        <v>2007</v>
      </c>
      <c r="D474" s="68">
        <v>11.112</v>
      </c>
      <c r="E474" s="68">
        <v>11.166399999999999</v>
      </c>
      <c r="F474" s="68">
        <v>11.1348</v>
      </c>
      <c r="H474" s="69" t="s">
        <v>1249</v>
      </c>
      <c r="I474" s="66">
        <f t="shared" si="29"/>
        <v>43910</v>
      </c>
      <c r="J474" s="70">
        <f t="shared" si="28"/>
        <v>2020</v>
      </c>
      <c r="K474" s="71">
        <v>24.0868</v>
      </c>
      <c r="L474" s="71">
        <v>23.9008</v>
      </c>
      <c r="M474" s="71">
        <v>23.057300000000001</v>
      </c>
    </row>
    <row r="475" spans="1:13">
      <c r="A475" s="57" t="s">
        <v>1250</v>
      </c>
      <c r="B475" s="58">
        <f t="shared" si="26"/>
        <v>39162</v>
      </c>
      <c r="C475" s="59">
        <f t="shared" si="27"/>
        <v>2007</v>
      </c>
      <c r="D475" s="61">
        <v>11.079599999999999</v>
      </c>
      <c r="E475" s="61">
        <v>11.112</v>
      </c>
      <c r="F475" s="61">
        <v>11.166399999999999</v>
      </c>
      <c r="H475" s="62" t="s">
        <v>1251</v>
      </c>
      <c r="I475" s="58">
        <f t="shared" si="29"/>
        <v>43911</v>
      </c>
      <c r="J475" s="60">
        <f t="shared" si="28"/>
        <v>2020</v>
      </c>
      <c r="K475" s="64">
        <v>24.1113</v>
      </c>
      <c r="L475" s="64">
        <v>24.0868</v>
      </c>
      <c r="M475" s="64">
        <v>23.9008</v>
      </c>
    </row>
    <row r="476" spans="1:13">
      <c r="A476" s="65" t="s">
        <v>1252</v>
      </c>
      <c r="B476" s="66">
        <f t="shared" si="26"/>
        <v>39163</v>
      </c>
      <c r="C476" s="67">
        <f t="shared" si="27"/>
        <v>2007</v>
      </c>
      <c r="D476" s="68">
        <v>11.022</v>
      </c>
      <c r="E476" s="68">
        <v>11.079599999999999</v>
      </c>
      <c r="F476" s="68">
        <v>11.112</v>
      </c>
      <c r="H476" s="69" t="s">
        <v>1253</v>
      </c>
      <c r="I476" s="66">
        <f t="shared" si="29"/>
        <v>43912</v>
      </c>
      <c r="J476" s="70">
        <f t="shared" si="28"/>
        <v>2020</v>
      </c>
      <c r="K476" s="72" t="s">
        <v>362</v>
      </c>
      <c r="L476" s="72" t="s">
        <v>362</v>
      </c>
      <c r="M476" s="71">
        <v>24.0868</v>
      </c>
    </row>
    <row r="477" spans="1:13">
      <c r="A477" s="57" t="s">
        <v>1254</v>
      </c>
      <c r="B477" s="58">
        <f t="shared" si="26"/>
        <v>39164</v>
      </c>
      <c r="C477" s="59">
        <f t="shared" si="27"/>
        <v>2007</v>
      </c>
      <c r="D477" s="61">
        <v>11.0166</v>
      </c>
      <c r="E477" s="61">
        <v>11.022</v>
      </c>
      <c r="F477" s="61">
        <v>11.079599999999999</v>
      </c>
      <c r="H477" s="62" t="s">
        <v>1255</v>
      </c>
      <c r="I477" s="58">
        <f t="shared" si="29"/>
        <v>43913</v>
      </c>
      <c r="J477" s="60">
        <f t="shared" si="28"/>
        <v>2020</v>
      </c>
      <c r="K477" s="63" t="s">
        <v>362</v>
      </c>
      <c r="L477" s="63" t="s">
        <v>362</v>
      </c>
      <c r="M477" s="64">
        <v>24.0868</v>
      </c>
    </row>
    <row r="478" spans="1:13">
      <c r="A478" s="65" t="s">
        <v>1256</v>
      </c>
      <c r="B478" s="66">
        <f t="shared" si="26"/>
        <v>39165</v>
      </c>
      <c r="C478" s="67">
        <f t="shared" si="27"/>
        <v>2007</v>
      </c>
      <c r="D478" s="70" t="s">
        <v>362</v>
      </c>
      <c r="E478" s="70" t="s">
        <v>362</v>
      </c>
      <c r="F478" s="68">
        <v>11.022</v>
      </c>
      <c r="H478" s="69" t="s">
        <v>1257</v>
      </c>
      <c r="I478" s="66">
        <f t="shared" si="29"/>
        <v>43914</v>
      </c>
      <c r="J478" s="70">
        <f t="shared" si="28"/>
        <v>2020</v>
      </c>
      <c r="K478" s="71">
        <v>25.078199999999999</v>
      </c>
      <c r="L478" s="71">
        <v>24.1113</v>
      </c>
      <c r="M478" s="71">
        <v>24.0868</v>
      </c>
    </row>
    <row r="479" spans="1:13">
      <c r="A479" s="57" t="s">
        <v>1258</v>
      </c>
      <c r="B479" s="58">
        <f t="shared" ref="B479:B542" si="30">DATE(RIGHT(A479,4),LEFT(RIGHT(A479,7),2),LEFT(A479,2))</f>
        <v>39166</v>
      </c>
      <c r="C479" s="59">
        <f t="shared" ref="C479:C542" si="31">YEAR(B479)</f>
        <v>2007</v>
      </c>
      <c r="D479" s="60" t="s">
        <v>362</v>
      </c>
      <c r="E479" s="60" t="s">
        <v>362</v>
      </c>
      <c r="F479" s="61">
        <v>11.022</v>
      </c>
      <c r="H479" s="62" t="s">
        <v>1259</v>
      </c>
      <c r="I479" s="58">
        <f t="shared" si="29"/>
        <v>43915</v>
      </c>
      <c r="J479" s="60">
        <f t="shared" ref="J479:J542" si="32">YEAR(I479)</f>
        <v>2020</v>
      </c>
      <c r="K479" s="64">
        <v>25.118500000000001</v>
      </c>
      <c r="L479" s="64">
        <v>25.078199999999999</v>
      </c>
      <c r="M479" s="64">
        <v>24.1113</v>
      </c>
    </row>
    <row r="480" spans="1:13">
      <c r="A480" s="65" t="s">
        <v>1260</v>
      </c>
      <c r="B480" s="66">
        <f t="shared" si="30"/>
        <v>39167</v>
      </c>
      <c r="C480" s="67">
        <f t="shared" si="31"/>
        <v>2007</v>
      </c>
      <c r="D480" s="68">
        <v>11.0253</v>
      </c>
      <c r="E480" s="68">
        <v>11.0166</v>
      </c>
      <c r="F480" s="68">
        <v>11.022</v>
      </c>
      <c r="H480" s="69" t="s">
        <v>1261</v>
      </c>
      <c r="I480" s="66">
        <f t="shared" ref="I480:I543" si="33">DATE(RIGHT(H480,4),LEFT(RIGHT(A480,7),2),LEFT(A480,2))</f>
        <v>43916</v>
      </c>
      <c r="J480" s="70">
        <f t="shared" si="32"/>
        <v>2020</v>
      </c>
      <c r="K480" s="71">
        <v>24.294799999999999</v>
      </c>
      <c r="L480" s="71">
        <v>25.118500000000001</v>
      </c>
      <c r="M480" s="71">
        <v>25.078199999999999</v>
      </c>
    </row>
    <row r="481" spans="1:13">
      <c r="A481" s="57" t="s">
        <v>1262</v>
      </c>
      <c r="B481" s="58">
        <f t="shared" si="30"/>
        <v>39168</v>
      </c>
      <c r="C481" s="59">
        <f t="shared" si="31"/>
        <v>2007</v>
      </c>
      <c r="D481" s="61">
        <v>11.047000000000001</v>
      </c>
      <c r="E481" s="61">
        <v>11.0253</v>
      </c>
      <c r="F481" s="61">
        <v>11.0166</v>
      </c>
      <c r="H481" s="62" t="s">
        <v>1263</v>
      </c>
      <c r="I481" s="58">
        <f t="shared" si="33"/>
        <v>43917</v>
      </c>
      <c r="J481" s="60">
        <f t="shared" si="32"/>
        <v>2020</v>
      </c>
      <c r="K481" s="64">
        <v>23.097000000000001</v>
      </c>
      <c r="L481" s="64">
        <v>24.294799999999999</v>
      </c>
      <c r="M481" s="64">
        <v>25.118500000000001</v>
      </c>
    </row>
    <row r="482" spans="1:13">
      <c r="A482" s="65" t="s">
        <v>1264</v>
      </c>
      <c r="B482" s="66">
        <f t="shared" si="30"/>
        <v>39169</v>
      </c>
      <c r="C482" s="67">
        <f t="shared" si="31"/>
        <v>2007</v>
      </c>
      <c r="D482" s="68">
        <v>11.081300000000001</v>
      </c>
      <c r="E482" s="68">
        <v>11.047000000000001</v>
      </c>
      <c r="F482" s="68">
        <v>11.0253</v>
      </c>
      <c r="H482" s="69" t="s">
        <v>1265</v>
      </c>
      <c r="I482" s="66">
        <f t="shared" si="33"/>
        <v>43918</v>
      </c>
      <c r="J482" s="70">
        <f t="shared" si="32"/>
        <v>2020</v>
      </c>
      <c r="K482" s="71">
        <v>23.5122</v>
      </c>
      <c r="L482" s="71">
        <v>23.097000000000001</v>
      </c>
      <c r="M482" s="71">
        <v>24.294799999999999</v>
      </c>
    </row>
    <row r="483" spans="1:13">
      <c r="A483" s="57" t="s">
        <v>1266</v>
      </c>
      <c r="B483" s="58">
        <f t="shared" si="30"/>
        <v>39170</v>
      </c>
      <c r="C483" s="59">
        <f t="shared" si="31"/>
        <v>2007</v>
      </c>
      <c r="D483" s="61">
        <v>11.050700000000001</v>
      </c>
      <c r="E483" s="61">
        <v>11.081300000000001</v>
      </c>
      <c r="F483" s="61">
        <v>11.047000000000001</v>
      </c>
      <c r="H483" s="62" t="s">
        <v>1267</v>
      </c>
      <c r="I483" s="58">
        <f t="shared" si="33"/>
        <v>43919</v>
      </c>
      <c r="J483" s="60">
        <f t="shared" si="32"/>
        <v>2020</v>
      </c>
      <c r="K483" s="63" t="s">
        <v>362</v>
      </c>
      <c r="L483" s="63" t="s">
        <v>362</v>
      </c>
      <c r="M483" s="64">
        <v>23.097000000000001</v>
      </c>
    </row>
    <row r="484" spans="1:13">
      <c r="A484" s="65" t="s">
        <v>1268</v>
      </c>
      <c r="B484" s="66">
        <f t="shared" si="30"/>
        <v>39171</v>
      </c>
      <c r="C484" s="67">
        <f t="shared" si="31"/>
        <v>2007</v>
      </c>
      <c r="D484" s="68">
        <v>11.0322</v>
      </c>
      <c r="E484" s="68">
        <v>11.050700000000001</v>
      </c>
      <c r="F484" s="68">
        <v>11.081300000000001</v>
      </c>
      <c r="H484" s="69" t="s">
        <v>1269</v>
      </c>
      <c r="I484" s="66">
        <f t="shared" si="33"/>
        <v>43920</v>
      </c>
      <c r="J484" s="70">
        <f t="shared" si="32"/>
        <v>2020</v>
      </c>
      <c r="K484" s="72" t="s">
        <v>362</v>
      </c>
      <c r="L484" s="72" t="s">
        <v>362</v>
      </c>
      <c r="M484" s="71">
        <v>23.097000000000001</v>
      </c>
    </row>
    <row r="485" spans="1:13">
      <c r="A485" s="57" t="s">
        <v>1270</v>
      </c>
      <c r="B485" s="58">
        <f t="shared" si="30"/>
        <v>39172</v>
      </c>
      <c r="C485" s="59">
        <f t="shared" si="31"/>
        <v>2007</v>
      </c>
      <c r="D485" s="60" t="s">
        <v>362</v>
      </c>
      <c r="E485" s="60" t="s">
        <v>362</v>
      </c>
      <c r="F485" s="61">
        <v>11.050700000000001</v>
      </c>
      <c r="H485" s="62" t="s">
        <v>1271</v>
      </c>
      <c r="I485" s="58">
        <f t="shared" si="33"/>
        <v>43921</v>
      </c>
      <c r="J485" s="60">
        <f t="shared" si="32"/>
        <v>2020</v>
      </c>
      <c r="K485" s="64">
        <v>24.285299999999999</v>
      </c>
      <c r="L485" s="64">
        <v>23.5122</v>
      </c>
      <c r="M485" s="64">
        <v>23.097000000000001</v>
      </c>
    </row>
    <row r="486" spans="1:13">
      <c r="A486" s="65" t="s">
        <v>1272</v>
      </c>
      <c r="B486" s="66">
        <f t="shared" si="30"/>
        <v>39173</v>
      </c>
      <c r="C486" s="67">
        <f t="shared" si="31"/>
        <v>2007</v>
      </c>
      <c r="D486" s="70" t="s">
        <v>362</v>
      </c>
      <c r="E486" s="70" t="s">
        <v>362</v>
      </c>
      <c r="F486" s="68">
        <v>11.050700000000001</v>
      </c>
      <c r="H486" s="69" t="s">
        <v>1273</v>
      </c>
      <c r="I486" s="66">
        <f t="shared" si="33"/>
        <v>43922</v>
      </c>
      <c r="J486" s="70">
        <f t="shared" si="32"/>
        <v>2020</v>
      </c>
      <c r="K486" s="71">
        <v>23.4847</v>
      </c>
      <c r="L486" s="71">
        <v>24.285299999999999</v>
      </c>
      <c r="M486" s="71">
        <v>23.5122</v>
      </c>
    </row>
    <row r="487" spans="1:13">
      <c r="A487" s="57" t="s">
        <v>1274</v>
      </c>
      <c r="B487" s="58">
        <f t="shared" si="30"/>
        <v>39174</v>
      </c>
      <c r="C487" s="59">
        <f t="shared" si="31"/>
        <v>2007</v>
      </c>
      <c r="D487" s="61">
        <v>11.0336</v>
      </c>
      <c r="E487" s="61">
        <v>11.0322</v>
      </c>
      <c r="F487" s="61">
        <v>11.050700000000001</v>
      </c>
      <c r="H487" s="62" t="s">
        <v>1275</v>
      </c>
      <c r="I487" s="58">
        <f t="shared" si="33"/>
        <v>43923</v>
      </c>
      <c r="J487" s="60">
        <f t="shared" si="32"/>
        <v>2020</v>
      </c>
      <c r="K487" s="64">
        <v>24.491800000000001</v>
      </c>
      <c r="L487" s="64">
        <v>23.4847</v>
      </c>
      <c r="M487" s="64">
        <v>24.285299999999999</v>
      </c>
    </row>
    <row r="488" spans="1:13">
      <c r="A488" s="65" t="s">
        <v>1276</v>
      </c>
      <c r="B488" s="66">
        <f t="shared" si="30"/>
        <v>39175</v>
      </c>
      <c r="C488" s="67">
        <f t="shared" si="31"/>
        <v>2007</v>
      </c>
      <c r="D488" s="68">
        <v>10.979699999999999</v>
      </c>
      <c r="E488" s="68">
        <v>11.0336</v>
      </c>
      <c r="F488" s="68">
        <v>11.0322</v>
      </c>
      <c r="H488" s="69" t="s">
        <v>1277</v>
      </c>
      <c r="I488" s="66">
        <f t="shared" si="33"/>
        <v>43924</v>
      </c>
      <c r="J488" s="70">
        <f t="shared" si="32"/>
        <v>2020</v>
      </c>
      <c r="K488" s="71">
        <v>24.108699999999999</v>
      </c>
      <c r="L488" s="71">
        <v>24.491800000000001</v>
      </c>
      <c r="M488" s="71">
        <v>23.4847</v>
      </c>
    </row>
    <row r="489" spans="1:13">
      <c r="A489" s="57" t="s">
        <v>1278</v>
      </c>
      <c r="B489" s="58">
        <f t="shared" si="30"/>
        <v>39176</v>
      </c>
      <c r="C489" s="59">
        <f t="shared" si="31"/>
        <v>2007</v>
      </c>
      <c r="D489" s="61">
        <v>10.9976</v>
      </c>
      <c r="E489" s="61">
        <v>10.979699999999999</v>
      </c>
      <c r="F489" s="61">
        <v>11.0336</v>
      </c>
      <c r="H489" s="62" t="s">
        <v>1279</v>
      </c>
      <c r="I489" s="58">
        <f t="shared" si="33"/>
        <v>43925</v>
      </c>
      <c r="J489" s="60">
        <f t="shared" si="32"/>
        <v>2020</v>
      </c>
      <c r="K489" s="64">
        <v>24.6938</v>
      </c>
      <c r="L489" s="64">
        <v>24.108699999999999</v>
      </c>
      <c r="M489" s="64">
        <v>24.491800000000001</v>
      </c>
    </row>
    <row r="490" spans="1:13">
      <c r="A490" s="65" t="s">
        <v>1280</v>
      </c>
      <c r="B490" s="66">
        <f t="shared" si="30"/>
        <v>39177</v>
      </c>
      <c r="C490" s="67">
        <f t="shared" si="31"/>
        <v>2007</v>
      </c>
      <c r="D490" s="70" t="s">
        <v>362</v>
      </c>
      <c r="E490" s="70" t="s">
        <v>362</v>
      </c>
      <c r="F490" s="68">
        <v>10.979699999999999</v>
      </c>
      <c r="H490" s="69" t="s">
        <v>1281</v>
      </c>
      <c r="I490" s="66">
        <f t="shared" si="33"/>
        <v>43926</v>
      </c>
      <c r="J490" s="70">
        <f t="shared" si="32"/>
        <v>2020</v>
      </c>
      <c r="K490" s="72" t="s">
        <v>362</v>
      </c>
      <c r="L490" s="72" t="s">
        <v>362</v>
      </c>
      <c r="M490" s="71">
        <v>24.108699999999999</v>
      </c>
    </row>
    <row r="491" spans="1:13">
      <c r="A491" s="57" t="s">
        <v>1282</v>
      </c>
      <c r="B491" s="58">
        <f t="shared" si="30"/>
        <v>39178</v>
      </c>
      <c r="C491" s="59">
        <f t="shared" si="31"/>
        <v>2007</v>
      </c>
      <c r="D491" s="60" t="s">
        <v>362</v>
      </c>
      <c r="E491" s="60" t="s">
        <v>362</v>
      </c>
      <c r="F491" s="61">
        <v>10.979699999999999</v>
      </c>
      <c r="H491" s="62" t="s">
        <v>1283</v>
      </c>
      <c r="I491" s="58">
        <f t="shared" si="33"/>
        <v>43927</v>
      </c>
      <c r="J491" s="60">
        <f t="shared" si="32"/>
        <v>2020</v>
      </c>
      <c r="K491" s="63" t="s">
        <v>362</v>
      </c>
      <c r="L491" s="63" t="s">
        <v>362</v>
      </c>
      <c r="M491" s="64">
        <v>24.108699999999999</v>
      </c>
    </row>
    <row r="492" spans="1:13">
      <c r="A492" s="65" t="s">
        <v>1284</v>
      </c>
      <c r="B492" s="66">
        <f t="shared" si="30"/>
        <v>39179</v>
      </c>
      <c r="C492" s="67">
        <f t="shared" si="31"/>
        <v>2007</v>
      </c>
      <c r="D492" s="70" t="s">
        <v>362</v>
      </c>
      <c r="E492" s="70" t="s">
        <v>362</v>
      </c>
      <c r="F492" s="68">
        <v>10.979699999999999</v>
      </c>
      <c r="H492" s="69" t="s">
        <v>1285</v>
      </c>
      <c r="I492" s="66">
        <f t="shared" si="33"/>
        <v>43928</v>
      </c>
      <c r="J492" s="70">
        <f t="shared" si="32"/>
        <v>2020</v>
      </c>
      <c r="K492" s="71">
        <v>24.689499999999999</v>
      </c>
      <c r="L492" s="71">
        <v>24.6938</v>
      </c>
      <c r="M492" s="71">
        <v>24.108699999999999</v>
      </c>
    </row>
    <row r="493" spans="1:13">
      <c r="A493" s="57" t="s">
        <v>1286</v>
      </c>
      <c r="B493" s="58">
        <f t="shared" si="30"/>
        <v>39180</v>
      </c>
      <c r="C493" s="59">
        <f t="shared" si="31"/>
        <v>2007</v>
      </c>
      <c r="D493" s="60" t="s">
        <v>362</v>
      </c>
      <c r="E493" s="60" t="s">
        <v>362</v>
      </c>
      <c r="F493" s="61">
        <v>10.979699999999999</v>
      </c>
      <c r="H493" s="62" t="s">
        <v>1287</v>
      </c>
      <c r="I493" s="58">
        <f t="shared" si="33"/>
        <v>43929</v>
      </c>
      <c r="J493" s="60">
        <f t="shared" si="32"/>
        <v>2020</v>
      </c>
      <c r="K493" s="64">
        <v>24.038799999999998</v>
      </c>
      <c r="L493" s="64">
        <v>24.689499999999999</v>
      </c>
      <c r="M493" s="64">
        <v>24.6938</v>
      </c>
    </row>
    <row r="494" spans="1:13">
      <c r="A494" s="65" t="s">
        <v>1288</v>
      </c>
      <c r="B494" s="66">
        <f t="shared" si="30"/>
        <v>39181</v>
      </c>
      <c r="C494" s="67">
        <f t="shared" si="31"/>
        <v>2007</v>
      </c>
      <c r="D494" s="68">
        <v>10.970499999999999</v>
      </c>
      <c r="E494" s="68">
        <v>10.9976</v>
      </c>
      <c r="F494" s="68">
        <v>10.979699999999999</v>
      </c>
      <c r="H494" s="69" t="s">
        <v>1289</v>
      </c>
      <c r="I494" s="66">
        <f t="shared" si="33"/>
        <v>43930</v>
      </c>
      <c r="J494" s="70">
        <f t="shared" si="32"/>
        <v>2020</v>
      </c>
      <c r="K494" s="71">
        <v>24.092500000000001</v>
      </c>
      <c r="L494" s="71">
        <v>24.038799999999998</v>
      </c>
      <c r="M494" s="71">
        <v>24.689499999999999</v>
      </c>
    </row>
    <row r="495" spans="1:13">
      <c r="A495" s="57" t="s">
        <v>1290</v>
      </c>
      <c r="B495" s="58">
        <f t="shared" si="30"/>
        <v>39182</v>
      </c>
      <c r="C495" s="59">
        <f t="shared" si="31"/>
        <v>2007</v>
      </c>
      <c r="D495" s="61">
        <v>11.012600000000001</v>
      </c>
      <c r="E495" s="61">
        <v>10.970499999999999</v>
      </c>
      <c r="F495" s="61">
        <v>10.9976</v>
      </c>
      <c r="H495" s="62" t="s">
        <v>1291</v>
      </c>
      <c r="I495" s="58">
        <f t="shared" si="33"/>
        <v>43931</v>
      </c>
      <c r="J495" s="60">
        <f t="shared" si="32"/>
        <v>2020</v>
      </c>
      <c r="K495" s="63" t="s">
        <v>362</v>
      </c>
      <c r="L495" s="63" t="s">
        <v>362</v>
      </c>
      <c r="M495" s="64">
        <v>24.038799999999998</v>
      </c>
    </row>
    <row r="496" spans="1:13">
      <c r="A496" s="65" t="s">
        <v>1292</v>
      </c>
      <c r="B496" s="66">
        <f t="shared" si="30"/>
        <v>39183</v>
      </c>
      <c r="C496" s="67">
        <f t="shared" si="31"/>
        <v>2007</v>
      </c>
      <c r="D496" s="68">
        <v>10.984</v>
      </c>
      <c r="E496" s="68">
        <v>11.012600000000001</v>
      </c>
      <c r="F496" s="68">
        <v>10.970499999999999</v>
      </c>
      <c r="H496" s="69" t="s">
        <v>1293</v>
      </c>
      <c r="I496" s="66">
        <f t="shared" si="33"/>
        <v>43932</v>
      </c>
      <c r="J496" s="70">
        <f t="shared" si="32"/>
        <v>2020</v>
      </c>
      <c r="K496" s="72" t="s">
        <v>362</v>
      </c>
      <c r="L496" s="72" t="s">
        <v>362</v>
      </c>
      <c r="M496" s="71">
        <v>24.038799999999998</v>
      </c>
    </row>
    <row r="497" spans="1:13">
      <c r="A497" s="57" t="s">
        <v>1294</v>
      </c>
      <c r="B497" s="58">
        <f t="shared" si="30"/>
        <v>39184</v>
      </c>
      <c r="C497" s="59">
        <f t="shared" si="31"/>
        <v>2007</v>
      </c>
      <c r="D497" s="61">
        <v>11.013500000000001</v>
      </c>
      <c r="E497" s="61">
        <v>10.984</v>
      </c>
      <c r="F497" s="61">
        <v>11.012600000000001</v>
      </c>
      <c r="H497" s="62" t="s">
        <v>1295</v>
      </c>
      <c r="I497" s="58">
        <f t="shared" si="33"/>
        <v>43933</v>
      </c>
      <c r="J497" s="60">
        <f t="shared" si="32"/>
        <v>2020</v>
      </c>
      <c r="K497" s="63" t="s">
        <v>362</v>
      </c>
      <c r="L497" s="63" t="s">
        <v>362</v>
      </c>
      <c r="M497" s="64">
        <v>24.038799999999998</v>
      </c>
    </row>
    <row r="498" spans="1:13">
      <c r="A498" s="65" t="s">
        <v>1296</v>
      </c>
      <c r="B498" s="66">
        <f t="shared" si="30"/>
        <v>39185</v>
      </c>
      <c r="C498" s="67">
        <f t="shared" si="31"/>
        <v>2007</v>
      </c>
      <c r="D498" s="68">
        <v>10.9917</v>
      </c>
      <c r="E498" s="68">
        <v>11.013500000000001</v>
      </c>
      <c r="F498" s="68">
        <v>10.984</v>
      </c>
      <c r="H498" s="69" t="s">
        <v>1297</v>
      </c>
      <c r="I498" s="66">
        <f t="shared" si="33"/>
        <v>43934</v>
      </c>
      <c r="J498" s="70">
        <f t="shared" si="32"/>
        <v>2020</v>
      </c>
      <c r="K498" s="72" t="s">
        <v>362</v>
      </c>
      <c r="L498" s="72" t="s">
        <v>362</v>
      </c>
      <c r="M498" s="71">
        <v>24.038799999999998</v>
      </c>
    </row>
    <row r="499" spans="1:13">
      <c r="A499" s="57" t="s">
        <v>1298</v>
      </c>
      <c r="B499" s="58">
        <f t="shared" si="30"/>
        <v>39186</v>
      </c>
      <c r="C499" s="59">
        <f t="shared" si="31"/>
        <v>2007</v>
      </c>
      <c r="D499" s="60" t="s">
        <v>362</v>
      </c>
      <c r="E499" s="60" t="s">
        <v>362</v>
      </c>
      <c r="F499" s="61">
        <v>11.013500000000001</v>
      </c>
      <c r="H499" s="62" t="s">
        <v>1299</v>
      </c>
      <c r="I499" s="58">
        <f t="shared" si="33"/>
        <v>43935</v>
      </c>
      <c r="J499" s="60">
        <f t="shared" si="32"/>
        <v>2020</v>
      </c>
      <c r="K499" s="64">
        <v>23.742699999999999</v>
      </c>
      <c r="L499" s="64">
        <v>24.092500000000001</v>
      </c>
      <c r="M499" s="64">
        <v>24.038799999999998</v>
      </c>
    </row>
    <row r="500" spans="1:13">
      <c r="A500" s="65" t="s">
        <v>1300</v>
      </c>
      <c r="B500" s="66">
        <f t="shared" si="30"/>
        <v>39187</v>
      </c>
      <c r="C500" s="67">
        <f t="shared" si="31"/>
        <v>2007</v>
      </c>
      <c r="D500" s="70" t="s">
        <v>362</v>
      </c>
      <c r="E500" s="70" t="s">
        <v>362</v>
      </c>
      <c r="F500" s="68">
        <v>11.013500000000001</v>
      </c>
      <c r="H500" s="69" t="s">
        <v>1301</v>
      </c>
      <c r="I500" s="66">
        <f t="shared" si="33"/>
        <v>43936</v>
      </c>
      <c r="J500" s="70">
        <f t="shared" si="32"/>
        <v>2020</v>
      </c>
      <c r="K500" s="71">
        <v>23.564499999999999</v>
      </c>
      <c r="L500" s="71">
        <v>23.742699999999999</v>
      </c>
      <c r="M500" s="71">
        <v>24.092500000000001</v>
      </c>
    </row>
    <row r="501" spans="1:13">
      <c r="A501" s="57" t="s">
        <v>1302</v>
      </c>
      <c r="B501" s="58">
        <f t="shared" si="30"/>
        <v>39188</v>
      </c>
      <c r="C501" s="59">
        <f t="shared" si="31"/>
        <v>2007</v>
      </c>
      <c r="D501" s="61">
        <v>10.9856</v>
      </c>
      <c r="E501" s="61">
        <v>10.9917</v>
      </c>
      <c r="F501" s="61">
        <v>11.013500000000001</v>
      </c>
      <c r="H501" s="62" t="s">
        <v>1303</v>
      </c>
      <c r="I501" s="58">
        <f t="shared" si="33"/>
        <v>43937</v>
      </c>
      <c r="J501" s="60">
        <f t="shared" si="32"/>
        <v>2020</v>
      </c>
      <c r="K501" s="64">
        <v>24.115500000000001</v>
      </c>
      <c r="L501" s="64">
        <v>23.564499999999999</v>
      </c>
      <c r="M501" s="64">
        <v>23.742699999999999</v>
      </c>
    </row>
    <row r="502" spans="1:13">
      <c r="A502" s="65" t="s">
        <v>1304</v>
      </c>
      <c r="B502" s="66">
        <f t="shared" si="30"/>
        <v>39189</v>
      </c>
      <c r="C502" s="67">
        <f t="shared" si="31"/>
        <v>2007</v>
      </c>
      <c r="D502" s="68">
        <v>10.991099999999999</v>
      </c>
      <c r="E502" s="68">
        <v>10.9856</v>
      </c>
      <c r="F502" s="68">
        <v>10.9917</v>
      </c>
      <c r="H502" s="69" t="s">
        <v>1305</v>
      </c>
      <c r="I502" s="66">
        <f t="shared" si="33"/>
        <v>43938</v>
      </c>
      <c r="J502" s="70">
        <f t="shared" si="32"/>
        <v>2020</v>
      </c>
      <c r="K502" s="71">
        <v>24.209800000000001</v>
      </c>
      <c r="L502" s="71">
        <v>24.115500000000001</v>
      </c>
      <c r="M502" s="71">
        <v>23.564499999999999</v>
      </c>
    </row>
    <row r="503" spans="1:13">
      <c r="A503" s="57" t="s">
        <v>1306</v>
      </c>
      <c r="B503" s="58">
        <f t="shared" si="30"/>
        <v>39190</v>
      </c>
      <c r="C503" s="59">
        <f t="shared" si="31"/>
        <v>2007</v>
      </c>
      <c r="D503" s="61">
        <v>10.992000000000001</v>
      </c>
      <c r="E503" s="61">
        <v>10.991099999999999</v>
      </c>
      <c r="F503" s="61">
        <v>10.9856</v>
      </c>
      <c r="H503" s="62" t="s">
        <v>1307</v>
      </c>
      <c r="I503" s="58">
        <f t="shared" si="33"/>
        <v>43939</v>
      </c>
      <c r="J503" s="60">
        <f t="shared" si="32"/>
        <v>2020</v>
      </c>
      <c r="K503" s="64">
        <v>23.901199999999999</v>
      </c>
      <c r="L503" s="64">
        <v>24.209800000000001</v>
      </c>
      <c r="M503" s="64">
        <v>24.115500000000001</v>
      </c>
    </row>
    <row r="504" spans="1:13">
      <c r="A504" s="65" t="s">
        <v>1308</v>
      </c>
      <c r="B504" s="66">
        <f t="shared" si="30"/>
        <v>39191</v>
      </c>
      <c r="C504" s="67">
        <f t="shared" si="31"/>
        <v>2007</v>
      </c>
      <c r="D504" s="68">
        <v>11.004799999999999</v>
      </c>
      <c r="E504" s="68">
        <v>10.992000000000001</v>
      </c>
      <c r="F504" s="68">
        <v>10.991099999999999</v>
      </c>
      <c r="H504" s="69" t="s">
        <v>1309</v>
      </c>
      <c r="I504" s="66">
        <f t="shared" si="33"/>
        <v>43940</v>
      </c>
      <c r="J504" s="70">
        <f t="shared" si="32"/>
        <v>2020</v>
      </c>
      <c r="K504" s="72" t="s">
        <v>362</v>
      </c>
      <c r="L504" s="72" t="s">
        <v>362</v>
      </c>
      <c r="M504" s="71">
        <v>24.209800000000001</v>
      </c>
    </row>
    <row r="505" spans="1:13">
      <c r="A505" s="57" t="s">
        <v>1310</v>
      </c>
      <c r="B505" s="58">
        <f t="shared" si="30"/>
        <v>39192</v>
      </c>
      <c r="C505" s="59">
        <f t="shared" si="31"/>
        <v>2007</v>
      </c>
      <c r="D505" s="61">
        <v>10.978999999999999</v>
      </c>
      <c r="E505" s="61">
        <v>11.004799999999999</v>
      </c>
      <c r="F505" s="61">
        <v>10.992000000000001</v>
      </c>
      <c r="H505" s="62" t="s">
        <v>1311</v>
      </c>
      <c r="I505" s="58">
        <f t="shared" si="33"/>
        <v>43941</v>
      </c>
      <c r="J505" s="60">
        <f t="shared" si="32"/>
        <v>2020</v>
      </c>
      <c r="K505" s="63" t="s">
        <v>362</v>
      </c>
      <c r="L505" s="63" t="s">
        <v>362</v>
      </c>
      <c r="M505" s="64">
        <v>24.209800000000001</v>
      </c>
    </row>
    <row r="506" spans="1:13">
      <c r="A506" s="65" t="s">
        <v>1312</v>
      </c>
      <c r="B506" s="66">
        <f t="shared" si="30"/>
        <v>39193</v>
      </c>
      <c r="C506" s="67">
        <f t="shared" si="31"/>
        <v>2007</v>
      </c>
      <c r="D506" s="70" t="s">
        <v>362</v>
      </c>
      <c r="E506" s="70" t="s">
        <v>362</v>
      </c>
      <c r="F506" s="68">
        <v>11.004799999999999</v>
      </c>
      <c r="H506" s="69" t="s">
        <v>1313</v>
      </c>
      <c r="I506" s="66">
        <f t="shared" si="33"/>
        <v>43942</v>
      </c>
      <c r="J506" s="70">
        <f t="shared" si="32"/>
        <v>2020</v>
      </c>
      <c r="K506" s="71">
        <v>24.0077</v>
      </c>
      <c r="L506" s="71">
        <v>23.901199999999999</v>
      </c>
      <c r="M506" s="71">
        <v>24.209800000000001</v>
      </c>
    </row>
    <row r="507" spans="1:13">
      <c r="A507" s="57" t="s">
        <v>1314</v>
      </c>
      <c r="B507" s="58">
        <f t="shared" si="30"/>
        <v>39194</v>
      </c>
      <c r="C507" s="59">
        <f t="shared" si="31"/>
        <v>2007</v>
      </c>
      <c r="D507" s="60" t="s">
        <v>362</v>
      </c>
      <c r="E507" s="60" t="s">
        <v>362</v>
      </c>
      <c r="F507" s="61">
        <v>11.004799999999999</v>
      </c>
      <c r="H507" s="62" t="s">
        <v>1315</v>
      </c>
      <c r="I507" s="58">
        <f t="shared" si="33"/>
        <v>43943</v>
      </c>
      <c r="J507" s="60">
        <f t="shared" si="32"/>
        <v>2020</v>
      </c>
      <c r="K507" s="64">
        <v>24.424800000000001</v>
      </c>
      <c r="L507" s="64">
        <v>24.0077</v>
      </c>
      <c r="M507" s="64">
        <v>23.901199999999999</v>
      </c>
    </row>
    <row r="508" spans="1:13">
      <c r="A508" s="65" t="s">
        <v>1316</v>
      </c>
      <c r="B508" s="66">
        <f t="shared" si="30"/>
        <v>39195</v>
      </c>
      <c r="C508" s="67">
        <f t="shared" si="31"/>
        <v>2007</v>
      </c>
      <c r="D508" s="68">
        <v>10.963699999999999</v>
      </c>
      <c r="E508" s="68">
        <v>10.978999999999999</v>
      </c>
      <c r="F508" s="68">
        <v>11.004799999999999</v>
      </c>
      <c r="H508" s="69" t="s">
        <v>1317</v>
      </c>
      <c r="I508" s="66">
        <f t="shared" si="33"/>
        <v>43944</v>
      </c>
      <c r="J508" s="70">
        <f t="shared" si="32"/>
        <v>2020</v>
      </c>
      <c r="K508" s="71">
        <v>24.5883</v>
      </c>
      <c r="L508" s="71">
        <v>24.424800000000001</v>
      </c>
      <c r="M508" s="71">
        <v>24.0077</v>
      </c>
    </row>
    <row r="509" spans="1:13">
      <c r="A509" s="57" t="s">
        <v>1318</v>
      </c>
      <c r="B509" s="58">
        <f t="shared" si="30"/>
        <v>39196</v>
      </c>
      <c r="C509" s="59">
        <f t="shared" si="31"/>
        <v>2007</v>
      </c>
      <c r="D509" s="61">
        <v>11.0053</v>
      </c>
      <c r="E509" s="61">
        <v>10.963699999999999</v>
      </c>
      <c r="F509" s="61">
        <v>10.978999999999999</v>
      </c>
      <c r="H509" s="62" t="s">
        <v>1319</v>
      </c>
      <c r="I509" s="58">
        <f t="shared" si="33"/>
        <v>43945</v>
      </c>
      <c r="J509" s="60">
        <f t="shared" si="32"/>
        <v>2020</v>
      </c>
      <c r="K509" s="64">
        <v>24.623000000000001</v>
      </c>
      <c r="L509" s="64">
        <v>24.5883</v>
      </c>
      <c r="M509" s="64">
        <v>24.424800000000001</v>
      </c>
    </row>
    <row r="510" spans="1:13">
      <c r="A510" s="65" t="s">
        <v>1320</v>
      </c>
      <c r="B510" s="66">
        <f t="shared" si="30"/>
        <v>39197</v>
      </c>
      <c r="C510" s="67">
        <f t="shared" si="31"/>
        <v>2007</v>
      </c>
      <c r="D510" s="68">
        <v>10.9369</v>
      </c>
      <c r="E510" s="68">
        <v>11.0053</v>
      </c>
      <c r="F510" s="68">
        <v>10.963699999999999</v>
      </c>
      <c r="H510" s="69" t="s">
        <v>1321</v>
      </c>
      <c r="I510" s="66">
        <f t="shared" si="33"/>
        <v>43946</v>
      </c>
      <c r="J510" s="70">
        <f t="shared" si="32"/>
        <v>2020</v>
      </c>
      <c r="K510" s="71">
        <v>24.8583</v>
      </c>
      <c r="L510" s="71">
        <v>24.623000000000001</v>
      </c>
      <c r="M510" s="71">
        <v>24.5883</v>
      </c>
    </row>
    <row r="511" spans="1:13">
      <c r="A511" s="57" t="s">
        <v>1322</v>
      </c>
      <c r="B511" s="58">
        <f t="shared" si="30"/>
        <v>39198</v>
      </c>
      <c r="C511" s="59">
        <f t="shared" si="31"/>
        <v>2007</v>
      </c>
      <c r="D511" s="61">
        <v>10.9312</v>
      </c>
      <c r="E511" s="61">
        <v>10.9369</v>
      </c>
      <c r="F511" s="61">
        <v>11.0053</v>
      </c>
      <c r="H511" s="62" t="s">
        <v>1323</v>
      </c>
      <c r="I511" s="58">
        <f t="shared" si="33"/>
        <v>43947</v>
      </c>
      <c r="J511" s="60">
        <f t="shared" si="32"/>
        <v>2020</v>
      </c>
      <c r="K511" s="63" t="s">
        <v>362</v>
      </c>
      <c r="L511" s="63" t="s">
        <v>362</v>
      </c>
      <c r="M511" s="64">
        <v>24.623000000000001</v>
      </c>
    </row>
    <row r="512" spans="1:13">
      <c r="A512" s="65" t="s">
        <v>1324</v>
      </c>
      <c r="B512" s="66">
        <f t="shared" si="30"/>
        <v>39199</v>
      </c>
      <c r="C512" s="67">
        <f t="shared" si="31"/>
        <v>2007</v>
      </c>
      <c r="D512" s="68">
        <v>10.9305</v>
      </c>
      <c r="E512" s="68">
        <v>10.9312</v>
      </c>
      <c r="F512" s="68">
        <v>10.9369</v>
      </c>
      <c r="H512" s="69" t="s">
        <v>1325</v>
      </c>
      <c r="I512" s="66">
        <f t="shared" si="33"/>
        <v>43948</v>
      </c>
      <c r="J512" s="70">
        <f t="shared" si="32"/>
        <v>2020</v>
      </c>
      <c r="K512" s="72" t="s">
        <v>362</v>
      </c>
      <c r="L512" s="72" t="s">
        <v>362</v>
      </c>
      <c r="M512" s="71">
        <v>24.623000000000001</v>
      </c>
    </row>
    <row r="513" spans="1:13">
      <c r="A513" s="57" t="s">
        <v>1326</v>
      </c>
      <c r="B513" s="58">
        <f t="shared" si="30"/>
        <v>39200</v>
      </c>
      <c r="C513" s="59">
        <f t="shared" si="31"/>
        <v>2007</v>
      </c>
      <c r="D513" s="60" t="s">
        <v>362</v>
      </c>
      <c r="E513" s="60" t="s">
        <v>362</v>
      </c>
      <c r="F513" s="61">
        <v>10.9312</v>
      </c>
      <c r="H513" s="62" t="s">
        <v>1327</v>
      </c>
      <c r="I513" s="58">
        <f t="shared" si="33"/>
        <v>43949</v>
      </c>
      <c r="J513" s="60">
        <f t="shared" si="32"/>
        <v>2020</v>
      </c>
      <c r="K513" s="64">
        <v>24.8492</v>
      </c>
      <c r="L513" s="64">
        <v>24.8583</v>
      </c>
      <c r="M513" s="64">
        <v>24.623000000000001</v>
      </c>
    </row>
    <row r="514" spans="1:13">
      <c r="A514" s="65" t="s">
        <v>1328</v>
      </c>
      <c r="B514" s="66">
        <f t="shared" si="30"/>
        <v>39201</v>
      </c>
      <c r="C514" s="67">
        <f t="shared" si="31"/>
        <v>2007</v>
      </c>
      <c r="D514" s="70" t="s">
        <v>362</v>
      </c>
      <c r="E514" s="70" t="s">
        <v>362</v>
      </c>
      <c r="F514" s="68">
        <v>10.9312</v>
      </c>
      <c r="H514" s="69" t="s">
        <v>1329</v>
      </c>
      <c r="I514" s="66">
        <f t="shared" si="33"/>
        <v>43950</v>
      </c>
      <c r="J514" s="70">
        <f t="shared" si="32"/>
        <v>2020</v>
      </c>
      <c r="K514" s="71">
        <v>24.388200000000001</v>
      </c>
      <c r="L514" s="71">
        <v>24.8492</v>
      </c>
      <c r="M514" s="71">
        <v>24.8583</v>
      </c>
    </row>
    <row r="515" spans="1:13">
      <c r="A515" s="57" t="s">
        <v>1330</v>
      </c>
      <c r="B515" s="58">
        <f t="shared" si="30"/>
        <v>39202</v>
      </c>
      <c r="C515" s="59">
        <f t="shared" si="31"/>
        <v>2007</v>
      </c>
      <c r="D515" s="61">
        <v>10.9278</v>
      </c>
      <c r="E515" s="61">
        <v>10.9305</v>
      </c>
      <c r="F515" s="61">
        <v>10.9312</v>
      </c>
      <c r="H515" s="62" t="s">
        <v>1331</v>
      </c>
      <c r="I515" s="58">
        <f t="shared" si="33"/>
        <v>43951</v>
      </c>
      <c r="J515" s="60">
        <f t="shared" si="32"/>
        <v>2020</v>
      </c>
      <c r="K515" s="64">
        <v>24.0002</v>
      </c>
      <c r="L515" s="64">
        <v>24.388200000000001</v>
      </c>
      <c r="M515" s="64">
        <v>24.8492</v>
      </c>
    </row>
    <row r="516" spans="1:13">
      <c r="A516" s="65" t="s">
        <v>1332</v>
      </c>
      <c r="B516" s="66">
        <f t="shared" si="30"/>
        <v>39203</v>
      </c>
      <c r="C516" s="67">
        <f t="shared" si="31"/>
        <v>2007</v>
      </c>
      <c r="D516" s="70" t="s">
        <v>362</v>
      </c>
      <c r="E516" s="70" t="s">
        <v>362</v>
      </c>
      <c r="F516" s="68">
        <v>10.9305</v>
      </c>
      <c r="H516" s="69" t="s">
        <v>1333</v>
      </c>
      <c r="I516" s="66">
        <f t="shared" si="33"/>
        <v>43952</v>
      </c>
      <c r="J516" s="70">
        <f t="shared" si="32"/>
        <v>2020</v>
      </c>
      <c r="K516" s="71">
        <v>23.9283</v>
      </c>
      <c r="L516" s="71">
        <v>24.0002</v>
      </c>
      <c r="M516" s="71">
        <v>24.388200000000001</v>
      </c>
    </row>
    <row r="517" spans="1:13">
      <c r="A517" s="57" t="s">
        <v>1334</v>
      </c>
      <c r="B517" s="58">
        <f t="shared" si="30"/>
        <v>39204</v>
      </c>
      <c r="C517" s="59">
        <f t="shared" si="31"/>
        <v>2007</v>
      </c>
      <c r="D517" s="61">
        <v>10.9262</v>
      </c>
      <c r="E517" s="61">
        <v>10.9278</v>
      </c>
      <c r="F517" s="61">
        <v>10.9305</v>
      </c>
      <c r="H517" s="62" t="s">
        <v>1335</v>
      </c>
      <c r="I517" s="58">
        <f t="shared" si="33"/>
        <v>43953</v>
      </c>
      <c r="J517" s="60">
        <f t="shared" si="32"/>
        <v>2020</v>
      </c>
      <c r="K517" s="63" t="s">
        <v>362</v>
      </c>
      <c r="L517" s="63" t="s">
        <v>362</v>
      </c>
      <c r="M517" s="64">
        <v>24.0002</v>
      </c>
    </row>
    <row r="518" spans="1:13">
      <c r="A518" s="65" t="s">
        <v>1336</v>
      </c>
      <c r="B518" s="66">
        <f t="shared" si="30"/>
        <v>39205</v>
      </c>
      <c r="C518" s="67">
        <f t="shared" si="31"/>
        <v>2007</v>
      </c>
      <c r="D518" s="68">
        <v>10.901999999999999</v>
      </c>
      <c r="E518" s="68">
        <v>10.9262</v>
      </c>
      <c r="F518" s="68">
        <v>10.9278</v>
      </c>
      <c r="H518" s="69" t="s">
        <v>1337</v>
      </c>
      <c r="I518" s="66">
        <f t="shared" si="33"/>
        <v>43954</v>
      </c>
      <c r="J518" s="70">
        <f t="shared" si="32"/>
        <v>2020</v>
      </c>
      <c r="K518" s="72" t="s">
        <v>362</v>
      </c>
      <c r="L518" s="72" t="s">
        <v>362</v>
      </c>
      <c r="M518" s="71">
        <v>24.0002</v>
      </c>
    </row>
    <row r="519" spans="1:13">
      <c r="A519" s="57" t="s">
        <v>1338</v>
      </c>
      <c r="B519" s="58">
        <f t="shared" si="30"/>
        <v>39206</v>
      </c>
      <c r="C519" s="59">
        <f t="shared" si="31"/>
        <v>2007</v>
      </c>
      <c r="D519" s="61">
        <v>10.885199999999999</v>
      </c>
      <c r="E519" s="61">
        <v>10.901999999999999</v>
      </c>
      <c r="F519" s="61">
        <v>10.9262</v>
      </c>
      <c r="H519" s="62" t="s">
        <v>1339</v>
      </c>
      <c r="I519" s="58">
        <f t="shared" si="33"/>
        <v>43955</v>
      </c>
      <c r="J519" s="60">
        <f t="shared" si="32"/>
        <v>2020</v>
      </c>
      <c r="K519" s="63" t="s">
        <v>362</v>
      </c>
      <c r="L519" s="63" t="s">
        <v>362</v>
      </c>
      <c r="M519" s="64">
        <v>24.0002</v>
      </c>
    </row>
    <row r="520" spans="1:13">
      <c r="A520" s="65" t="s">
        <v>1340</v>
      </c>
      <c r="B520" s="66">
        <f t="shared" si="30"/>
        <v>39207</v>
      </c>
      <c r="C520" s="67">
        <f t="shared" si="31"/>
        <v>2007</v>
      </c>
      <c r="D520" s="70" t="s">
        <v>362</v>
      </c>
      <c r="E520" s="70" t="s">
        <v>362</v>
      </c>
      <c r="F520" s="68">
        <v>10.901999999999999</v>
      </c>
      <c r="H520" s="69" t="s">
        <v>1341</v>
      </c>
      <c r="I520" s="66">
        <f t="shared" si="33"/>
        <v>43956</v>
      </c>
      <c r="J520" s="70">
        <f t="shared" si="32"/>
        <v>2020</v>
      </c>
      <c r="K520" s="71">
        <v>24.3812</v>
      </c>
      <c r="L520" s="71">
        <v>23.9283</v>
      </c>
      <c r="M520" s="71">
        <v>24.0002</v>
      </c>
    </row>
    <row r="521" spans="1:13">
      <c r="A521" s="57" t="s">
        <v>1342</v>
      </c>
      <c r="B521" s="58">
        <f t="shared" si="30"/>
        <v>39208</v>
      </c>
      <c r="C521" s="59">
        <f t="shared" si="31"/>
        <v>2007</v>
      </c>
      <c r="D521" s="60" t="s">
        <v>362</v>
      </c>
      <c r="E521" s="60" t="s">
        <v>362</v>
      </c>
      <c r="F521" s="61">
        <v>10.901999999999999</v>
      </c>
      <c r="H521" s="62" t="s">
        <v>1343</v>
      </c>
      <c r="I521" s="58">
        <f t="shared" si="33"/>
        <v>43957</v>
      </c>
      <c r="J521" s="60">
        <f t="shared" si="32"/>
        <v>2020</v>
      </c>
      <c r="K521" s="64">
        <v>23.834299999999999</v>
      </c>
      <c r="L521" s="64">
        <v>24.3812</v>
      </c>
      <c r="M521" s="64">
        <v>23.9283</v>
      </c>
    </row>
    <row r="522" spans="1:13">
      <c r="A522" s="65" t="s">
        <v>1344</v>
      </c>
      <c r="B522" s="66">
        <f t="shared" si="30"/>
        <v>39209</v>
      </c>
      <c r="C522" s="67">
        <f t="shared" si="31"/>
        <v>2007</v>
      </c>
      <c r="D522" s="68">
        <v>10.8558</v>
      </c>
      <c r="E522" s="68">
        <v>10.885199999999999</v>
      </c>
      <c r="F522" s="68">
        <v>10.901999999999999</v>
      </c>
      <c r="H522" s="69" t="s">
        <v>1345</v>
      </c>
      <c r="I522" s="66">
        <f t="shared" si="33"/>
        <v>43958</v>
      </c>
      <c r="J522" s="70">
        <f t="shared" si="32"/>
        <v>2020</v>
      </c>
      <c r="K522" s="71">
        <v>24.2942</v>
      </c>
      <c r="L522" s="71">
        <v>23.834299999999999</v>
      </c>
      <c r="M522" s="71">
        <v>24.3812</v>
      </c>
    </row>
    <row r="523" spans="1:13">
      <c r="A523" s="57" t="s">
        <v>1346</v>
      </c>
      <c r="B523" s="58">
        <f t="shared" si="30"/>
        <v>39210</v>
      </c>
      <c r="C523" s="59">
        <f t="shared" si="31"/>
        <v>2007</v>
      </c>
      <c r="D523" s="61">
        <v>10.8513</v>
      </c>
      <c r="E523" s="61">
        <v>10.8558</v>
      </c>
      <c r="F523" s="61">
        <v>10.885199999999999</v>
      </c>
      <c r="H523" s="62" t="s">
        <v>1347</v>
      </c>
      <c r="I523" s="58">
        <f t="shared" si="33"/>
        <v>43959</v>
      </c>
      <c r="J523" s="60">
        <f t="shared" si="32"/>
        <v>2020</v>
      </c>
      <c r="K523" s="64">
        <v>24.0563</v>
      </c>
      <c r="L523" s="64">
        <v>24.2942</v>
      </c>
      <c r="M523" s="64">
        <v>23.834299999999999</v>
      </c>
    </row>
    <row r="524" spans="1:13">
      <c r="A524" s="65" t="s">
        <v>1348</v>
      </c>
      <c r="B524" s="66">
        <f t="shared" si="30"/>
        <v>39211</v>
      </c>
      <c r="C524" s="67">
        <f t="shared" si="31"/>
        <v>2007</v>
      </c>
      <c r="D524" s="68">
        <v>10.8269</v>
      </c>
      <c r="E524" s="68">
        <v>10.8513</v>
      </c>
      <c r="F524" s="68">
        <v>10.8558</v>
      </c>
      <c r="H524" s="69" t="s">
        <v>1349</v>
      </c>
      <c r="I524" s="66">
        <f t="shared" si="33"/>
        <v>43960</v>
      </c>
      <c r="J524" s="70">
        <f t="shared" si="32"/>
        <v>2020</v>
      </c>
      <c r="K524" s="71">
        <v>23.680499999999999</v>
      </c>
      <c r="L524" s="71">
        <v>24.0563</v>
      </c>
      <c r="M524" s="71">
        <v>24.2942</v>
      </c>
    </row>
    <row r="525" spans="1:13">
      <c r="A525" s="57" t="s">
        <v>1350</v>
      </c>
      <c r="B525" s="58">
        <f t="shared" si="30"/>
        <v>39212</v>
      </c>
      <c r="C525" s="59">
        <f t="shared" si="31"/>
        <v>2007</v>
      </c>
      <c r="D525" s="61">
        <v>10.8178</v>
      </c>
      <c r="E525" s="61">
        <v>10.8269</v>
      </c>
      <c r="F525" s="61">
        <v>10.8513</v>
      </c>
      <c r="H525" s="62" t="s">
        <v>1351</v>
      </c>
      <c r="I525" s="58">
        <f t="shared" si="33"/>
        <v>43961</v>
      </c>
      <c r="J525" s="60">
        <f t="shared" si="32"/>
        <v>2020</v>
      </c>
      <c r="K525" s="63" t="s">
        <v>362</v>
      </c>
      <c r="L525" s="63" t="s">
        <v>362</v>
      </c>
      <c r="M525" s="64">
        <v>24.0563</v>
      </c>
    </row>
    <row r="526" spans="1:13">
      <c r="A526" s="65" t="s">
        <v>1352</v>
      </c>
      <c r="B526" s="66">
        <f t="shared" si="30"/>
        <v>39213</v>
      </c>
      <c r="C526" s="67">
        <f t="shared" si="31"/>
        <v>2007</v>
      </c>
      <c r="D526" s="68">
        <v>10.8148</v>
      </c>
      <c r="E526" s="68">
        <v>10.8178</v>
      </c>
      <c r="F526" s="68">
        <v>10.8269</v>
      </c>
      <c r="H526" s="69" t="s">
        <v>1353</v>
      </c>
      <c r="I526" s="66">
        <f t="shared" si="33"/>
        <v>43962</v>
      </c>
      <c r="J526" s="70">
        <f t="shared" si="32"/>
        <v>2020</v>
      </c>
      <c r="K526" s="72" t="s">
        <v>362</v>
      </c>
      <c r="L526" s="72" t="s">
        <v>362</v>
      </c>
      <c r="M526" s="71">
        <v>24.0563</v>
      </c>
    </row>
    <row r="527" spans="1:13">
      <c r="A527" s="57" t="s">
        <v>1354</v>
      </c>
      <c r="B527" s="58">
        <f t="shared" si="30"/>
        <v>39214</v>
      </c>
      <c r="C527" s="59">
        <f t="shared" si="31"/>
        <v>2007</v>
      </c>
      <c r="D527" s="60" t="s">
        <v>362</v>
      </c>
      <c r="E527" s="60" t="s">
        <v>362</v>
      </c>
      <c r="F527" s="61">
        <v>10.8178</v>
      </c>
      <c r="H527" s="62" t="s">
        <v>1355</v>
      </c>
      <c r="I527" s="58">
        <f t="shared" si="33"/>
        <v>43963</v>
      </c>
      <c r="J527" s="60">
        <f t="shared" si="32"/>
        <v>2020</v>
      </c>
      <c r="K527" s="64">
        <v>23.869299999999999</v>
      </c>
      <c r="L527" s="64">
        <v>23.680499999999999</v>
      </c>
      <c r="M527" s="64">
        <v>24.0563</v>
      </c>
    </row>
    <row r="528" spans="1:13">
      <c r="A528" s="65" t="s">
        <v>1356</v>
      </c>
      <c r="B528" s="66">
        <f t="shared" si="30"/>
        <v>39215</v>
      </c>
      <c r="C528" s="67">
        <f t="shared" si="31"/>
        <v>2007</v>
      </c>
      <c r="D528" s="70" t="s">
        <v>362</v>
      </c>
      <c r="E528" s="70" t="s">
        <v>362</v>
      </c>
      <c r="F528" s="68">
        <v>10.8178</v>
      </c>
      <c r="H528" s="69" t="s">
        <v>1357</v>
      </c>
      <c r="I528" s="66">
        <f t="shared" si="33"/>
        <v>43964</v>
      </c>
      <c r="J528" s="70">
        <f t="shared" si="32"/>
        <v>2020</v>
      </c>
      <c r="K528" s="71">
        <v>24.0487</v>
      </c>
      <c r="L528" s="71">
        <v>23.869299999999999</v>
      </c>
      <c r="M528" s="71">
        <v>23.680499999999999</v>
      </c>
    </row>
    <row r="529" spans="1:13">
      <c r="A529" s="57" t="s">
        <v>1358</v>
      </c>
      <c r="B529" s="58">
        <f t="shared" si="30"/>
        <v>39216</v>
      </c>
      <c r="C529" s="59">
        <f t="shared" si="31"/>
        <v>2007</v>
      </c>
      <c r="D529" s="61">
        <v>10.7987</v>
      </c>
      <c r="E529" s="61">
        <v>10.8148</v>
      </c>
      <c r="F529" s="61">
        <v>10.8178</v>
      </c>
      <c r="H529" s="62" t="s">
        <v>1359</v>
      </c>
      <c r="I529" s="58">
        <f t="shared" si="33"/>
        <v>43965</v>
      </c>
      <c r="J529" s="60">
        <f t="shared" si="32"/>
        <v>2020</v>
      </c>
      <c r="K529" s="64">
        <v>24.211300000000001</v>
      </c>
      <c r="L529" s="64">
        <v>24.0487</v>
      </c>
      <c r="M529" s="64">
        <v>23.869299999999999</v>
      </c>
    </row>
    <row r="530" spans="1:13">
      <c r="A530" s="65" t="s">
        <v>1360</v>
      </c>
      <c r="B530" s="66">
        <f t="shared" si="30"/>
        <v>39217</v>
      </c>
      <c r="C530" s="67">
        <f t="shared" si="31"/>
        <v>2007</v>
      </c>
      <c r="D530" s="68">
        <v>10.8032</v>
      </c>
      <c r="E530" s="68">
        <v>10.7987</v>
      </c>
      <c r="F530" s="68">
        <v>10.8148</v>
      </c>
      <c r="H530" s="69" t="s">
        <v>1361</v>
      </c>
      <c r="I530" s="66">
        <f t="shared" si="33"/>
        <v>43966</v>
      </c>
      <c r="J530" s="70">
        <f t="shared" si="32"/>
        <v>2020</v>
      </c>
      <c r="K530" s="71">
        <v>24.270800000000001</v>
      </c>
      <c r="L530" s="71">
        <v>24.211300000000001</v>
      </c>
      <c r="M530" s="71">
        <v>24.0487</v>
      </c>
    </row>
    <row r="531" spans="1:13">
      <c r="A531" s="57" t="s">
        <v>1362</v>
      </c>
      <c r="B531" s="58">
        <f t="shared" si="30"/>
        <v>39218</v>
      </c>
      <c r="C531" s="59">
        <f t="shared" si="31"/>
        <v>2007</v>
      </c>
      <c r="D531" s="61">
        <v>10.7905</v>
      </c>
      <c r="E531" s="61">
        <v>10.8032</v>
      </c>
      <c r="F531" s="61">
        <v>10.7987</v>
      </c>
      <c r="H531" s="62" t="s">
        <v>1363</v>
      </c>
      <c r="I531" s="58">
        <f t="shared" si="33"/>
        <v>43967</v>
      </c>
      <c r="J531" s="60">
        <f t="shared" si="32"/>
        <v>2020</v>
      </c>
      <c r="K531" s="64">
        <v>23.957999999999998</v>
      </c>
      <c r="L531" s="64">
        <v>24.270800000000001</v>
      </c>
      <c r="M531" s="64">
        <v>24.211300000000001</v>
      </c>
    </row>
    <row r="532" spans="1:13">
      <c r="A532" s="65" t="s">
        <v>1364</v>
      </c>
      <c r="B532" s="66">
        <f t="shared" si="30"/>
        <v>39219</v>
      </c>
      <c r="C532" s="67">
        <f t="shared" si="31"/>
        <v>2007</v>
      </c>
      <c r="D532" s="68">
        <v>10.8033</v>
      </c>
      <c r="E532" s="68">
        <v>10.7905</v>
      </c>
      <c r="F532" s="68">
        <v>10.8032</v>
      </c>
      <c r="H532" s="69" t="s">
        <v>1365</v>
      </c>
      <c r="I532" s="66">
        <f t="shared" si="33"/>
        <v>43968</v>
      </c>
      <c r="J532" s="70">
        <f t="shared" si="32"/>
        <v>2020</v>
      </c>
      <c r="K532" s="72" t="s">
        <v>362</v>
      </c>
      <c r="L532" s="72" t="s">
        <v>362</v>
      </c>
      <c r="M532" s="71">
        <v>24.270800000000001</v>
      </c>
    </row>
    <row r="533" spans="1:13">
      <c r="A533" s="57" t="s">
        <v>1366</v>
      </c>
      <c r="B533" s="58">
        <f t="shared" si="30"/>
        <v>39220</v>
      </c>
      <c r="C533" s="59">
        <f t="shared" si="31"/>
        <v>2007</v>
      </c>
      <c r="D533" s="61">
        <v>10.8223</v>
      </c>
      <c r="E533" s="61">
        <v>10.8033</v>
      </c>
      <c r="F533" s="61">
        <v>10.7905</v>
      </c>
      <c r="H533" s="62" t="s">
        <v>1367</v>
      </c>
      <c r="I533" s="58">
        <f t="shared" si="33"/>
        <v>43969</v>
      </c>
      <c r="J533" s="60">
        <f t="shared" si="32"/>
        <v>2020</v>
      </c>
      <c r="K533" s="63" t="s">
        <v>362</v>
      </c>
      <c r="L533" s="63" t="s">
        <v>362</v>
      </c>
      <c r="M533" s="64">
        <v>24.270800000000001</v>
      </c>
    </row>
    <row r="534" spans="1:13">
      <c r="A534" s="65" t="s">
        <v>1368</v>
      </c>
      <c r="B534" s="66">
        <f t="shared" si="30"/>
        <v>39221</v>
      </c>
      <c r="C534" s="67">
        <f t="shared" si="31"/>
        <v>2007</v>
      </c>
      <c r="D534" s="70" t="s">
        <v>362</v>
      </c>
      <c r="E534" s="70" t="s">
        <v>362</v>
      </c>
      <c r="F534" s="68">
        <v>10.8033</v>
      </c>
      <c r="H534" s="69" t="s">
        <v>1369</v>
      </c>
      <c r="I534" s="66">
        <f t="shared" si="33"/>
        <v>43970</v>
      </c>
      <c r="J534" s="70">
        <f t="shared" si="32"/>
        <v>2020</v>
      </c>
      <c r="K534" s="71">
        <v>23.603200000000001</v>
      </c>
      <c r="L534" s="71">
        <v>23.957999999999998</v>
      </c>
      <c r="M534" s="71">
        <v>24.270800000000001</v>
      </c>
    </row>
    <row r="535" spans="1:13">
      <c r="A535" s="57" t="s">
        <v>1370</v>
      </c>
      <c r="B535" s="58">
        <f t="shared" si="30"/>
        <v>39222</v>
      </c>
      <c r="C535" s="59">
        <f t="shared" si="31"/>
        <v>2007</v>
      </c>
      <c r="D535" s="60" t="s">
        <v>362</v>
      </c>
      <c r="E535" s="60" t="s">
        <v>362</v>
      </c>
      <c r="F535" s="61">
        <v>10.8033</v>
      </c>
      <c r="H535" s="62" t="s">
        <v>1371</v>
      </c>
      <c r="I535" s="58">
        <f t="shared" si="33"/>
        <v>43971</v>
      </c>
      <c r="J535" s="60">
        <f t="shared" si="32"/>
        <v>2020</v>
      </c>
      <c r="K535" s="64">
        <v>23.6023</v>
      </c>
      <c r="L535" s="64">
        <v>23.603200000000001</v>
      </c>
      <c r="M535" s="64">
        <v>23.957999999999998</v>
      </c>
    </row>
    <row r="536" spans="1:13">
      <c r="A536" s="65" t="s">
        <v>1372</v>
      </c>
      <c r="B536" s="66">
        <f t="shared" si="30"/>
        <v>39223</v>
      </c>
      <c r="C536" s="67">
        <f t="shared" si="31"/>
        <v>2007</v>
      </c>
      <c r="D536" s="68">
        <v>10.7963</v>
      </c>
      <c r="E536" s="68">
        <v>10.8223</v>
      </c>
      <c r="F536" s="68">
        <v>10.8033</v>
      </c>
      <c r="H536" s="69" t="s">
        <v>1373</v>
      </c>
      <c r="I536" s="66">
        <f t="shared" si="33"/>
        <v>43972</v>
      </c>
      <c r="J536" s="70">
        <f t="shared" si="32"/>
        <v>2020</v>
      </c>
      <c r="K536" s="71">
        <v>23.296199999999999</v>
      </c>
      <c r="L536" s="71">
        <v>23.6023</v>
      </c>
      <c r="M536" s="71">
        <v>23.603200000000001</v>
      </c>
    </row>
    <row r="537" spans="1:13">
      <c r="A537" s="57" t="s">
        <v>1374</v>
      </c>
      <c r="B537" s="58">
        <f t="shared" si="30"/>
        <v>39224</v>
      </c>
      <c r="C537" s="59">
        <f t="shared" si="31"/>
        <v>2007</v>
      </c>
      <c r="D537" s="61">
        <v>10.7598</v>
      </c>
      <c r="E537" s="61">
        <v>10.7963</v>
      </c>
      <c r="F537" s="61">
        <v>10.8223</v>
      </c>
      <c r="H537" s="62" t="s">
        <v>1375</v>
      </c>
      <c r="I537" s="58">
        <f t="shared" si="33"/>
        <v>43973</v>
      </c>
      <c r="J537" s="60">
        <f t="shared" si="32"/>
        <v>2020</v>
      </c>
      <c r="K537" s="64">
        <v>22.96</v>
      </c>
      <c r="L537" s="64">
        <v>23.296199999999999</v>
      </c>
      <c r="M537" s="64">
        <v>23.6023</v>
      </c>
    </row>
    <row r="538" spans="1:13">
      <c r="A538" s="65" t="s">
        <v>1376</v>
      </c>
      <c r="B538" s="66">
        <f t="shared" si="30"/>
        <v>39225</v>
      </c>
      <c r="C538" s="67">
        <f t="shared" si="31"/>
        <v>2007</v>
      </c>
      <c r="D538" s="68">
        <v>10.768800000000001</v>
      </c>
      <c r="E538" s="68">
        <v>10.7598</v>
      </c>
      <c r="F538" s="68">
        <v>10.7963</v>
      </c>
      <c r="H538" s="69" t="s">
        <v>1377</v>
      </c>
      <c r="I538" s="66">
        <f t="shared" si="33"/>
        <v>43974</v>
      </c>
      <c r="J538" s="70">
        <f t="shared" si="32"/>
        <v>2020</v>
      </c>
      <c r="K538" s="71">
        <v>22.7928</v>
      </c>
      <c r="L538" s="71">
        <v>22.96</v>
      </c>
      <c r="M538" s="71">
        <v>23.296199999999999</v>
      </c>
    </row>
    <row r="539" spans="1:13">
      <c r="A539" s="57" t="s">
        <v>1378</v>
      </c>
      <c r="B539" s="58">
        <f t="shared" si="30"/>
        <v>39226</v>
      </c>
      <c r="C539" s="59">
        <f t="shared" si="31"/>
        <v>2007</v>
      </c>
      <c r="D539" s="61">
        <v>10.8354</v>
      </c>
      <c r="E539" s="61">
        <v>10.768800000000001</v>
      </c>
      <c r="F539" s="61">
        <v>10.7598</v>
      </c>
      <c r="H539" s="62" t="s">
        <v>1379</v>
      </c>
      <c r="I539" s="58">
        <f t="shared" si="33"/>
        <v>43975</v>
      </c>
      <c r="J539" s="60">
        <f t="shared" si="32"/>
        <v>2020</v>
      </c>
      <c r="K539" s="63" t="s">
        <v>362</v>
      </c>
      <c r="L539" s="63" t="s">
        <v>362</v>
      </c>
      <c r="M539" s="64">
        <v>22.96</v>
      </c>
    </row>
    <row r="540" spans="1:13">
      <c r="A540" s="65" t="s">
        <v>1380</v>
      </c>
      <c r="B540" s="66">
        <f t="shared" si="30"/>
        <v>39227</v>
      </c>
      <c r="C540" s="67">
        <f t="shared" si="31"/>
        <v>2007</v>
      </c>
      <c r="D540" s="68">
        <v>10.7803</v>
      </c>
      <c r="E540" s="68">
        <v>10.8354</v>
      </c>
      <c r="F540" s="68">
        <v>10.768800000000001</v>
      </c>
      <c r="H540" s="69" t="s">
        <v>1381</v>
      </c>
      <c r="I540" s="66">
        <f t="shared" si="33"/>
        <v>43976</v>
      </c>
      <c r="J540" s="70">
        <f t="shared" si="32"/>
        <v>2020</v>
      </c>
      <c r="K540" s="72" t="s">
        <v>362</v>
      </c>
      <c r="L540" s="72" t="s">
        <v>362</v>
      </c>
      <c r="M540" s="71">
        <v>22.96</v>
      </c>
    </row>
    <row r="541" spans="1:13">
      <c r="A541" s="57" t="s">
        <v>1382</v>
      </c>
      <c r="B541" s="58">
        <f t="shared" si="30"/>
        <v>39228</v>
      </c>
      <c r="C541" s="59">
        <f t="shared" si="31"/>
        <v>2007</v>
      </c>
      <c r="D541" s="60" t="s">
        <v>362</v>
      </c>
      <c r="E541" s="60" t="s">
        <v>362</v>
      </c>
      <c r="F541" s="61">
        <v>10.8354</v>
      </c>
      <c r="H541" s="62" t="s">
        <v>1383</v>
      </c>
      <c r="I541" s="58">
        <f t="shared" si="33"/>
        <v>43977</v>
      </c>
      <c r="J541" s="60">
        <f t="shared" si="32"/>
        <v>2020</v>
      </c>
      <c r="K541" s="64">
        <v>22.562999999999999</v>
      </c>
      <c r="L541" s="64">
        <v>22.7928</v>
      </c>
      <c r="M541" s="64">
        <v>22.96</v>
      </c>
    </row>
    <row r="542" spans="1:13">
      <c r="A542" s="65" t="s">
        <v>1384</v>
      </c>
      <c r="B542" s="66">
        <f t="shared" si="30"/>
        <v>39229</v>
      </c>
      <c r="C542" s="67">
        <f t="shared" si="31"/>
        <v>2007</v>
      </c>
      <c r="D542" s="70" t="s">
        <v>362</v>
      </c>
      <c r="E542" s="70" t="s">
        <v>362</v>
      </c>
      <c r="F542" s="68">
        <v>10.8354</v>
      </c>
      <c r="H542" s="69" t="s">
        <v>1385</v>
      </c>
      <c r="I542" s="66">
        <f t="shared" si="33"/>
        <v>43978</v>
      </c>
      <c r="J542" s="70">
        <f t="shared" si="32"/>
        <v>2020</v>
      </c>
      <c r="K542" s="71">
        <v>22.293199999999999</v>
      </c>
      <c r="L542" s="71">
        <v>22.562999999999999</v>
      </c>
      <c r="M542" s="71">
        <v>22.7928</v>
      </c>
    </row>
    <row r="543" spans="1:13">
      <c r="A543" s="57" t="s">
        <v>1386</v>
      </c>
      <c r="B543" s="58">
        <f t="shared" ref="B543:B606" si="34">DATE(RIGHT(A543,4),LEFT(RIGHT(A543,7),2),LEFT(A543,2))</f>
        <v>39230</v>
      </c>
      <c r="C543" s="59">
        <f t="shared" ref="C543:C606" si="35">YEAR(B543)</f>
        <v>2007</v>
      </c>
      <c r="D543" s="61">
        <v>10.7788</v>
      </c>
      <c r="E543" s="61">
        <v>10.7803</v>
      </c>
      <c r="F543" s="61">
        <v>10.8354</v>
      </c>
      <c r="H543" s="62" t="s">
        <v>1387</v>
      </c>
      <c r="I543" s="58">
        <f t="shared" si="33"/>
        <v>43979</v>
      </c>
      <c r="J543" s="60">
        <f t="shared" ref="J543:J606" si="36">YEAR(I543)</f>
        <v>2020</v>
      </c>
      <c r="K543" s="64">
        <v>22.363299999999999</v>
      </c>
      <c r="L543" s="64">
        <v>22.293199999999999</v>
      </c>
      <c r="M543" s="64">
        <v>22.562999999999999</v>
      </c>
    </row>
    <row r="544" spans="1:13">
      <c r="A544" s="65" t="s">
        <v>1388</v>
      </c>
      <c r="B544" s="66">
        <f t="shared" si="34"/>
        <v>39231</v>
      </c>
      <c r="C544" s="67">
        <f t="shared" si="35"/>
        <v>2007</v>
      </c>
      <c r="D544" s="68">
        <v>10.7873</v>
      </c>
      <c r="E544" s="68">
        <v>10.7788</v>
      </c>
      <c r="F544" s="68">
        <v>10.7803</v>
      </c>
      <c r="H544" s="69" t="s">
        <v>1389</v>
      </c>
      <c r="I544" s="66">
        <f t="shared" ref="I544:I607" si="37">DATE(RIGHT(H544,4),LEFT(RIGHT(A544,7),2),LEFT(A544,2))</f>
        <v>43980</v>
      </c>
      <c r="J544" s="70">
        <f t="shared" si="36"/>
        <v>2020</v>
      </c>
      <c r="K544" s="71">
        <v>22.204000000000001</v>
      </c>
      <c r="L544" s="71">
        <v>22.363299999999999</v>
      </c>
      <c r="M544" s="71">
        <v>22.293199999999999</v>
      </c>
    </row>
    <row r="545" spans="1:13">
      <c r="A545" s="57" t="s">
        <v>1390</v>
      </c>
      <c r="B545" s="58">
        <f t="shared" si="34"/>
        <v>39232</v>
      </c>
      <c r="C545" s="59">
        <f t="shared" si="35"/>
        <v>2007</v>
      </c>
      <c r="D545" s="61">
        <v>10.818</v>
      </c>
      <c r="E545" s="61">
        <v>10.7873</v>
      </c>
      <c r="F545" s="61">
        <v>10.7788</v>
      </c>
      <c r="H545" s="62" t="s">
        <v>1391</v>
      </c>
      <c r="I545" s="58">
        <f t="shared" si="37"/>
        <v>43981</v>
      </c>
      <c r="J545" s="60">
        <f t="shared" si="36"/>
        <v>2020</v>
      </c>
      <c r="K545" s="64">
        <v>22.177800000000001</v>
      </c>
      <c r="L545" s="64">
        <v>22.204000000000001</v>
      </c>
      <c r="M545" s="64">
        <v>22.363299999999999</v>
      </c>
    </row>
    <row r="546" spans="1:13">
      <c r="A546" s="65" t="s">
        <v>1392</v>
      </c>
      <c r="B546" s="66">
        <f t="shared" si="34"/>
        <v>39233</v>
      </c>
      <c r="C546" s="67">
        <f t="shared" si="35"/>
        <v>2007</v>
      </c>
      <c r="D546" s="68">
        <v>10.7445</v>
      </c>
      <c r="E546" s="68">
        <v>10.818</v>
      </c>
      <c r="F546" s="68">
        <v>10.7873</v>
      </c>
      <c r="H546" s="69" t="s">
        <v>1393</v>
      </c>
      <c r="I546" s="66">
        <f t="shared" si="37"/>
        <v>43982</v>
      </c>
      <c r="J546" s="70">
        <f t="shared" si="36"/>
        <v>2020</v>
      </c>
      <c r="K546" s="72" t="s">
        <v>362</v>
      </c>
      <c r="L546" s="72" t="s">
        <v>362</v>
      </c>
      <c r="M546" s="71">
        <v>22.204000000000001</v>
      </c>
    </row>
    <row r="547" spans="1:13">
      <c r="A547" s="57" t="s">
        <v>1394</v>
      </c>
      <c r="B547" s="58">
        <f t="shared" si="34"/>
        <v>39234</v>
      </c>
      <c r="C547" s="59">
        <f t="shared" si="35"/>
        <v>2007</v>
      </c>
      <c r="D547" s="61">
        <v>10.713100000000001</v>
      </c>
      <c r="E547" s="61">
        <v>10.7445</v>
      </c>
      <c r="F547" s="61">
        <v>10.818</v>
      </c>
      <c r="H547" s="62" t="s">
        <v>1395</v>
      </c>
      <c r="I547" s="58">
        <f t="shared" si="37"/>
        <v>43983</v>
      </c>
      <c r="J547" s="60">
        <f t="shared" si="36"/>
        <v>2020</v>
      </c>
      <c r="K547" s="63" t="s">
        <v>362</v>
      </c>
      <c r="L547" s="63" t="s">
        <v>362</v>
      </c>
      <c r="M547" s="64">
        <v>22.204000000000001</v>
      </c>
    </row>
    <row r="548" spans="1:13">
      <c r="A548" s="65" t="s">
        <v>1396</v>
      </c>
      <c r="B548" s="66">
        <f t="shared" si="34"/>
        <v>39235</v>
      </c>
      <c r="C548" s="67">
        <f t="shared" si="35"/>
        <v>2007</v>
      </c>
      <c r="D548" s="70" t="s">
        <v>362</v>
      </c>
      <c r="E548" s="70" t="s">
        <v>362</v>
      </c>
      <c r="F548" s="68">
        <v>10.7445</v>
      </c>
      <c r="H548" s="69" t="s">
        <v>1397</v>
      </c>
      <c r="I548" s="66">
        <f t="shared" si="37"/>
        <v>43984</v>
      </c>
      <c r="J548" s="70">
        <f t="shared" si="36"/>
        <v>2020</v>
      </c>
      <c r="K548" s="71">
        <v>22.0168</v>
      </c>
      <c r="L548" s="71">
        <v>22.177800000000001</v>
      </c>
      <c r="M548" s="71">
        <v>22.204000000000001</v>
      </c>
    </row>
    <row r="549" spans="1:13">
      <c r="A549" s="57" t="s">
        <v>1398</v>
      </c>
      <c r="B549" s="58">
        <f t="shared" si="34"/>
        <v>39236</v>
      </c>
      <c r="C549" s="59">
        <f t="shared" si="35"/>
        <v>2007</v>
      </c>
      <c r="D549" s="60" t="s">
        <v>362</v>
      </c>
      <c r="E549" s="60" t="s">
        <v>362</v>
      </c>
      <c r="F549" s="61">
        <v>10.7445</v>
      </c>
      <c r="H549" s="62" t="s">
        <v>1399</v>
      </c>
      <c r="I549" s="58">
        <f t="shared" si="37"/>
        <v>43985</v>
      </c>
      <c r="J549" s="60">
        <f t="shared" si="36"/>
        <v>2020</v>
      </c>
      <c r="K549" s="64">
        <v>21.682700000000001</v>
      </c>
      <c r="L549" s="64">
        <v>22.0168</v>
      </c>
      <c r="M549" s="64">
        <v>22.177800000000001</v>
      </c>
    </row>
    <row r="550" spans="1:13">
      <c r="A550" s="65" t="s">
        <v>1400</v>
      </c>
      <c r="B550" s="66">
        <f t="shared" si="34"/>
        <v>39237</v>
      </c>
      <c r="C550" s="67">
        <f t="shared" si="35"/>
        <v>2007</v>
      </c>
      <c r="D550" s="68">
        <v>10.7441</v>
      </c>
      <c r="E550" s="68">
        <v>10.713100000000001</v>
      </c>
      <c r="F550" s="68">
        <v>10.7445</v>
      </c>
      <c r="H550" s="69" t="s">
        <v>1401</v>
      </c>
      <c r="I550" s="66">
        <f t="shared" si="37"/>
        <v>43986</v>
      </c>
      <c r="J550" s="70">
        <f t="shared" si="36"/>
        <v>2020</v>
      </c>
      <c r="K550" s="71">
        <v>21.604299999999999</v>
      </c>
      <c r="L550" s="71">
        <v>21.682700000000001</v>
      </c>
      <c r="M550" s="71">
        <v>22.0168</v>
      </c>
    </row>
    <row r="551" spans="1:13">
      <c r="A551" s="57" t="s">
        <v>1402</v>
      </c>
      <c r="B551" s="58">
        <f t="shared" si="34"/>
        <v>39238</v>
      </c>
      <c r="C551" s="59">
        <f t="shared" si="35"/>
        <v>2007</v>
      </c>
      <c r="D551" s="61">
        <v>10.780900000000001</v>
      </c>
      <c r="E551" s="61">
        <v>10.7441</v>
      </c>
      <c r="F551" s="61">
        <v>10.713100000000001</v>
      </c>
      <c r="H551" s="62" t="s">
        <v>1403</v>
      </c>
      <c r="I551" s="58">
        <f t="shared" si="37"/>
        <v>43987</v>
      </c>
      <c r="J551" s="60">
        <f t="shared" si="36"/>
        <v>2020</v>
      </c>
      <c r="K551" s="64">
        <v>21.838799999999999</v>
      </c>
      <c r="L551" s="64">
        <v>21.604299999999999</v>
      </c>
      <c r="M551" s="64">
        <v>21.682700000000001</v>
      </c>
    </row>
    <row r="552" spans="1:13">
      <c r="A552" s="65" t="s">
        <v>1404</v>
      </c>
      <c r="B552" s="66">
        <f t="shared" si="34"/>
        <v>39239</v>
      </c>
      <c r="C552" s="67">
        <f t="shared" si="35"/>
        <v>2007</v>
      </c>
      <c r="D552" s="68">
        <v>10.845000000000001</v>
      </c>
      <c r="E552" s="68">
        <v>10.780900000000001</v>
      </c>
      <c r="F552" s="68">
        <v>10.7441</v>
      </c>
      <c r="H552" s="69" t="s">
        <v>1405</v>
      </c>
      <c r="I552" s="66">
        <f t="shared" si="37"/>
        <v>43988</v>
      </c>
      <c r="J552" s="70">
        <f t="shared" si="36"/>
        <v>2020</v>
      </c>
      <c r="K552" s="71">
        <v>21.5837</v>
      </c>
      <c r="L552" s="71">
        <v>21.838799999999999</v>
      </c>
      <c r="M552" s="71">
        <v>21.604299999999999</v>
      </c>
    </row>
    <row r="553" spans="1:13">
      <c r="A553" s="57" t="s">
        <v>1406</v>
      </c>
      <c r="B553" s="58">
        <f t="shared" si="34"/>
        <v>39240</v>
      </c>
      <c r="C553" s="59">
        <f t="shared" si="35"/>
        <v>2007</v>
      </c>
      <c r="D553" s="61">
        <v>10.904299999999999</v>
      </c>
      <c r="E553" s="61">
        <v>10.845000000000001</v>
      </c>
      <c r="F553" s="61">
        <v>10.780900000000001</v>
      </c>
      <c r="H553" s="62" t="s">
        <v>1407</v>
      </c>
      <c r="I553" s="58">
        <f t="shared" si="37"/>
        <v>43989</v>
      </c>
      <c r="J553" s="60">
        <f t="shared" si="36"/>
        <v>2020</v>
      </c>
      <c r="K553" s="63" t="s">
        <v>362</v>
      </c>
      <c r="L553" s="63" t="s">
        <v>362</v>
      </c>
      <c r="M553" s="64">
        <v>21.838799999999999</v>
      </c>
    </row>
    <row r="554" spans="1:13">
      <c r="A554" s="65" t="s">
        <v>1408</v>
      </c>
      <c r="B554" s="66">
        <f t="shared" si="34"/>
        <v>39241</v>
      </c>
      <c r="C554" s="67">
        <f t="shared" si="35"/>
        <v>2007</v>
      </c>
      <c r="D554" s="68">
        <v>10.9702</v>
      </c>
      <c r="E554" s="68">
        <v>10.904299999999999</v>
      </c>
      <c r="F554" s="68">
        <v>10.845000000000001</v>
      </c>
      <c r="H554" s="69" t="s">
        <v>1409</v>
      </c>
      <c r="I554" s="66">
        <f t="shared" si="37"/>
        <v>43990</v>
      </c>
      <c r="J554" s="70">
        <f t="shared" si="36"/>
        <v>2020</v>
      </c>
      <c r="K554" s="72" t="s">
        <v>362</v>
      </c>
      <c r="L554" s="72" t="s">
        <v>362</v>
      </c>
      <c r="M554" s="71">
        <v>21.838799999999999</v>
      </c>
    </row>
    <row r="555" spans="1:13">
      <c r="A555" s="57" t="s">
        <v>1410</v>
      </c>
      <c r="B555" s="58">
        <f t="shared" si="34"/>
        <v>39242</v>
      </c>
      <c r="C555" s="59">
        <f t="shared" si="35"/>
        <v>2007</v>
      </c>
      <c r="D555" s="60" t="s">
        <v>362</v>
      </c>
      <c r="E555" s="60" t="s">
        <v>362</v>
      </c>
      <c r="F555" s="61">
        <v>10.904299999999999</v>
      </c>
      <c r="H555" s="62" t="s">
        <v>1411</v>
      </c>
      <c r="I555" s="58">
        <f t="shared" si="37"/>
        <v>43991</v>
      </c>
      <c r="J555" s="60">
        <f t="shared" si="36"/>
        <v>2020</v>
      </c>
      <c r="K555" s="64">
        <v>21.655200000000001</v>
      </c>
      <c r="L555" s="64">
        <v>21.5837</v>
      </c>
      <c r="M555" s="64">
        <v>21.838799999999999</v>
      </c>
    </row>
    <row r="556" spans="1:13">
      <c r="A556" s="65" t="s">
        <v>1412</v>
      </c>
      <c r="B556" s="66">
        <f t="shared" si="34"/>
        <v>39243</v>
      </c>
      <c r="C556" s="67">
        <f t="shared" si="35"/>
        <v>2007</v>
      </c>
      <c r="D556" s="70" t="s">
        <v>362</v>
      </c>
      <c r="E556" s="70" t="s">
        <v>362</v>
      </c>
      <c r="F556" s="68">
        <v>10.904299999999999</v>
      </c>
      <c r="H556" s="69" t="s">
        <v>1413</v>
      </c>
      <c r="I556" s="66">
        <f t="shared" si="37"/>
        <v>43992</v>
      </c>
      <c r="J556" s="70">
        <f t="shared" si="36"/>
        <v>2020</v>
      </c>
      <c r="K556" s="71">
        <v>21.725200000000001</v>
      </c>
      <c r="L556" s="71">
        <v>21.655200000000001</v>
      </c>
      <c r="M556" s="71">
        <v>21.5837</v>
      </c>
    </row>
    <row r="557" spans="1:13">
      <c r="A557" s="57" t="s">
        <v>1414</v>
      </c>
      <c r="B557" s="58">
        <f t="shared" si="34"/>
        <v>39244</v>
      </c>
      <c r="C557" s="59">
        <f t="shared" si="35"/>
        <v>2007</v>
      </c>
      <c r="D557" s="61">
        <v>10.9307</v>
      </c>
      <c r="E557" s="61">
        <v>10.9702</v>
      </c>
      <c r="F557" s="61">
        <v>10.904299999999999</v>
      </c>
      <c r="H557" s="62" t="s">
        <v>1415</v>
      </c>
      <c r="I557" s="58">
        <f t="shared" si="37"/>
        <v>43993</v>
      </c>
      <c r="J557" s="60">
        <f t="shared" si="36"/>
        <v>2020</v>
      </c>
      <c r="K557" s="64">
        <v>21.922999999999998</v>
      </c>
      <c r="L557" s="64">
        <v>21.725200000000001</v>
      </c>
      <c r="M557" s="64">
        <v>21.655200000000001</v>
      </c>
    </row>
    <row r="558" spans="1:13">
      <c r="A558" s="65" t="s">
        <v>1416</v>
      </c>
      <c r="B558" s="66">
        <f t="shared" si="34"/>
        <v>39245</v>
      </c>
      <c r="C558" s="67">
        <f t="shared" si="35"/>
        <v>2007</v>
      </c>
      <c r="D558" s="68">
        <v>10.9331</v>
      </c>
      <c r="E558" s="68">
        <v>10.9307</v>
      </c>
      <c r="F558" s="68">
        <v>10.9702</v>
      </c>
      <c r="H558" s="69" t="s">
        <v>1417</v>
      </c>
      <c r="I558" s="66">
        <f t="shared" si="37"/>
        <v>43994</v>
      </c>
      <c r="J558" s="70">
        <f t="shared" si="36"/>
        <v>2020</v>
      </c>
      <c r="K558" s="71">
        <v>22.4252</v>
      </c>
      <c r="L558" s="71">
        <v>21.922999999999998</v>
      </c>
      <c r="M558" s="71">
        <v>21.725200000000001</v>
      </c>
    </row>
    <row r="559" spans="1:13">
      <c r="A559" s="57" t="s">
        <v>1418</v>
      </c>
      <c r="B559" s="58">
        <f t="shared" si="34"/>
        <v>39246</v>
      </c>
      <c r="C559" s="59">
        <f t="shared" si="35"/>
        <v>2007</v>
      </c>
      <c r="D559" s="61">
        <v>10.953799999999999</v>
      </c>
      <c r="E559" s="61">
        <v>10.9331</v>
      </c>
      <c r="F559" s="61">
        <v>10.9307</v>
      </c>
      <c r="H559" s="62" t="s">
        <v>1419</v>
      </c>
      <c r="I559" s="58">
        <f t="shared" si="37"/>
        <v>43995</v>
      </c>
      <c r="J559" s="60">
        <f t="shared" si="36"/>
        <v>2020</v>
      </c>
      <c r="K559" s="64">
        <v>22.334700000000002</v>
      </c>
      <c r="L559" s="64">
        <v>22.4252</v>
      </c>
      <c r="M559" s="64">
        <v>21.922999999999998</v>
      </c>
    </row>
    <row r="560" spans="1:13">
      <c r="A560" s="65" t="s">
        <v>1420</v>
      </c>
      <c r="B560" s="66">
        <f t="shared" si="34"/>
        <v>39247</v>
      </c>
      <c r="C560" s="67">
        <f t="shared" si="35"/>
        <v>2007</v>
      </c>
      <c r="D560" s="68">
        <v>10.901199999999999</v>
      </c>
      <c r="E560" s="68">
        <v>10.953799999999999</v>
      </c>
      <c r="F560" s="68">
        <v>10.9331</v>
      </c>
      <c r="H560" s="69" t="s">
        <v>1421</v>
      </c>
      <c r="I560" s="66">
        <f t="shared" si="37"/>
        <v>43996</v>
      </c>
      <c r="J560" s="70">
        <f t="shared" si="36"/>
        <v>2020</v>
      </c>
      <c r="K560" s="72" t="s">
        <v>362</v>
      </c>
      <c r="L560" s="72" t="s">
        <v>362</v>
      </c>
      <c r="M560" s="71">
        <v>22.4252</v>
      </c>
    </row>
    <row r="561" spans="1:13">
      <c r="A561" s="57" t="s">
        <v>1422</v>
      </c>
      <c r="B561" s="58">
        <f t="shared" si="34"/>
        <v>39248</v>
      </c>
      <c r="C561" s="59">
        <f t="shared" si="35"/>
        <v>2007</v>
      </c>
      <c r="D561" s="61">
        <v>10.8148</v>
      </c>
      <c r="E561" s="61">
        <v>10.901199999999999</v>
      </c>
      <c r="F561" s="61">
        <v>10.953799999999999</v>
      </c>
      <c r="H561" s="62" t="s">
        <v>1423</v>
      </c>
      <c r="I561" s="58">
        <f t="shared" si="37"/>
        <v>43997</v>
      </c>
      <c r="J561" s="60">
        <f t="shared" si="36"/>
        <v>2020</v>
      </c>
      <c r="K561" s="63" t="s">
        <v>362</v>
      </c>
      <c r="L561" s="63" t="s">
        <v>362</v>
      </c>
      <c r="M561" s="64">
        <v>22.4252</v>
      </c>
    </row>
    <row r="562" spans="1:13">
      <c r="A562" s="65" t="s">
        <v>1424</v>
      </c>
      <c r="B562" s="66">
        <f t="shared" si="34"/>
        <v>39249</v>
      </c>
      <c r="C562" s="67">
        <f t="shared" si="35"/>
        <v>2007</v>
      </c>
      <c r="D562" s="70" t="s">
        <v>362</v>
      </c>
      <c r="E562" s="70" t="s">
        <v>362</v>
      </c>
      <c r="F562" s="68">
        <v>10.901199999999999</v>
      </c>
      <c r="H562" s="69" t="s">
        <v>1425</v>
      </c>
      <c r="I562" s="66">
        <f t="shared" si="37"/>
        <v>43998</v>
      </c>
      <c r="J562" s="70">
        <f t="shared" si="36"/>
        <v>2020</v>
      </c>
      <c r="K562" s="71">
        <v>22.543500000000002</v>
      </c>
      <c r="L562" s="71">
        <v>22.334700000000002</v>
      </c>
      <c r="M562" s="71">
        <v>22.4252</v>
      </c>
    </row>
    <row r="563" spans="1:13">
      <c r="A563" s="57" t="s">
        <v>1426</v>
      </c>
      <c r="B563" s="58">
        <f t="shared" si="34"/>
        <v>39250</v>
      </c>
      <c r="C563" s="59">
        <f t="shared" si="35"/>
        <v>2007</v>
      </c>
      <c r="D563" s="60" t="s">
        <v>362</v>
      </c>
      <c r="E563" s="60" t="s">
        <v>362</v>
      </c>
      <c r="F563" s="61">
        <v>10.901199999999999</v>
      </c>
      <c r="H563" s="62" t="s">
        <v>1427</v>
      </c>
      <c r="I563" s="58">
        <f t="shared" si="37"/>
        <v>43999</v>
      </c>
      <c r="J563" s="60">
        <f t="shared" si="36"/>
        <v>2020</v>
      </c>
      <c r="K563" s="64">
        <v>22.216799999999999</v>
      </c>
      <c r="L563" s="64">
        <v>22.543500000000002</v>
      </c>
      <c r="M563" s="64">
        <v>22.334700000000002</v>
      </c>
    </row>
    <row r="564" spans="1:13">
      <c r="A564" s="65" t="s">
        <v>1428</v>
      </c>
      <c r="B564" s="66">
        <f t="shared" si="34"/>
        <v>39251</v>
      </c>
      <c r="C564" s="67">
        <f t="shared" si="35"/>
        <v>2007</v>
      </c>
      <c r="D564" s="68">
        <v>10.776</v>
      </c>
      <c r="E564" s="68">
        <v>10.8148</v>
      </c>
      <c r="F564" s="68">
        <v>10.901199999999999</v>
      </c>
      <c r="H564" s="69" t="s">
        <v>1429</v>
      </c>
      <c r="I564" s="66">
        <f t="shared" si="37"/>
        <v>44000</v>
      </c>
      <c r="J564" s="70">
        <f t="shared" si="36"/>
        <v>2020</v>
      </c>
      <c r="K564" s="71">
        <v>22.278300000000002</v>
      </c>
      <c r="L564" s="71">
        <v>22.216799999999999</v>
      </c>
      <c r="M564" s="71">
        <v>22.543500000000002</v>
      </c>
    </row>
    <row r="565" spans="1:13">
      <c r="A565" s="57" t="s">
        <v>1430</v>
      </c>
      <c r="B565" s="58">
        <f t="shared" si="34"/>
        <v>39252</v>
      </c>
      <c r="C565" s="59">
        <f t="shared" si="35"/>
        <v>2007</v>
      </c>
      <c r="D565" s="61">
        <v>10.7494</v>
      </c>
      <c r="E565" s="61">
        <v>10.776</v>
      </c>
      <c r="F565" s="61">
        <v>10.8148</v>
      </c>
      <c r="H565" s="62" t="s">
        <v>1431</v>
      </c>
      <c r="I565" s="58">
        <f t="shared" si="37"/>
        <v>44001</v>
      </c>
      <c r="J565" s="60">
        <f t="shared" si="36"/>
        <v>2020</v>
      </c>
      <c r="K565" s="64">
        <v>22.608799999999999</v>
      </c>
      <c r="L565" s="64">
        <v>22.278300000000002</v>
      </c>
      <c r="M565" s="64">
        <v>22.216799999999999</v>
      </c>
    </row>
    <row r="566" spans="1:13">
      <c r="A566" s="65" t="s">
        <v>1432</v>
      </c>
      <c r="B566" s="66">
        <f t="shared" si="34"/>
        <v>39253</v>
      </c>
      <c r="C566" s="67">
        <f t="shared" si="35"/>
        <v>2007</v>
      </c>
      <c r="D566" s="68">
        <v>10.7713</v>
      </c>
      <c r="E566" s="68">
        <v>10.7494</v>
      </c>
      <c r="F566" s="68">
        <v>10.776</v>
      </c>
      <c r="H566" s="69" t="s">
        <v>1433</v>
      </c>
      <c r="I566" s="66">
        <f t="shared" si="37"/>
        <v>44002</v>
      </c>
      <c r="J566" s="70">
        <f t="shared" si="36"/>
        <v>2020</v>
      </c>
      <c r="K566" s="71">
        <v>22.63</v>
      </c>
      <c r="L566" s="71">
        <v>22.608799999999999</v>
      </c>
      <c r="M566" s="71">
        <v>22.278300000000002</v>
      </c>
    </row>
    <row r="567" spans="1:13">
      <c r="A567" s="57" t="s">
        <v>1434</v>
      </c>
      <c r="B567" s="58">
        <f t="shared" si="34"/>
        <v>39254</v>
      </c>
      <c r="C567" s="59">
        <f t="shared" si="35"/>
        <v>2007</v>
      </c>
      <c r="D567" s="61">
        <v>10.826599999999999</v>
      </c>
      <c r="E567" s="61">
        <v>10.7713</v>
      </c>
      <c r="F567" s="61">
        <v>10.7494</v>
      </c>
      <c r="H567" s="62" t="s">
        <v>1435</v>
      </c>
      <c r="I567" s="58">
        <f t="shared" si="37"/>
        <v>44003</v>
      </c>
      <c r="J567" s="60">
        <f t="shared" si="36"/>
        <v>2020</v>
      </c>
      <c r="K567" s="63" t="s">
        <v>362</v>
      </c>
      <c r="L567" s="63" t="s">
        <v>362</v>
      </c>
      <c r="M567" s="64">
        <v>22.608799999999999</v>
      </c>
    </row>
    <row r="568" spans="1:13">
      <c r="A568" s="65" t="s">
        <v>1436</v>
      </c>
      <c r="B568" s="66">
        <f t="shared" si="34"/>
        <v>39255</v>
      </c>
      <c r="C568" s="67">
        <f t="shared" si="35"/>
        <v>2007</v>
      </c>
      <c r="D568" s="68">
        <v>10.808</v>
      </c>
      <c r="E568" s="68">
        <v>10.826599999999999</v>
      </c>
      <c r="F568" s="68">
        <v>10.7713</v>
      </c>
      <c r="H568" s="69" t="s">
        <v>1437</v>
      </c>
      <c r="I568" s="66">
        <f t="shared" si="37"/>
        <v>44004</v>
      </c>
      <c r="J568" s="70">
        <f t="shared" si="36"/>
        <v>2020</v>
      </c>
      <c r="K568" s="72" t="s">
        <v>362</v>
      </c>
      <c r="L568" s="72" t="s">
        <v>362</v>
      </c>
      <c r="M568" s="71">
        <v>22.608799999999999</v>
      </c>
    </row>
    <row r="569" spans="1:13">
      <c r="A569" s="57" t="s">
        <v>1438</v>
      </c>
      <c r="B569" s="58">
        <f t="shared" si="34"/>
        <v>39256</v>
      </c>
      <c r="C569" s="59">
        <f t="shared" si="35"/>
        <v>2007</v>
      </c>
      <c r="D569" s="60" t="s">
        <v>362</v>
      </c>
      <c r="E569" s="60" t="s">
        <v>362</v>
      </c>
      <c r="F569" s="61">
        <v>10.826599999999999</v>
      </c>
      <c r="H569" s="62" t="s">
        <v>1439</v>
      </c>
      <c r="I569" s="58">
        <f t="shared" si="37"/>
        <v>44005</v>
      </c>
      <c r="J569" s="60">
        <f t="shared" si="36"/>
        <v>2020</v>
      </c>
      <c r="K569" s="64">
        <v>22.441299999999998</v>
      </c>
      <c r="L569" s="64">
        <v>22.63</v>
      </c>
      <c r="M569" s="64">
        <v>22.608799999999999</v>
      </c>
    </row>
    <row r="570" spans="1:13">
      <c r="A570" s="65" t="s">
        <v>1440</v>
      </c>
      <c r="B570" s="66">
        <f t="shared" si="34"/>
        <v>39257</v>
      </c>
      <c r="C570" s="67">
        <f t="shared" si="35"/>
        <v>2007</v>
      </c>
      <c r="D570" s="70" t="s">
        <v>362</v>
      </c>
      <c r="E570" s="70" t="s">
        <v>362</v>
      </c>
      <c r="F570" s="68">
        <v>10.826599999999999</v>
      </c>
      <c r="H570" s="69" t="s">
        <v>1441</v>
      </c>
      <c r="I570" s="66">
        <f t="shared" si="37"/>
        <v>44006</v>
      </c>
      <c r="J570" s="70">
        <f t="shared" si="36"/>
        <v>2020</v>
      </c>
      <c r="K570" s="71">
        <v>22.413</v>
      </c>
      <c r="L570" s="71">
        <v>22.441299999999998</v>
      </c>
      <c r="M570" s="71">
        <v>22.63</v>
      </c>
    </row>
    <row r="571" spans="1:13">
      <c r="A571" s="57" t="s">
        <v>1442</v>
      </c>
      <c r="B571" s="58">
        <f t="shared" si="34"/>
        <v>39258</v>
      </c>
      <c r="C571" s="59">
        <f t="shared" si="35"/>
        <v>2007</v>
      </c>
      <c r="D571" s="61">
        <v>10.818899999999999</v>
      </c>
      <c r="E571" s="61">
        <v>10.808</v>
      </c>
      <c r="F571" s="61">
        <v>10.826599999999999</v>
      </c>
      <c r="H571" s="62" t="s">
        <v>1443</v>
      </c>
      <c r="I571" s="58">
        <f t="shared" si="37"/>
        <v>44007</v>
      </c>
      <c r="J571" s="60">
        <f t="shared" si="36"/>
        <v>2020</v>
      </c>
      <c r="K571" s="64">
        <v>22.6662</v>
      </c>
      <c r="L571" s="64">
        <v>22.413</v>
      </c>
      <c r="M571" s="64">
        <v>22.441299999999998</v>
      </c>
    </row>
    <row r="572" spans="1:13">
      <c r="A572" s="65" t="s">
        <v>1444</v>
      </c>
      <c r="B572" s="66">
        <f t="shared" si="34"/>
        <v>39259</v>
      </c>
      <c r="C572" s="67">
        <f t="shared" si="35"/>
        <v>2007</v>
      </c>
      <c r="D572" s="68">
        <v>10.8398</v>
      </c>
      <c r="E572" s="68">
        <v>10.818899999999999</v>
      </c>
      <c r="F572" s="68">
        <v>10.808</v>
      </c>
      <c r="H572" s="69" t="s">
        <v>1445</v>
      </c>
      <c r="I572" s="66">
        <f t="shared" si="37"/>
        <v>44008</v>
      </c>
      <c r="J572" s="70">
        <f t="shared" si="36"/>
        <v>2020</v>
      </c>
      <c r="K572" s="71">
        <v>22.796299999999999</v>
      </c>
      <c r="L572" s="71">
        <v>22.6662</v>
      </c>
      <c r="M572" s="71">
        <v>22.413</v>
      </c>
    </row>
    <row r="573" spans="1:13">
      <c r="A573" s="57" t="s">
        <v>1446</v>
      </c>
      <c r="B573" s="58">
        <f t="shared" si="34"/>
        <v>39260</v>
      </c>
      <c r="C573" s="59">
        <f t="shared" si="35"/>
        <v>2007</v>
      </c>
      <c r="D573" s="61">
        <v>10.866099999999999</v>
      </c>
      <c r="E573" s="61">
        <v>10.8398</v>
      </c>
      <c r="F573" s="61">
        <v>10.818899999999999</v>
      </c>
      <c r="H573" s="62" t="s">
        <v>1447</v>
      </c>
      <c r="I573" s="58">
        <f t="shared" si="37"/>
        <v>44009</v>
      </c>
      <c r="J573" s="60">
        <f t="shared" si="36"/>
        <v>2020</v>
      </c>
      <c r="K573" s="64">
        <v>22.971499999999999</v>
      </c>
      <c r="L573" s="64">
        <v>22.796299999999999</v>
      </c>
      <c r="M573" s="64">
        <v>22.6662</v>
      </c>
    </row>
    <row r="574" spans="1:13">
      <c r="A574" s="65" t="s">
        <v>1448</v>
      </c>
      <c r="B574" s="66">
        <f t="shared" si="34"/>
        <v>39261</v>
      </c>
      <c r="C574" s="67">
        <f t="shared" si="35"/>
        <v>2007</v>
      </c>
      <c r="D574" s="68">
        <v>10.7926</v>
      </c>
      <c r="E574" s="68">
        <v>10.866099999999999</v>
      </c>
      <c r="F574" s="68">
        <v>10.8398</v>
      </c>
      <c r="H574" s="69" t="s">
        <v>1449</v>
      </c>
      <c r="I574" s="66">
        <f t="shared" si="37"/>
        <v>44010</v>
      </c>
      <c r="J574" s="70">
        <f t="shared" si="36"/>
        <v>2020</v>
      </c>
      <c r="K574" s="72" t="s">
        <v>362</v>
      </c>
      <c r="L574" s="72" t="s">
        <v>362</v>
      </c>
      <c r="M574" s="71">
        <v>22.796299999999999</v>
      </c>
    </row>
    <row r="575" spans="1:13">
      <c r="A575" s="57" t="s">
        <v>1450</v>
      </c>
      <c r="B575" s="58">
        <f t="shared" si="34"/>
        <v>39262</v>
      </c>
      <c r="C575" s="59">
        <f t="shared" si="35"/>
        <v>2007</v>
      </c>
      <c r="D575" s="61">
        <v>10.794600000000001</v>
      </c>
      <c r="E575" s="61">
        <v>10.7926</v>
      </c>
      <c r="F575" s="61">
        <v>10.866099999999999</v>
      </c>
      <c r="H575" s="62" t="s">
        <v>1451</v>
      </c>
      <c r="I575" s="58">
        <f t="shared" si="37"/>
        <v>44011</v>
      </c>
      <c r="J575" s="60">
        <f t="shared" si="36"/>
        <v>2020</v>
      </c>
      <c r="K575" s="63" t="s">
        <v>362</v>
      </c>
      <c r="L575" s="63" t="s">
        <v>362</v>
      </c>
      <c r="M575" s="64">
        <v>22.796299999999999</v>
      </c>
    </row>
    <row r="576" spans="1:13">
      <c r="A576" s="65" t="s">
        <v>1452</v>
      </c>
      <c r="B576" s="66">
        <f t="shared" si="34"/>
        <v>39263</v>
      </c>
      <c r="C576" s="67">
        <f t="shared" si="35"/>
        <v>2007</v>
      </c>
      <c r="D576" s="70" t="s">
        <v>362</v>
      </c>
      <c r="E576" s="70" t="s">
        <v>362</v>
      </c>
      <c r="F576" s="68">
        <v>10.7926</v>
      </c>
      <c r="H576" s="69" t="s">
        <v>1453</v>
      </c>
      <c r="I576" s="66">
        <f t="shared" si="37"/>
        <v>44012</v>
      </c>
      <c r="J576" s="70">
        <f t="shared" si="36"/>
        <v>2020</v>
      </c>
      <c r="K576" s="71">
        <v>23.1325</v>
      </c>
      <c r="L576" s="71">
        <v>22.971499999999999</v>
      </c>
      <c r="M576" s="71">
        <v>22.796299999999999</v>
      </c>
    </row>
    <row r="577" spans="1:13">
      <c r="A577" s="57" t="s">
        <v>1454</v>
      </c>
      <c r="B577" s="58">
        <f t="shared" si="34"/>
        <v>39264</v>
      </c>
      <c r="C577" s="59">
        <f t="shared" si="35"/>
        <v>2007</v>
      </c>
      <c r="D577" s="60" t="s">
        <v>362</v>
      </c>
      <c r="E577" s="60" t="s">
        <v>362</v>
      </c>
      <c r="F577" s="61">
        <v>10.7926</v>
      </c>
      <c r="H577" s="62" t="s">
        <v>1455</v>
      </c>
      <c r="I577" s="58">
        <f t="shared" si="37"/>
        <v>44013</v>
      </c>
      <c r="J577" s="60">
        <f t="shared" si="36"/>
        <v>2020</v>
      </c>
      <c r="K577" s="64">
        <v>23.089300000000001</v>
      </c>
      <c r="L577" s="64">
        <v>23.1325</v>
      </c>
      <c r="M577" s="64">
        <v>22.971499999999999</v>
      </c>
    </row>
    <row r="578" spans="1:13">
      <c r="A578" s="65" t="s">
        <v>1456</v>
      </c>
      <c r="B578" s="66">
        <f t="shared" si="34"/>
        <v>39265</v>
      </c>
      <c r="C578" s="67">
        <f t="shared" si="35"/>
        <v>2007</v>
      </c>
      <c r="D578" s="68">
        <v>10.7697</v>
      </c>
      <c r="E578" s="68">
        <v>10.794600000000001</v>
      </c>
      <c r="F578" s="68">
        <v>10.7926</v>
      </c>
      <c r="H578" s="69" t="s">
        <v>1457</v>
      </c>
      <c r="I578" s="66">
        <f t="shared" si="37"/>
        <v>44014</v>
      </c>
      <c r="J578" s="70">
        <f t="shared" si="36"/>
        <v>2020</v>
      </c>
      <c r="K578" s="71">
        <v>22.8078</v>
      </c>
      <c r="L578" s="71">
        <v>23.089300000000001</v>
      </c>
      <c r="M578" s="71">
        <v>23.1325</v>
      </c>
    </row>
    <row r="579" spans="1:13">
      <c r="A579" s="57" t="s">
        <v>1458</v>
      </c>
      <c r="B579" s="58">
        <f t="shared" si="34"/>
        <v>39266</v>
      </c>
      <c r="C579" s="59">
        <f t="shared" si="35"/>
        <v>2007</v>
      </c>
      <c r="D579" s="61">
        <v>10.7698</v>
      </c>
      <c r="E579" s="61">
        <v>10.7697</v>
      </c>
      <c r="F579" s="61">
        <v>10.794600000000001</v>
      </c>
      <c r="H579" s="62" t="s">
        <v>1459</v>
      </c>
      <c r="I579" s="58">
        <f t="shared" si="37"/>
        <v>44015</v>
      </c>
      <c r="J579" s="60">
        <f t="shared" si="36"/>
        <v>2020</v>
      </c>
      <c r="K579" s="64">
        <v>22.522500000000001</v>
      </c>
      <c r="L579" s="64">
        <v>22.8078</v>
      </c>
      <c r="M579" s="64">
        <v>23.089300000000001</v>
      </c>
    </row>
    <row r="580" spans="1:13">
      <c r="A580" s="65" t="s">
        <v>1460</v>
      </c>
      <c r="B580" s="66">
        <f t="shared" si="34"/>
        <v>39267</v>
      </c>
      <c r="C580" s="67">
        <f t="shared" si="35"/>
        <v>2007</v>
      </c>
      <c r="D580" s="68">
        <v>10.76</v>
      </c>
      <c r="E580" s="68">
        <v>10.7698</v>
      </c>
      <c r="F580" s="68">
        <v>10.7697</v>
      </c>
      <c r="H580" s="69" t="s">
        <v>1461</v>
      </c>
      <c r="I580" s="66">
        <f t="shared" si="37"/>
        <v>44016</v>
      </c>
      <c r="J580" s="70">
        <f t="shared" si="36"/>
        <v>2020</v>
      </c>
      <c r="K580" s="71">
        <v>22.4147</v>
      </c>
      <c r="L580" s="71">
        <v>22.522500000000001</v>
      </c>
      <c r="M580" s="71">
        <v>22.8078</v>
      </c>
    </row>
    <row r="581" spans="1:13">
      <c r="A581" s="57" t="s">
        <v>1462</v>
      </c>
      <c r="B581" s="58">
        <f t="shared" si="34"/>
        <v>39268</v>
      </c>
      <c r="C581" s="59">
        <f t="shared" si="35"/>
        <v>2007</v>
      </c>
      <c r="D581" s="61">
        <v>10.7936</v>
      </c>
      <c r="E581" s="61">
        <v>10.76</v>
      </c>
      <c r="F581" s="61">
        <v>10.7698</v>
      </c>
      <c r="H581" s="62" t="s">
        <v>1463</v>
      </c>
      <c r="I581" s="58">
        <f t="shared" si="37"/>
        <v>44017</v>
      </c>
      <c r="J581" s="60">
        <f t="shared" si="36"/>
        <v>2020</v>
      </c>
      <c r="K581" s="63" t="s">
        <v>362</v>
      </c>
      <c r="L581" s="63" t="s">
        <v>362</v>
      </c>
      <c r="M581" s="64">
        <v>22.522500000000001</v>
      </c>
    </row>
    <row r="582" spans="1:13">
      <c r="A582" s="65" t="s">
        <v>1464</v>
      </c>
      <c r="B582" s="66">
        <f t="shared" si="34"/>
        <v>39269</v>
      </c>
      <c r="C582" s="67">
        <f t="shared" si="35"/>
        <v>2007</v>
      </c>
      <c r="D582" s="68">
        <v>10.7828</v>
      </c>
      <c r="E582" s="68">
        <v>10.7936</v>
      </c>
      <c r="F582" s="68">
        <v>10.76</v>
      </c>
      <c r="H582" s="69" t="s">
        <v>1465</v>
      </c>
      <c r="I582" s="66">
        <f t="shared" si="37"/>
        <v>44018</v>
      </c>
      <c r="J582" s="70">
        <f t="shared" si="36"/>
        <v>2020</v>
      </c>
      <c r="K582" s="72" t="s">
        <v>362</v>
      </c>
      <c r="L582" s="72" t="s">
        <v>362</v>
      </c>
      <c r="M582" s="71">
        <v>22.522500000000001</v>
      </c>
    </row>
    <row r="583" spans="1:13">
      <c r="A583" s="57" t="s">
        <v>1466</v>
      </c>
      <c r="B583" s="58">
        <f t="shared" si="34"/>
        <v>39270</v>
      </c>
      <c r="C583" s="59">
        <f t="shared" si="35"/>
        <v>2007</v>
      </c>
      <c r="D583" s="60" t="s">
        <v>362</v>
      </c>
      <c r="E583" s="60" t="s">
        <v>362</v>
      </c>
      <c r="F583" s="61">
        <v>10.7936</v>
      </c>
      <c r="H583" s="62" t="s">
        <v>1467</v>
      </c>
      <c r="I583" s="58">
        <f t="shared" si="37"/>
        <v>44019</v>
      </c>
      <c r="J583" s="60">
        <f t="shared" si="36"/>
        <v>2020</v>
      </c>
      <c r="K583" s="64">
        <v>22.280799999999999</v>
      </c>
      <c r="L583" s="64">
        <v>22.4147</v>
      </c>
      <c r="M583" s="64">
        <v>22.522500000000001</v>
      </c>
    </row>
    <row r="584" spans="1:13">
      <c r="A584" s="65" t="s">
        <v>1468</v>
      </c>
      <c r="B584" s="66">
        <f t="shared" si="34"/>
        <v>39271</v>
      </c>
      <c r="C584" s="67">
        <f t="shared" si="35"/>
        <v>2007</v>
      </c>
      <c r="D584" s="70" t="s">
        <v>362</v>
      </c>
      <c r="E584" s="70" t="s">
        <v>362</v>
      </c>
      <c r="F584" s="68">
        <v>10.7936</v>
      </c>
      <c r="H584" s="69" t="s">
        <v>1469</v>
      </c>
      <c r="I584" s="66">
        <f t="shared" si="37"/>
        <v>44020</v>
      </c>
      <c r="J584" s="70">
        <f t="shared" si="36"/>
        <v>2020</v>
      </c>
      <c r="K584" s="71">
        <v>22.621300000000002</v>
      </c>
      <c r="L584" s="71">
        <v>22.280799999999999</v>
      </c>
      <c r="M584" s="71">
        <v>22.4147</v>
      </c>
    </row>
    <row r="585" spans="1:13">
      <c r="A585" s="57" t="s">
        <v>1470</v>
      </c>
      <c r="B585" s="58">
        <f t="shared" si="34"/>
        <v>39272</v>
      </c>
      <c r="C585" s="59">
        <f t="shared" si="35"/>
        <v>2007</v>
      </c>
      <c r="D585" s="61">
        <v>10.7531</v>
      </c>
      <c r="E585" s="61">
        <v>10.7828</v>
      </c>
      <c r="F585" s="61">
        <v>10.7936</v>
      </c>
      <c r="H585" s="62" t="s">
        <v>1471</v>
      </c>
      <c r="I585" s="58">
        <f t="shared" si="37"/>
        <v>44021</v>
      </c>
      <c r="J585" s="60">
        <f t="shared" si="36"/>
        <v>2020</v>
      </c>
      <c r="K585" s="64">
        <v>22.822500000000002</v>
      </c>
      <c r="L585" s="64">
        <v>22.621300000000002</v>
      </c>
      <c r="M585" s="64">
        <v>22.280799999999999</v>
      </c>
    </row>
    <row r="586" spans="1:13">
      <c r="A586" s="65" t="s">
        <v>1472</v>
      </c>
      <c r="B586" s="66">
        <f t="shared" si="34"/>
        <v>39273</v>
      </c>
      <c r="C586" s="67">
        <f t="shared" si="35"/>
        <v>2007</v>
      </c>
      <c r="D586" s="68">
        <v>10.791700000000001</v>
      </c>
      <c r="E586" s="68">
        <v>10.7531</v>
      </c>
      <c r="F586" s="68">
        <v>10.7828</v>
      </c>
      <c r="H586" s="69" t="s">
        <v>1473</v>
      </c>
      <c r="I586" s="66">
        <f t="shared" si="37"/>
        <v>44022</v>
      </c>
      <c r="J586" s="70">
        <f t="shared" si="36"/>
        <v>2020</v>
      </c>
      <c r="K586" s="71">
        <v>22.694500000000001</v>
      </c>
      <c r="L586" s="71">
        <v>22.822500000000002</v>
      </c>
      <c r="M586" s="71">
        <v>22.621300000000002</v>
      </c>
    </row>
    <row r="587" spans="1:13">
      <c r="A587" s="57" t="s">
        <v>1474</v>
      </c>
      <c r="B587" s="58">
        <f t="shared" si="34"/>
        <v>39274</v>
      </c>
      <c r="C587" s="59">
        <f t="shared" si="35"/>
        <v>2007</v>
      </c>
      <c r="D587" s="61">
        <v>10.8248</v>
      </c>
      <c r="E587" s="61">
        <v>10.791700000000001</v>
      </c>
      <c r="F587" s="61">
        <v>10.7531</v>
      </c>
      <c r="H587" s="62" t="s">
        <v>1475</v>
      </c>
      <c r="I587" s="58">
        <f t="shared" si="37"/>
        <v>44023</v>
      </c>
      <c r="J587" s="60">
        <f t="shared" si="36"/>
        <v>2020</v>
      </c>
      <c r="K587" s="64">
        <v>22.534199999999998</v>
      </c>
      <c r="L587" s="64">
        <v>22.694500000000001</v>
      </c>
      <c r="M587" s="64">
        <v>22.822500000000002</v>
      </c>
    </row>
    <row r="588" spans="1:13">
      <c r="A588" s="65" t="s">
        <v>1476</v>
      </c>
      <c r="B588" s="66">
        <f t="shared" si="34"/>
        <v>39275</v>
      </c>
      <c r="C588" s="67">
        <f t="shared" si="35"/>
        <v>2007</v>
      </c>
      <c r="D588" s="68">
        <v>10.7799</v>
      </c>
      <c r="E588" s="68">
        <v>10.8248</v>
      </c>
      <c r="F588" s="68">
        <v>10.791700000000001</v>
      </c>
      <c r="H588" s="69" t="s">
        <v>1477</v>
      </c>
      <c r="I588" s="66">
        <f t="shared" si="37"/>
        <v>44024</v>
      </c>
      <c r="J588" s="70">
        <f t="shared" si="36"/>
        <v>2020</v>
      </c>
      <c r="K588" s="72" t="s">
        <v>362</v>
      </c>
      <c r="L588" s="72" t="s">
        <v>362</v>
      </c>
      <c r="M588" s="71">
        <v>22.694500000000001</v>
      </c>
    </row>
    <row r="589" spans="1:13">
      <c r="A589" s="57" t="s">
        <v>1478</v>
      </c>
      <c r="B589" s="58">
        <f t="shared" si="34"/>
        <v>39276</v>
      </c>
      <c r="C589" s="59">
        <f t="shared" si="35"/>
        <v>2007</v>
      </c>
      <c r="D589" s="61">
        <v>10.7608</v>
      </c>
      <c r="E589" s="61">
        <v>10.7799</v>
      </c>
      <c r="F589" s="61">
        <v>10.8248</v>
      </c>
      <c r="H589" s="62" t="s">
        <v>1479</v>
      </c>
      <c r="I589" s="58">
        <f t="shared" si="37"/>
        <v>44025</v>
      </c>
      <c r="J589" s="60">
        <f t="shared" si="36"/>
        <v>2020</v>
      </c>
      <c r="K589" s="63" t="s">
        <v>362</v>
      </c>
      <c r="L589" s="63" t="s">
        <v>362</v>
      </c>
      <c r="M589" s="64">
        <v>22.694500000000001</v>
      </c>
    </row>
    <row r="590" spans="1:13">
      <c r="A590" s="65" t="s">
        <v>1480</v>
      </c>
      <c r="B590" s="66">
        <f t="shared" si="34"/>
        <v>39277</v>
      </c>
      <c r="C590" s="67">
        <f t="shared" si="35"/>
        <v>2007</v>
      </c>
      <c r="D590" s="70" t="s">
        <v>362</v>
      </c>
      <c r="E590" s="70" t="s">
        <v>362</v>
      </c>
      <c r="F590" s="68">
        <v>10.7799</v>
      </c>
      <c r="H590" s="69" t="s">
        <v>1481</v>
      </c>
      <c r="I590" s="66">
        <f t="shared" si="37"/>
        <v>44026</v>
      </c>
      <c r="J590" s="70">
        <f t="shared" si="36"/>
        <v>2020</v>
      </c>
      <c r="K590" s="71">
        <v>22.4633</v>
      </c>
      <c r="L590" s="71">
        <v>22.534199999999998</v>
      </c>
      <c r="M590" s="71">
        <v>22.694500000000001</v>
      </c>
    </row>
    <row r="591" spans="1:13">
      <c r="A591" s="57" t="s">
        <v>1482</v>
      </c>
      <c r="B591" s="58">
        <f t="shared" si="34"/>
        <v>39278</v>
      </c>
      <c r="C591" s="59">
        <f t="shared" si="35"/>
        <v>2007</v>
      </c>
      <c r="D591" s="60" t="s">
        <v>362</v>
      </c>
      <c r="E591" s="60" t="s">
        <v>362</v>
      </c>
      <c r="F591" s="61">
        <v>10.7799</v>
      </c>
      <c r="H591" s="62" t="s">
        <v>1483</v>
      </c>
      <c r="I591" s="58">
        <f t="shared" si="37"/>
        <v>44027</v>
      </c>
      <c r="J591" s="60">
        <f t="shared" si="36"/>
        <v>2020</v>
      </c>
      <c r="K591" s="64">
        <v>22.6173</v>
      </c>
      <c r="L591" s="64">
        <v>22.4633</v>
      </c>
      <c r="M591" s="64">
        <v>22.534199999999998</v>
      </c>
    </row>
    <row r="592" spans="1:13">
      <c r="A592" s="65" t="s">
        <v>1484</v>
      </c>
      <c r="B592" s="66">
        <f t="shared" si="34"/>
        <v>39279</v>
      </c>
      <c r="C592" s="67">
        <f t="shared" si="35"/>
        <v>2007</v>
      </c>
      <c r="D592" s="68">
        <v>10.7653</v>
      </c>
      <c r="E592" s="68">
        <v>10.7608</v>
      </c>
      <c r="F592" s="68">
        <v>10.7799</v>
      </c>
      <c r="H592" s="69" t="s">
        <v>1485</v>
      </c>
      <c r="I592" s="66">
        <f t="shared" si="37"/>
        <v>44028</v>
      </c>
      <c r="J592" s="70">
        <f t="shared" si="36"/>
        <v>2020</v>
      </c>
      <c r="K592" s="71">
        <v>22.364699999999999</v>
      </c>
      <c r="L592" s="71">
        <v>22.6173</v>
      </c>
      <c r="M592" s="71">
        <v>22.4633</v>
      </c>
    </row>
    <row r="593" spans="1:13">
      <c r="A593" s="57" t="s">
        <v>1486</v>
      </c>
      <c r="B593" s="58">
        <f t="shared" si="34"/>
        <v>39280</v>
      </c>
      <c r="C593" s="59">
        <f t="shared" si="35"/>
        <v>2007</v>
      </c>
      <c r="D593" s="61">
        <v>10.7628</v>
      </c>
      <c r="E593" s="61">
        <v>10.7653</v>
      </c>
      <c r="F593" s="61">
        <v>10.7608</v>
      </c>
      <c r="H593" s="62" t="s">
        <v>1487</v>
      </c>
      <c r="I593" s="58">
        <f t="shared" si="37"/>
        <v>44029</v>
      </c>
      <c r="J593" s="60">
        <f t="shared" si="36"/>
        <v>2020</v>
      </c>
      <c r="K593" s="64">
        <v>22.3032</v>
      </c>
      <c r="L593" s="64">
        <v>22.364699999999999</v>
      </c>
      <c r="M593" s="64">
        <v>22.6173</v>
      </c>
    </row>
    <row r="594" spans="1:13">
      <c r="A594" s="65" t="s">
        <v>1488</v>
      </c>
      <c r="B594" s="66">
        <f t="shared" si="34"/>
        <v>39281</v>
      </c>
      <c r="C594" s="67">
        <f t="shared" si="35"/>
        <v>2007</v>
      </c>
      <c r="D594" s="68">
        <v>10.752000000000001</v>
      </c>
      <c r="E594" s="68">
        <v>10.7628</v>
      </c>
      <c r="F594" s="68">
        <v>10.7653</v>
      </c>
      <c r="H594" s="69" t="s">
        <v>1489</v>
      </c>
      <c r="I594" s="66">
        <f t="shared" si="37"/>
        <v>44030</v>
      </c>
      <c r="J594" s="70">
        <f t="shared" si="36"/>
        <v>2020</v>
      </c>
      <c r="K594" s="71">
        <v>22.489699999999999</v>
      </c>
      <c r="L594" s="71">
        <v>22.3032</v>
      </c>
      <c r="M594" s="71">
        <v>22.364699999999999</v>
      </c>
    </row>
    <row r="595" spans="1:13">
      <c r="A595" s="57" t="s">
        <v>1490</v>
      </c>
      <c r="B595" s="58">
        <f t="shared" si="34"/>
        <v>39282</v>
      </c>
      <c r="C595" s="59">
        <f t="shared" si="35"/>
        <v>2007</v>
      </c>
      <c r="D595" s="61">
        <v>10.720700000000001</v>
      </c>
      <c r="E595" s="61">
        <v>10.752000000000001</v>
      </c>
      <c r="F595" s="61">
        <v>10.7628</v>
      </c>
      <c r="H595" s="62" t="s">
        <v>1491</v>
      </c>
      <c r="I595" s="58">
        <f t="shared" si="37"/>
        <v>44031</v>
      </c>
      <c r="J595" s="60">
        <f t="shared" si="36"/>
        <v>2020</v>
      </c>
      <c r="K595" s="63" t="s">
        <v>362</v>
      </c>
      <c r="L595" s="63" t="s">
        <v>362</v>
      </c>
      <c r="M595" s="64">
        <v>22.3032</v>
      </c>
    </row>
    <row r="596" spans="1:13">
      <c r="A596" s="65" t="s">
        <v>1492</v>
      </c>
      <c r="B596" s="66">
        <f t="shared" si="34"/>
        <v>39283</v>
      </c>
      <c r="C596" s="67">
        <f t="shared" si="35"/>
        <v>2007</v>
      </c>
      <c r="D596" s="68">
        <v>10.7843</v>
      </c>
      <c r="E596" s="68">
        <v>10.720700000000001</v>
      </c>
      <c r="F596" s="68">
        <v>10.752000000000001</v>
      </c>
      <c r="H596" s="69" t="s">
        <v>1493</v>
      </c>
      <c r="I596" s="66">
        <f t="shared" si="37"/>
        <v>44032</v>
      </c>
      <c r="J596" s="70">
        <f t="shared" si="36"/>
        <v>2020</v>
      </c>
      <c r="K596" s="72" t="s">
        <v>362</v>
      </c>
      <c r="L596" s="72" t="s">
        <v>362</v>
      </c>
      <c r="M596" s="71">
        <v>22.3032</v>
      </c>
    </row>
    <row r="597" spans="1:13">
      <c r="A597" s="57" t="s">
        <v>1494</v>
      </c>
      <c r="B597" s="58">
        <f t="shared" si="34"/>
        <v>39284</v>
      </c>
      <c r="C597" s="59">
        <f t="shared" si="35"/>
        <v>2007</v>
      </c>
      <c r="D597" s="60" t="s">
        <v>362</v>
      </c>
      <c r="E597" s="60" t="s">
        <v>362</v>
      </c>
      <c r="F597" s="61">
        <v>10.720700000000001</v>
      </c>
      <c r="H597" s="62" t="s">
        <v>1495</v>
      </c>
      <c r="I597" s="58">
        <f t="shared" si="37"/>
        <v>44033</v>
      </c>
      <c r="J597" s="60">
        <f t="shared" si="36"/>
        <v>2020</v>
      </c>
      <c r="K597" s="64">
        <v>22.627800000000001</v>
      </c>
      <c r="L597" s="64">
        <v>22.489699999999999</v>
      </c>
      <c r="M597" s="64">
        <v>22.3032</v>
      </c>
    </row>
    <row r="598" spans="1:13">
      <c r="A598" s="65" t="s">
        <v>1496</v>
      </c>
      <c r="B598" s="66">
        <f t="shared" si="34"/>
        <v>39285</v>
      </c>
      <c r="C598" s="67">
        <f t="shared" si="35"/>
        <v>2007</v>
      </c>
      <c r="D598" s="70" t="s">
        <v>362</v>
      </c>
      <c r="E598" s="70" t="s">
        <v>362</v>
      </c>
      <c r="F598" s="68">
        <v>10.720700000000001</v>
      </c>
      <c r="H598" s="69" t="s">
        <v>1497</v>
      </c>
      <c r="I598" s="66">
        <f t="shared" si="37"/>
        <v>44034</v>
      </c>
      <c r="J598" s="70">
        <f t="shared" si="36"/>
        <v>2020</v>
      </c>
      <c r="K598" s="71">
        <v>22.3597</v>
      </c>
      <c r="L598" s="71">
        <v>22.627800000000001</v>
      </c>
      <c r="M598" s="71">
        <v>22.489699999999999</v>
      </c>
    </row>
    <row r="599" spans="1:13">
      <c r="A599" s="57" t="s">
        <v>1498</v>
      </c>
      <c r="B599" s="58">
        <f t="shared" si="34"/>
        <v>39286</v>
      </c>
      <c r="C599" s="59">
        <f t="shared" si="35"/>
        <v>2007</v>
      </c>
      <c r="D599" s="61">
        <v>10.763999999999999</v>
      </c>
      <c r="E599" s="61">
        <v>10.7843</v>
      </c>
      <c r="F599" s="61">
        <v>10.720700000000001</v>
      </c>
      <c r="H599" s="62" t="s">
        <v>1499</v>
      </c>
      <c r="I599" s="58">
        <f t="shared" si="37"/>
        <v>44035</v>
      </c>
      <c r="J599" s="60">
        <f t="shared" si="36"/>
        <v>2020</v>
      </c>
      <c r="K599" s="64">
        <v>22.251000000000001</v>
      </c>
      <c r="L599" s="64">
        <v>22.3597</v>
      </c>
      <c r="M599" s="64">
        <v>22.627800000000001</v>
      </c>
    </row>
    <row r="600" spans="1:13">
      <c r="A600" s="65" t="s">
        <v>1500</v>
      </c>
      <c r="B600" s="66">
        <f t="shared" si="34"/>
        <v>39287</v>
      </c>
      <c r="C600" s="67">
        <f t="shared" si="35"/>
        <v>2007</v>
      </c>
      <c r="D600" s="68">
        <v>10.784599999999999</v>
      </c>
      <c r="E600" s="68">
        <v>10.763999999999999</v>
      </c>
      <c r="F600" s="68">
        <v>10.7843</v>
      </c>
      <c r="H600" s="69" t="s">
        <v>1501</v>
      </c>
      <c r="I600" s="66">
        <f t="shared" si="37"/>
        <v>44036</v>
      </c>
      <c r="J600" s="70">
        <f t="shared" si="36"/>
        <v>2020</v>
      </c>
      <c r="K600" s="71">
        <v>22.3627</v>
      </c>
      <c r="L600" s="71">
        <v>22.251000000000001</v>
      </c>
      <c r="M600" s="71">
        <v>22.3597</v>
      </c>
    </row>
    <row r="601" spans="1:13">
      <c r="A601" s="57" t="s">
        <v>1502</v>
      </c>
      <c r="B601" s="58">
        <f t="shared" si="34"/>
        <v>39288</v>
      </c>
      <c r="C601" s="59">
        <f t="shared" si="35"/>
        <v>2007</v>
      </c>
      <c r="D601" s="61">
        <v>10.8712</v>
      </c>
      <c r="E601" s="61">
        <v>10.784599999999999</v>
      </c>
      <c r="F601" s="61">
        <v>10.763999999999999</v>
      </c>
      <c r="H601" s="62" t="s">
        <v>1503</v>
      </c>
      <c r="I601" s="58">
        <f t="shared" si="37"/>
        <v>44037</v>
      </c>
      <c r="J601" s="60">
        <f t="shared" si="36"/>
        <v>2020</v>
      </c>
      <c r="K601" s="64">
        <v>22.3842</v>
      </c>
      <c r="L601" s="64">
        <v>22.3627</v>
      </c>
      <c r="M601" s="64">
        <v>22.251000000000001</v>
      </c>
    </row>
    <row r="602" spans="1:13">
      <c r="A602" s="65" t="s">
        <v>1504</v>
      </c>
      <c r="B602" s="66">
        <f t="shared" si="34"/>
        <v>39289</v>
      </c>
      <c r="C602" s="67">
        <f t="shared" si="35"/>
        <v>2007</v>
      </c>
      <c r="D602" s="68">
        <v>10.9436</v>
      </c>
      <c r="E602" s="68">
        <v>10.8712</v>
      </c>
      <c r="F602" s="68">
        <v>10.784599999999999</v>
      </c>
      <c r="H602" s="69" t="s">
        <v>1505</v>
      </c>
      <c r="I602" s="66">
        <f t="shared" si="37"/>
        <v>44038</v>
      </c>
      <c r="J602" s="70">
        <f t="shared" si="36"/>
        <v>2020</v>
      </c>
      <c r="K602" s="72" t="s">
        <v>362</v>
      </c>
      <c r="L602" s="72" t="s">
        <v>362</v>
      </c>
      <c r="M602" s="71">
        <v>22.3627</v>
      </c>
    </row>
    <row r="603" spans="1:13">
      <c r="A603" s="57" t="s">
        <v>1506</v>
      </c>
      <c r="B603" s="58">
        <f t="shared" si="34"/>
        <v>39290</v>
      </c>
      <c r="C603" s="59">
        <f t="shared" si="35"/>
        <v>2007</v>
      </c>
      <c r="D603" s="61">
        <v>10.997299999999999</v>
      </c>
      <c r="E603" s="61">
        <v>10.9436</v>
      </c>
      <c r="F603" s="61">
        <v>10.8712</v>
      </c>
      <c r="H603" s="62" t="s">
        <v>1507</v>
      </c>
      <c r="I603" s="58">
        <f t="shared" si="37"/>
        <v>44039</v>
      </c>
      <c r="J603" s="60">
        <f t="shared" si="36"/>
        <v>2020</v>
      </c>
      <c r="K603" s="63" t="s">
        <v>362</v>
      </c>
      <c r="L603" s="63" t="s">
        <v>362</v>
      </c>
      <c r="M603" s="64">
        <v>22.3627</v>
      </c>
    </row>
    <row r="604" spans="1:13">
      <c r="A604" s="65" t="s">
        <v>1508</v>
      </c>
      <c r="B604" s="66">
        <f t="shared" si="34"/>
        <v>39291</v>
      </c>
      <c r="C604" s="67">
        <f t="shared" si="35"/>
        <v>2007</v>
      </c>
      <c r="D604" s="70" t="s">
        <v>362</v>
      </c>
      <c r="E604" s="70" t="s">
        <v>362</v>
      </c>
      <c r="F604" s="68">
        <v>10.9436</v>
      </c>
      <c r="H604" s="69" t="s">
        <v>1509</v>
      </c>
      <c r="I604" s="66">
        <f t="shared" si="37"/>
        <v>44040</v>
      </c>
      <c r="J604" s="70">
        <f t="shared" si="36"/>
        <v>2020</v>
      </c>
      <c r="K604" s="71">
        <v>22.0275</v>
      </c>
      <c r="L604" s="71">
        <v>22.3842</v>
      </c>
      <c r="M604" s="71">
        <v>22.3627</v>
      </c>
    </row>
    <row r="605" spans="1:13">
      <c r="A605" s="57" t="s">
        <v>1510</v>
      </c>
      <c r="B605" s="58">
        <f t="shared" si="34"/>
        <v>39292</v>
      </c>
      <c r="C605" s="59">
        <f t="shared" si="35"/>
        <v>2007</v>
      </c>
      <c r="D605" s="60" t="s">
        <v>362</v>
      </c>
      <c r="E605" s="60" t="s">
        <v>362</v>
      </c>
      <c r="F605" s="61">
        <v>10.9436</v>
      </c>
      <c r="H605" s="62" t="s">
        <v>1511</v>
      </c>
      <c r="I605" s="58">
        <f t="shared" si="37"/>
        <v>44041</v>
      </c>
      <c r="J605" s="60">
        <f t="shared" si="36"/>
        <v>2020</v>
      </c>
      <c r="K605" s="64">
        <v>21.961500000000001</v>
      </c>
      <c r="L605" s="64">
        <v>22.0275</v>
      </c>
      <c r="M605" s="64">
        <v>22.3842</v>
      </c>
    </row>
    <row r="606" spans="1:13">
      <c r="A606" s="65" t="s">
        <v>1512</v>
      </c>
      <c r="B606" s="66">
        <f t="shared" si="34"/>
        <v>39293</v>
      </c>
      <c r="C606" s="67">
        <f t="shared" si="35"/>
        <v>2007</v>
      </c>
      <c r="D606" s="68">
        <v>10.981199999999999</v>
      </c>
      <c r="E606" s="68">
        <v>10.997299999999999</v>
      </c>
      <c r="F606" s="68">
        <v>10.9436</v>
      </c>
      <c r="H606" s="69" t="s">
        <v>1513</v>
      </c>
      <c r="I606" s="66">
        <f t="shared" si="37"/>
        <v>44042</v>
      </c>
      <c r="J606" s="70">
        <f t="shared" si="36"/>
        <v>2020</v>
      </c>
      <c r="K606" s="71">
        <v>21.9907</v>
      </c>
      <c r="L606" s="71">
        <v>21.961500000000001</v>
      </c>
      <c r="M606" s="71">
        <v>22.0275</v>
      </c>
    </row>
    <row r="607" spans="1:13">
      <c r="A607" s="57" t="s">
        <v>1514</v>
      </c>
      <c r="B607" s="58">
        <f t="shared" ref="B607:B670" si="38">DATE(RIGHT(A607,4),LEFT(RIGHT(A607,7),2),LEFT(A607,2))</f>
        <v>39294</v>
      </c>
      <c r="C607" s="59">
        <f t="shared" ref="C607:C670" si="39">YEAR(B607)</f>
        <v>2007</v>
      </c>
      <c r="D607" s="61">
        <v>10.927300000000001</v>
      </c>
      <c r="E607" s="61">
        <v>10.981199999999999</v>
      </c>
      <c r="F607" s="61">
        <v>10.997299999999999</v>
      </c>
      <c r="H607" s="62" t="s">
        <v>1515</v>
      </c>
      <c r="I607" s="58">
        <f t="shared" si="37"/>
        <v>44043</v>
      </c>
      <c r="J607" s="60">
        <f t="shared" ref="J607:J670" si="40">YEAR(I607)</f>
        <v>2020</v>
      </c>
      <c r="K607" s="64">
        <v>22.172699999999999</v>
      </c>
      <c r="L607" s="64">
        <v>21.9907</v>
      </c>
      <c r="M607" s="64">
        <v>21.961500000000001</v>
      </c>
    </row>
    <row r="608" spans="1:13">
      <c r="A608" s="65" t="s">
        <v>1516</v>
      </c>
      <c r="B608" s="66">
        <f t="shared" si="38"/>
        <v>39295</v>
      </c>
      <c r="C608" s="67">
        <f t="shared" si="39"/>
        <v>2007</v>
      </c>
      <c r="D608" s="68">
        <v>10.9663</v>
      </c>
      <c r="E608" s="68">
        <v>10.927300000000001</v>
      </c>
      <c r="F608" s="68">
        <v>10.981199999999999</v>
      </c>
      <c r="H608" s="69" t="s">
        <v>1517</v>
      </c>
      <c r="I608" s="66">
        <f t="shared" ref="I608:I671" si="41">DATE(RIGHT(H608,4),LEFT(RIGHT(A608,7),2),LEFT(A608,2))</f>
        <v>44044</v>
      </c>
      <c r="J608" s="70">
        <f t="shared" si="40"/>
        <v>2020</v>
      </c>
      <c r="K608" s="71">
        <v>22.2012</v>
      </c>
      <c r="L608" s="71">
        <v>22.172699999999999</v>
      </c>
      <c r="M608" s="71">
        <v>21.9907</v>
      </c>
    </row>
    <row r="609" spans="1:13">
      <c r="A609" s="57" t="s">
        <v>1518</v>
      </c>
      <c r="B609" s="58">
        <f t="shared" si="38"/>
        <v>39296</v>
      </c>
      <c r="C609" s="59">
        <f t="shared" si="39"/>
        <v>2007</v>
      </c>
      <c r="D609" s="61">
        <v>10.940200000000001</v>
      </c>
      <c r="E609" s="61">
        <v>10.9663</v>
      </c>
      <c r="F609" s="61">
        <v>10.927300000000001</v>
      </c>
      <c r="H609" s="62" t="s">
        <v>1519</v>
      </c>
      <c r="I609" s="58">
        <f t="shared" si="41"/>
        <v>44045</v>
      </c>
      <c r="J609" s="60">
        <f t="shared" si="40"/>
        <v>2020</v>
      </c>
      <c r="K609" s="63" t="s">
        <v>362</v>
      </c>
      <c r="L609" s="63" t="s">
        <v>362</v>
      </c>
      <c r="M609" s="64">
        <v>22.172699999999999</v>
      </c>
    </row>
    <row r="610" spans="1:13">
      <c r="A610" s="65" t="s">
        <v>1520</v>
      </c>
      <c r="B610" s="66">
        <f t="shared" si="38"/>
        <v>39297</v>
      </c>
      <c r="C610" s="67">
        <f t="shared" si="39"/>
        <v>2007</v>
      </c>
      <c r="D610" s="68">
        <v>10.967700000000001</v>
      </c>
      <c r="E610" s="68">
        <v>10.940200000000001</v>
      </c>
      <c r="F610" s="68">
        <v>10.9663</v>
      </c>
      <c r="H610" s="69" t="s">
        <v>1521</v>
      </c>
      <c r="I610" s="66">
        <f t="shared" si="41"/>
        <v>44046</v>
      </c>
      <c r="J610" s="70">
        <f t="shared" si="40"/>
        <v>2020</v>
      </c>
      <c r="K610" s="72" t="s">
        <v>362</v>
      </c>
      <c r="L610" s="72" t="s">
        <v>362</v>
      </c>
      <c r="M610" s="71">
        <v>22.172699999999999</v>
      </c>
    </row>
    <row r="611" spans="1:13">
      <c r="A611" s="57" t="s">
        <v>1522</v>
      </c>
      <c r="B611" s="58">
        <f t="shared" si="38"/>
        <v>39298</v>
      </c>
      <c r="C611" s="59">
        <f t="shared" si="39"/>
        <v>2007</v>
      </c>
      <c r="D611" s="60" t="s">
        <v>362</v>
      </c>
      <c r="E611" s="60" t="s">
        <v>362</v>
      </c>
      <c r="F611" s="61">
        <v>10.940200000000001</v>
      </c>
      <c r="H611" s="62" t="s">
        <v>1523</v>
      </c>
      <c r="I611" s="58">
        <f t="shared" si="41"/>
        <v>44047</v>
      </c>
      <c r="J611" s="60">
        <f t="shared" si="40"/>
        <v>2020</v>
      </c>
      <c r="K611" s="64">
        <v>22.614000000000001</v>
      </c>
      <c r="L611" s="64">
        <v>22.2012</v>
      </c>
      <c r="M611" s="64">
        <v>22.172699999999999</v>
      </c>
    </row>
    <row r="612" spans="1:13">
      <c r="A612" s="65" t="s">
        <v>1524</v>
      </c>
      <c r="B612" s="66">
        <f t="shared" si="38"/>
        <v>39299</v>
      </c>
      <c r="C612" s="67">
        <f t="shared" si="39"/>
        <v>2007</v>
      </c>
      <c r="D612" s="70" t="s">
        <v>362</v>
      </c>
      <c r="E612" s="70" t="s">
        <v>362</v>
      </c>
      <c r="F612" s="68">
        <v>10.940200000000001</v>
      </c>
      <c r="H612" s="69" t="s">
        <v>1525</v>
      </c>
      <c r="I612" s="66">
        <f t="shared" si="41"/>
        <v>44048</v>
      </c>
      <c r="J612" s="70">
        <f t="shared" si="40"/>
        <v>2020</v>
      </c>
      <c r="K612" s="71">
        <v>22.784500000000001</v>
      </c>
      <c r="L612" s="71">
        <v>22.614000000000001</v>
      </c>
      <c r="M612" s="71">
        <v>22.2012</v>
      </c>
    </row>
    <row r="613" spans="1:13">
      <c r="A613" s="57" t="s">
        <v>1526</v>
      </c>
      <c r="B613" s="58">
        <f t="shared" si="38"/>
        <v>39300</v>
      </c>
      <c r="C613" s="59">
        <f t="shared" si="39"/>
        <v>2007</v>
      </c>
      <c r="D613" s="61">
        <v>10.9886</v>
      </c>
      <c r="E613" s="61">
        <v>10.967700000000001</v>
      </c>
      <c r="F613" s="61">
        <v>10.940200000000001</v>
      </c>
      <c r="H613" s="62" t="s">
        <v>1527</v>
      </c>
      <c r="I613" s="58">
        <f t="shared" si="41"/>
        <v>44049</v>
      </c>
      <c r="J613" s="60">
        <f t="shared" si="40"/>
        <v>2020</v>
      </c>
      <c r="K613" s="64">
        <v>22.4068</v>
      </c>
      <c r="L613" s="64">
        <v>22.784500000000001</v>
      </c>
      <c r="M613" s="64">
        <v>22.614000000000001</v>
      </c>
    </row>
    <row r="614" spans="1:13">
      <c r="A614" s="65" t="s">
        <v>1528</v>
      </c>
      <c r="B614" s="66">
        <f t="shared" si="38"/>
        <v>39301</v>
      </c>
      <c r="C614" s="67">
        <f t="shared" si="39"/>
        <v>2007</v>
      </c>
      <c r="D614" s="68">
        <v>10.9613</v>
      </c>
      <c r="E614" s="68">
        <v>10.9886</v>
      </c>
      <c r="F614" s="68">
        <v>10.967700000000001</v>
      </c>
      <c r="H614" s="69" t="s">
        <v>1529</v>
      </c>
      <c r="I614" s="66">
        <f t="shared" si="41"/>
        <v>44050</v>
      </c>
      <c r="J614" s="70">
        <f t="shared" si="40"/>
        <v>2020</v>
      </c>
      <c r="K614" s="71">
        <v>22.365200000000002</v>
      </c>
      <c r="L614" s="71">
        <v>22.4068</v>
      </c>
      <c r="M614" s="71">
        <v>22.784500000000001</v>
      </c>
    </row>
    <row r="615" spans="1:13">
      <c r="A615" s="57" t="s">
        <v>1530</v>
      </c>
      <c r="B615" s="58">
        <f t="shared" si="38"/>
        <v>39302</v>
      </c>
      <c r="C615" s="59">
        <f t="shared" si="39"/>
        <v>2007</v>
      </c>
      <c r="D615" s="61">
        <v>10.9209</v>
      </c>
      <c r="E615" s="61">
        <v>10.9613</v>
      </c>
      <c r="F615" s="61">
        <v>10.9886</v>
      </c>
      <c r="H615" s="62" t="s">
        <v>1531</v>
      </c>
      <c r="I615" s="58">
        <f t="shared" si="41"/>
        <v>44051</v>
      </c>
      <c r="J615" s="60">
        <f t="shared" si="40"/>
        <v>2020</v>
      </c>
      <c r="K615" s="64">
        <v>22.4892</v>
      </c>
      <c r="L615" s="64">
        <v>22.365200000000002</v>
      </c>
      <c r="M615" s="64">
        <v>22.4068</v>
      </c>
    </row>
    <row r="616" spans="1:13">
      <c r="A616" s="65" t="s">
        <v>1532</v>
      </c>
      <c r="B616" s="66">
        <f t="shared" si="38"/>
        <v>39303</v>
      </c>
      <c r="C616" s="67">
        <f t="shared" si="39"/>
        <v>2007</v>
      </c>
      <c r="D616" s="68">
        <v>10.9832</v>
      </c>
      <c r="E616" s="68">
        <v>10.9209</v>
      </c>
      <c r="F616" s="68">
        <v>10.9613</v>
      </c>
      <c r="H616" s="69" t="s">
        <v>1533</v>
      </c>
      <c r="I616" s="66">
        <f t="shared" si="41"/>
        <v>44052</v>
      </c>
      <c r="J616" s="70">
        <f t="shared" si="40"/>
        <v>2020</v>
      </c>
      <c r="K616" s="72" t="s">
        <v>362</v>
      </c>
      <c r="L616" s="72" t="s">
        <v>362</v>
      </c>
      <c r="M616" s="71">
        <v>22.365200000000002</v>
      </c>
    </row>
    <row r="617" spans="1:13">
      <c r="A617" s="57" t="s">
        <v>1534</v>
      </c>
      <c r="B617" s="58">
        <f t="shared" si="38"/>
        <v>39304</v>
      </c>
      <c r="C617" s="59">
        <f t="shared" si="39"/>
        <v>2007</v>
      </c>
      <c r="D617" s="61">
        <v>11.017300000000001</v>
      </c>
      <c r="E617" s="61">
        <v>10.9832</v>
      </c>
      <c r="F617" s="61">
        <v>10.9209</v>
      </c>
      <c r="H617" s="62" t="s">
        <v>1535</v>
      </c>
      <c r="I617" s="58">
        <f t="shared" si="41"/>
        <v>44053</v>
      </c>
      <c r="J617" s="60">
        <f t="shared" si="40"/>
        <v>2020</v>
      </c>
      <c r="K617" s="63" t="s">
        <v>362</v>
      </c>
      <c r="L617" s="63" t="s">
        <v>362</v>
      </c>
      <c r="M617" s="64">
        <v>22.365200000000002</v>
      </c>
    </row>
    <row r="618" spans="1:13">
      <c r="A618" s="65" t="s">
        <v>1536</v>
      </c>
      <c r="B618" s="66">
        <f t="shared" si="38"/>
        <v>39305</v>
      </c>
      <c r="C618" s="67">
        <f t="shared" si="39"/>
        <v>2007</v>
      </c>
      <c r="D618" s="70" t="s">
        <v>362</v>
      </c>
      <c r="E618" s="70" t="s">
        <v>362</v>
      </c>
      <c r="F618" s="68">
        <v>10.9832</v>
      </c>
      <c r="H618" s="69" t="s">
        <v>1537</v>
      </c>
      <c r="I618" s="66">
        <f t="shared" si="41"/>
        <v>44054</v>
      </c>
      <c r="J618" s="70">
        <f t="shared" si="40"/>
        <v>2020</v>
      </c>
      <c r="K618" s="71">
        <v>22.484999999999999</v>
      </c>
      <c r="L618" s="71">
        <v>22.4892</v>
      </c>
      <c r="M618" s="71">
        <v>22.365200000000002</v>
      </c>
    </row>
    <row r="619" spans="1:13">
      <c r="A619" s="57" t="s">
        <v>1538</v>
      </c>
      <c r="B619" s="58">
        <f t="shared" si="38"/>
        <v>39306</v>
      </c>
      <c r="C619" s="59">
        <f t="shared" si="39"/>
        <v>2007</v>
      </c>
      <c r="D619" s="60" t="s">
        <v>362</v>
      </c>
      <c r="E619" s="60" t="s">
        <v>362</v>
      </c>
      <c r="F619" s="61">
        <v>10.9832</v>
      </c>
      <c r="H619" s="62" t="s">
        <v>1539</v>
      </c>
      <c r="I619" s="58">
        <f t="shared" si="41"/>
        <v>44055</v>
      </c>
      <c r="J619" s="60">
        <f t="shared" si="40"/>
        <v>2020</v>
      </c>
      <c r="K619" s="64">
        <v>22.349</v>
      </c>
      <c r="L619" s="64">
        <v>22.484999999999999</v>
      </c>
      <c r="M619" s="64">
        <v>22.4892</v>
      </c>
    </row>
    <row r="620" spans="1:13">
      <c r="A620" s="65" t="s">
        <v>1540</v>
      </c>
      <c r="B620" s="66">
        <f t="shared" si="38"/>
        <v>39307</v>
      </c>
      <c r="C620" s="67">
        <f t="shared" si="39"/>
        <v>2007</v>
      </c>
      <c r="D620" s="68">
        <v>10.9915</v>
      </c>
      <c r="E620" s="68">
        <v>11.017300000000001</v>
      </c>
      <c r="F620" s="68">
        <v>10.9832</v>
      </c>
      <c r="H620" s="69" t="s">
        <v>1541</v>
      </c>
      <c r="I620" s="66">
        <f t="shared" si="41"/>
        <v>44056</v>
      </c>
      <c r="J620" s="70">
        <f t="shared" si="40"/>
        <v>2020</v>
      </c>
      <c r="K620" s="71">
        <v>22.345700000000001</v>
      </c>
      <c r="L620" s="71">
        <v>22.349</v>
      </c>
      <c r="M620" s="71">
        <v>22.484999999999999</v>
      </c>
    </row>
    <row r="621" spans="1:13">
      <c r="A621" s="57" t="s">
        <v>1542</v>
      </c>
      <c r="B621" s="58">
        <f t="shared" si="38"/>
        <v>39308</v>
      </c>
      <c r="C621" s="59">
        <f t="shared" si="39"/>
        <v>2007</v>
      </c>
      <c r="D621" s="61">
        <v>11.0549</v>
      </c>
      <c r="E621" s="61">
        <v>10.9915</v>
      </c>
      <c r="F621" s="61">
        <v>11.017300000000001</v>
      </c>
      <c r="H621" s="62" t="s">
        <v>1543</v>
      </c>
      <c r="I621" s="58">
        <f t="shared" si="41"/>
        <v>44057</v>
      </c>
      <c r="J621" s="60">
        <f t="shared" si="40"/>
        <v>2020</v>
      </c>
      <c r="K621" s="64">
        <v>22.262799999999999</v>
      </c>
      <c r="L621" s="64">
        <v>22.345700000000001</v>
      </c>
      <c r="M621" s="64">
        <v>22.349</v>
      </c>
    </row>
    <row r="622" spans="1:13">
      <c r="A622" s="65" t="s">
        <v>1544</v>
      </c>
      <c r="B622" s="66">
        <f t="shared" si="38"/>
        <v>39309</v>
      </c>
      <c r="C622" s="67">
        <f t="shared" si="39"/>
        <v>2007</v>
      </c>
      <c r="D622" s="68">
        <v>11.114800000000001</v>
      </c>
      <c r="E622" s="68">
        <v>11.0549</v>
      </c>
      <c r="F622" s="68">
        <v>10.9915</v>
      </c>
      <c r="H622" s="69" t="s">
        <v>1545</v>
      </c>
      <c r="I622" s="66">
        <f t="shared" si="41"/>
        <v>44058</v>
      </c>
      <c r="J622" s="70">
        <f t="shared" si="40"/>
        <v>2020</v>
      </c>
      <c r="K622" s="71">
        <v>22.031300000000002</v>
      </c>
      <c r="L622" s="71">
        <v>22.262799999999999</v>
      </c>
      <c r="M622" s="71">
        <v>22.345700000000001</v>
      </c>
    </row>
    <row r="623" spans="1:13">
      <c r="A623" s="57" t="s">
        <v>1546</v>
      </c>
      <c r="B623" s="58">
        <f t="shared" si="38"/>
        <v>39310</v>
      </c>
      <c r="C623" s="59">
        <f t="shared" si="39"/>
        <v>2007</v>
      </c>
      <c r="D623" s="61">
        <v>11.2676</v>
      </c>
      <c r="E623" s="61">
        <v>11.114800000000001</v>
      </c>
      <c r="F623" s="61">
        <v>11.0549</v>
      </c>
      <c r="H623" s="62" t="s">
        <v>1547</v>
      </c>
      <c r="I623" s="58">
        <f t="shared" si="41"/>
        <v>44059</v>
      </c>
      <c r="J623" s="60">
        <f t="shared" si="40"/>
        <v>2020</v>
      </c>
      <c r="K623" s="63" t="s">
        <v>362</v>
      </c>
      <c r="L623" s="63" t="s">
        <v>362</v>
      </c>
      <c r="M623" s="64">
        <v>22.262799999999999</v>
      </c>
    </row>
    <row r="624" spans="1:13">
      <c r="A624" s="65" t="s">
        <v>1548</v>
      </c>
      <c r="B624" s="66">
        <f t="shared" si="38"/>
        <v>39311</v>
      </c>
      <c r="C624" s="67">
        <f t="shared" si="39"/>
        <v>2007</v>
      </c>
      <c r="D624" s="68">
        <v>11.1259</v>
      </c>
      <c r="E624" s="68">
        <v>11.2676</v>
      </c>
      <c r="F624" s="68">
        <v>11.114800000000001</v>
      </c>
      <c r="H624" s="69" t="s">
        <v>1549</v>
      </c>
      <c r="I624" s="66">
        <f t="shared" si="41"/>
        <v>44060</v>
      </c>
      <c r="J624" s="70">
        <f t="shared" si="40"/>
        <v>2020</v>
      </c>
      <c r="K624" s="72" t="s">
        <v>362</v>
      </c>
      <c r="L624" s="72" t="s">
        <v>362</v>
      </c>
      <c r="M624" s="71">
        <v>22.262799999999999</v>
      </c>
    </row>
    <row r="625" spans="1:13">
      <c r="A625" s="57" t="s">
        <v>1550</v>
      </c>
      <c r="B625" s="58">
        <f t="shared" si="38"/>
        <v>39312</v>
      </c>
      <c r="C625" s="59">
        <f t="shared" si="39"/>
        <v>2007</v>
      </c>
      <c r="D625" s="60" t="s">
        <v>362</v>
      </c>
      <c r="E625" s="60" t="s">
        <v>362</v>
      </c>
      <c r="F625" s="61">
        <v>11.2676</v>
      </c>
      <c r="H625" s="62" t="s">
        <v>1551</v>
      </c>
      <c r="I625" s="58">
        <f t="shared" si="41"/>
        <v>44061</v>
      </c>
      <c r="J625" s="60">
        <f t="shared" si="40"/>
        <v>2020</v>
      </c>
      <c r="K625" s="64">
        <v>22.056999999999999</v>
      </c>
      <c r="L625" s="64">
        <v>22.031300000000002</v>
      </c>
      <c r="M625" s="64">
        <v>22.262799999999999</v>
      </c>
    </row>
    <row r="626" spans="1:13">
      <c r="A626" s="65" t="s">
        <v>1552</v>
      </c>
      <c r="B626" s="66">
        <f t="shared" si="38"/>
        <v>39313</v>
      </c>
      <c r="C626" s="67">
        <f t="shared" si="39"/>
        <v>2007</v>
      </c>
      <c r="D626" s="70" t="s">
        <v>362</v>
      </c>
      <c r="E626" s="70" t="s">
        <v>362</v>
      </c>
      <c r="F626" s="68">
        <v>11.2676</v>
      </c>
      <c r="H626" s="69" t="s">
        <v>1553</v>
      </c>
      <c r="I626" s="66">
        <f t="shared" si="41"/>
        <v>44062</v>
      </c>
      <c r="J626" s="70">
        <f t="shared" si="40"/>
        <v>2020</v>
      </c>
      <c r="K626" s="71">
        <v>22.153500000000001</v>
      </c>
      <c r="L626" s="71">
        <v>22.056999999999999</v>
      </c>
      <c r="M626" s="71">
        <v>22.031300000000002</v>
      </c>
    </row>
    <row r="627" spans="1:13">
      <c r="A627" s="57" t="s">
        <v>1554</v>
      </c>
      <c r="B627" s="58">
        <f t="shared" si="38"/>
        <v>39314</v>
      </c>
      <c r="C627" s="59">
        <f t="shared" si="39"/>
        <v>2007</v>
      </c>
      <c r="D627" s="61">
        <v>11.1053</v>
      </c>
      <c r="E627" s="61">
        <v>11.1259</v>
      </c>
      <c r="F627" s="61">
        <v>11.2676</v>
      </c>
      <c r="H627" s="62" t="s">
        <v>1555</v>
      </c>
      <c r="I627" s="58">
        <f t="shared" si="41"/>
        <v>44063</v>
      </c>
      <c r="J627" s="60">
        <f t="shared" si="40"/>
        <v>2020</v>
      </c>
      <c r="K627" s="64">
        <v>22.052700000000002</v>
      </c>
      <c r="L627" s="64">
        <v>22.153500000000001</v>
      </c>
      <c r="M627" s="64">
        <v>22.056999999999999</v>
      </c>
    </row>
    <row r="628" spans="1:13">
      <c r="A628" s="65" t="s">
        <v>1556</v>
      </c>
      <c r="B628" s="66">
        <f t="shared" si="38"/>
        <v>39315</v>
      </c>
      <c r="C628" s="67">
        <f t="shared" si="39"/>
        <v>2007</v>
      </c>
      <c r="D628" s="68">
        <v>11.1213</v>
      </c>
      <c r="E628" s="68">
        <v>11.1053</v>
      </c>
      <c r="F628" s="68">
        <v>11.1259</v>
      </c>
      <c r="H628" s="69" t="s">
        <v>1557</v>
      </c>
      <c r="I628" s="66">
        <f t="shared" si="41"/>
        <v>44064</v>
      </c>
      <c r="J628" s="70">
        <f t="shared" si="40"/>
        <v>2020</v>
      </c>
      <c r="K628" s="71">
        <v>22.175999999999998</v>
      </c>
      <c r="L628" s="71">
        <v>22.052700000000002</v>
      </c>
      <c r="M628" s="71">
        <v>22.153500000000001</v>
      </c>
    </row>
    <row r="629" spans="1:13">
      <c r="A629" s="57" t="s">
        <v>1558</v>
      </c>
      <c r="B629" s="58">
        <f t="shared" si="38"/>
        <v>39316</v>
      </c>
      <c r="C629" s="59">
        <f t="shared" si="39"/>
        <v>2007</v>
      </c>
      <c r="D629" s="61">
        <v>11.073600000000001</v>
      </c>
      <c r="E629" s="61">
        <v>11.1213</v>
      </c>
      <c r="F629" s="61">
        <v>11.1053</v>
      </c>
      <c r="H629" s="62" t="s">
        <v>1559</v>
      </c>
      <c r="I629" s="58">
        <f t="shared" si="41"/>
        <v>44065</v>
      </c>
      <c r="J629" s="60">
        <f t="shared" si="40"/>
        <v>2020</v>
      </c>
      <c r="K629" s="64">
        <v>22.036200000000001</v>
      </c>
      <c r="L629" s="64">
        <v>22.175999999999998</v>
      </c>
      <c r="M629" s="64">
        <v>22.052700000000002</v>
      </c>
    </row>
    <row r="630" spans="1:13">
      <c r="A630" s="65" t="s">
        <v>1560</v>
      </c>
      <c r="B630" s="66">
        <f t="shared" si="38"/>
        <v>39317</v>
      </c>
      <c r="C630" s="67">
        <f t="shared" si="39"/>
        <v>2007</v>
      </c>
      <c r="D630" s="68">
        <v>11.0489</v>
      </c>
      <c r="E630" s="68">
        <v>11.073600000000001</v>
      </c>
      <c r="F630" s="68">
        <v>11.1213</v>
      </c>
      <c r="H630" s="69" t="s">
        <v>1561</v>
      </c>
      <c r="I630" s="66">
        <f t="shared" si="41"/>
        <v>44066</v>
      </c>
      <c r="J630" s="70">
        <f t="shared" si="40"/>
        <v>2020</v>
      </c>
      <c r="K630" s="72" t="s">
        <v>362</v>
      </c>
      <c r="L630" s="72" t="s">
        <v>362</v>
      </c>
      <c r="M630" s="71">
        <v>22.175999999999998</v>
      </c>
    </row>
    <row r="631" spans="1:13">
      <c r="A631" s="57" t="s">
        <v>1562</v>
      </c>
      <c r="B631" s="58">
        <f t="shared" si="38"/>
        <v>39318</v>
      </c>
      <c r="C631" s="59">
        <f t="shared" si="39"/>
        <v>2007</v>
      </c>
      <c r="D631" s="61">
        <v>11.0413</v>
      </c>
      <c r="E631" s="61">
        <v>11.0489</v>
      </c>
      <c r="F631" s="61">
        <v>11.073600000000001</v>
      </c>
      <c r="H631" s="62" t="s">
        <v>1563</v>
      </c>
      <c r="I631" s="58">
        <f t="shared" si="41"/>
        <v>44067</v>
      </c>
      <c r="J631" s="60">
        <f t="shared" si="40"/>
        <v>2020</v>
      </c>
      <c r="K631" s="63" t="s">
        <v>362</v>
      </c>
      <c r="L631" s="63" t="s">
        <v>362</v>
      </c>
      <c r="M631" s="64">
        <v>22.175999999999998</v>
      </c>
    </row>
    <row r="632" spans="1:13">
      <c r="A632" s="65" t="s">
        <v>1564</v>
      </c>
      <c r="B632" s="66">
        <f t="shared" si="38"/>
        <v>39319</v>
      </c>
      <c r="C632" s="67">
        <f t="shared" si="39"/>
        <v>2007</v>
      </c>
      <c r="D632" s="70" t="s">
        <v>362</v>
      </c>
      <c r="E632" s="70" t="s">
        <v>362</v>
      </c>
      <c r="F632" s="68">
        <v>11.0489</v>
      </c>
      <c r="H632" s="69" t="s">
        <v>1565</v>
      </c>
      <c r="I632" s="66">
        <f t="shared" si="41"/>
        <v>44068</v>
      </c>
      <c r="J632" s="70">
        <f t="shared" si="40"/>
        <v>2020</v>
      </c>
      <c r="K632" s="71">
        <v>21.984000000000002</v>
      </c>
      <c r="L632" s="71">
        <v>22.036200000000001</v>
      </c>
      <c r="M632" s="71">
        <v>22.175999999999998</v>
      </c>
    </row>
    <row r="633" spans="1:13">
      <c r="A633" s="57" t="s">
        <v>1566</v>
      </c>
      <c r="B633" s="58">
        <f t="shared" si="38"/>
        <v>39320</v>
      </c>
      <c r="C633" s="59">
        <f t="shared" si="39"/>
        <v>2007</v>
      </c>
      <c r="D633" s="60" t="s">
        <v>362</v>
      </c>
      <c r="E633" s="60" t="s">
        <v>362</v>
      </c>
      <c r="F633" s="61">
        <v>11.0489</v>
      </c>
      <c r="H633" s="62" t="s">
        <v>1567</v>
      </c>
      <c r="I633" s="58">
        <f t="shared" si="41"/>
        <v>44069</v>
      </c>
      <c r="J633" s="60">
        <f t="shared" si="40"/>
        <v>2020</v>
      </c>
      <c r="K633" s="64">
        <v>21.972300000000001</v>
      </c>
      <c r="L633" s="64">
        <v>21.984000000000002</v>
      </c>
      <c r="M633" s="64">
        <v>22.036200000000001</v>
      </c>
    </row>
    <row r="634" spans="1:13">
      <c r="A634" s="65" t="s">
        <v>1568</v>
      </c>
      <c r="B634" s="66">
        <f t="shared" si="38"/>
        <v>39321</v>
      </c>
      <c r="C634" s="67">
        <f t="shared" si="39"/>
        <v>2007</v>
      </c>
      <c r="D634" s="68">
        <v>11.0382</v>
      </c>
      <c r="E634" s="68">
        <v>11.0413</v>
      </c>
      <c r="F634" s="68">
        <v>11.0489</v>
      </c>
      <c r="H634" s="69" t="s">
        <v>1569</v>
      </c>
      <c r="I634" s="66">
        <f t="shared" si="41"/>
        <v>44070</v>
      </c>
      <c r="J634" s="70">
        <f t="shared" si="40"/>
        <v>2020</v>
      </c>
      <c r="K634" s="71">
        <v>21.920200000000001</v>
      </c>
      <c r="L634" s="71">
        <v>21.972300000000001</v>
      </c>
      <c r="M634" s="71">
        <v>21.984000000000002</v>
      </c>
    </row>
    <row r="635" spans="1:13">
      <c r="A635" s="57" t="s">
        <v>1570</v>
      </c>
      <c r="B635" s="58">
        <f t="shared" si="38"/>
        <v>39322</v>
      </c>
      <c r="C635" s="59">
        <f t="shared" si="39"/>
        <v>2007</v>
      </c>
      <c r="D635" s="61">
        <v>11.092000000000001</v>
      </c>
      <c r="E635" s="61">
        <v>11.0382</v>
      </c>
      <c r="F635" s="61">
        <v>11.0413</v>
      </c>
      <c r="H635" s="62" t="s">
        <v>1571</v>
      </c>
      <c r="I635" s="58">
        <f t="shared" si="41"/>
        <v>44071</v>
      </c>
      <c r="J635" s="60">
        <f t="shared" si="40"/>
        <v>2020</v>
      </c>
      <c r="K635" s="64">
        <v>22.116800000000001</v>
      </c>
      <c r="L635" s="64">
        <v>21.920200000000001</v>
      </c>
      <c r="M635" s="64">
        <v>21.972300000000001</v>
      </c>
    </row>
    <row r="636" spans="1:13">
      <c r="A636" s="65" t="s">
        <v>1572</v>
      </c>
      <c r="B636" s="66">
        <f t="shared" si="38"/>
        <v>39323</v>
      </c>
      <c r="C636" s="67">
        <f t="shared" si="39"/>
        <v>2007</v>
      </c>
      <c r="D636" s="68">
        <v>11.106199999999999</v>
      </c>
      <c r="E636" s="68">
        <v>11.092000000000001</v>
      </c>
      <c r="F636" s="68">
        <v>11.0382</v>
      </c>
      <c r="H636" s="69" t="s">
        <v>1573</v>
      </c>
      <c r="I636" s="66">
        <f t="shared" si="41"/>
        <v>44072</v>
      </c>
      <c r="J636" s="70">
        <f t="shared" si="40"/>
        <v>2020</v>
      </c>
      <c r="K636" s="71">
        <v>21.860199999999999</v>
      </c>
      <c r="L636" s="71">
        <v>22.116800000000001</v>
      </c>
      <c r="M636" s="71">
        <v>21.920200000000001</v>
      </c>
    </row>
    <row r="637" spans="1:13">
      <c r="A637" s="57" t="s">
        <v>1574</v>
      </c>
      <c r="B637" s="58">
        <f t="shared" si="38"/>
        <v>39324</v>
      </c>
      <c r="C637" s="59">
        <f t="shared" si="39"/>
        <v>2007</v>
      </c>
      <c r="D637" s="61">
        <v>11.0848</v>
      </c>
      <c r="E637" s="61">
        <v>11.106199999999999</v>
      </c>
      <c r="F637" s="61">
        <v>11.092000000000001</v>
      </c>
      <c r="H637" s="62" t="s">
        <v>1575</v>
      </c>
      <c r="I637" s="58">
        <f t="shared" si="41"/>
        <v>44073</v>
      </c>
      <c r="J637" s="60">
        <f t="shared" si="40"/>
        <v>2020</v>
      </c>
      <c r="K637" s="63" t="s">
        <v>362</v>
      </c>
      <c r="L637" s="63" t="s">
        <v>362</v>
      </c>
      <c r="M637" s="64">
        <v>22.116800000000001</v>
      </c>
    </row>
    <row r="638" spans="1:13">
      <c r="A638" s="65" t="s">
        <v>1576</v>
      </c>
      <c r="B638" s="66">
        <f t="shared" si="38"/>
        <v>39325</v>
      </c>
      <c r="C638" s="67">
        <f t="shared" si="39"/>
        <v>2007</v>
      </c>
      <c r="D638" s="68">
        <v>11.037800000000001</v>
      </c>
      <c r="E638" s="68">
        <v>11.0848</v>
      </c>
      <c r="F638" s="68">
        <v>11.106199999999999</v>
      </c>
      <c r="H638" s="69" t="s">
        <v>1577</v>
      </c>
      <c r="I638" s="66">
        <f t="shared" si="41"/>
        <v>44074</v>
      </c>
      <c r="J638" s="70">
        <f t="shared" si="40"/>
        <v>2020</v>
      </c>
      <c r="K638" s="72" t="s">
        <v>362</v>
      </c>
      <c r="L638" s="72" t="s">
        <v>362</v>
      </c>
      <c r="M638" s="71">
        <v>22.116800000000001</v>
      </c>
    </row>
    <row r="639" spans="1:13">
      <c r="A639" s="57" t="s">
        <v>1578</v>
      </c>
      <c r="B639" s="58">
        <f t="shared" si="38"/>
        <v>39326</v>
      </c>
      <c r="C639" s="59">
        <f t="shared" si="39"/>
        <v>2007</v>
      </c>
      <c r="D639" s="60" t="s">
        <v>362</v>
      </c>
      <c r="E639" s="60" t="s">
        <v>362</v>
      </c>
      <c r="F639" s="61">
        <v>11.0848</v>
      </c>
      <c r="H639" s="62" t="s">
        <v>1579</v>
      </c>
      <c r="I639" s="58">
        <f t="shared" si="41"/>
        <v>44075</v>
      </c>
      <c r="J639" s="60">
        <f t="shared" si="40"/>
        <v>2020</v>
      </c>
      <c r="K639" s="64">
        <v>21.888000000000002</v>
      </c>
      <c r="L639" s="64">
        <v>21.860199999999999</v>
      </c>
      <c r="M639" s="64">
        <v>22.116800000000001</v>
      </c>
    </row>
    <row r="640" spans="1:13">
      <c r="A640" s="65" t="s">
        <v>1580</v>
      </c>
      <c r="B640" s="66">
        <f t="shared" si="38"/>
        <v>39327</v>
      </c>
      <c r="C640" s="67">
        <f t="shared" si="39"/>
        <v>2007</v>
      </c>
      <c r="D640" s="70" t="s">
        <v>362</v>
      </c>
      <c r="E640" s="70" t="s">
        <v>362</v>
      </c>
      <c r="F640" s="68">
        <v>11.0848</v>
      </c>
      <c r="H640" s="69" t="s">
        <v>1581</v>
      </c>
      <c r="I640" s="66">
        <f t="shared" si="41"/>
        <v>44076</v>
      </c>
      <c r="J640" s="70">
        <f t="shared" si="40"/>
        <v>2020</v>
      </c>
      <c r="K640" s="71">
        <v>21.744499999999999</v>
      </c>
      <c r="L640" s="71">
        <v>21.888000000000002</v>
      </c>
      <c r="M640" s="71">
        <v>21.860199999999999</v>
      </c>
    </row>
    <row r="641" spans="1:13">
      <c r="A641" s="57" t="s">
        <v>1582</v>
      </c>
      <c r="B641" s="58">
        <f t="shared" si="38"/>
        <v>39328</v>
      </c>
      <c r="C641" s="59">
        <f t="shared" si="39"/>
        <v>2007</v>
      </c>
      <c r="D641" s="61">
        <v>11.0169</v>
      </c>
      <c r="E641" s="61">
        <v>11.037800000000001</v>
      </c>
      <c r="F641" s="61">
        <v>11.0848</v>
      </c>
      <c r="H641" s="62" t="s">
        <v>1583</v>
      </c>
      <c r="I641" s="58">
        <f t="shared" si="41"/>
        <v>44077</v>
      </c>
      <c r="J641" s="60">
        <f t="shared" si="40"/>
        <v>2020</v>
      </c>
      <c r="K641" s="64">
        <v>21.839300000000001</v>
      </c>
      <c r="L641" s="64">
        <v>21.744499999999999</v>
      </c>
      <c r="M641" s="64">
        <v>21.888000000000002</v>
      </c>
    </row>
    <row r="642" spans="1:13">
      <c r="A642" s="65" t="s">
        <v>1584</v>
      </c>
      <c r="B642" s="66">
        <f t="shared" si="38"/>
        <v>39329</v>
      </c>
      <c r="C642" s="67">
        <f t="shared" si="39"/>
        <v>2007</v>
      </c>
      <c r="D642" s="68">
        <v>11.0265</v>
      </c>
      <c r="E642" s="68">
        <v>11.0169</v>
      </c>
      <c r="F642" s="68">
        <v>11.037800000000001</v>
      </c>
      <c r="H642" s="69" t="s">
        <v>1585</v>
      </c>
      <c r="I642" s="66">
        <f t="shared" si="41"/>
        <v>44078</v>
      </c>
      <c r="J642" s="70">
        <f t="shared" si="40"/>
        <v>2020</v>
      </c>
      <c r="K642" s="71">
        <v>21.638300000000001</v>
      </c>
      <c r="L642" s="71">
        <v>21.839300000000001</v>
      </c>
      <c r="M642" s="71">
        <v>21.744499999999999</v>
      </c>
    </row>
    <row r="643" spans="1:13">
      <c r="A643" s="57" t="s">
        <v>1586</v>
      </c>
      <c r="B643" s="58">
        <f t="shared" si="38"/>
        <v>39330</v>
      </c>
      <c r="C643" s="59">
        <f t="shared" si="39"/>
        <v>2007</v>
      </c>
      <c r="D643" s="61">
        <v>11.0848</v>
      </c>
      <c r="E643" s="61">
        <v>11.0265</v>
      </c>
      <c r="F643" s="61">
        <v>11.0169</v>
      </c>
      <c r="H643" s="62" t="s">
        <v>1587</v>
      </c>
      <c r="I643" s="58">
        <f t="shared" si="41"/>
        <v>44079</v>
      </c>
      <c r="J643" s="60">
        <f t="shared" si="40"/>
        <v>2020</v>
      </c>
      <c r="K643" s="64">
        <v>21.611499999999999</v>
      </c>
      <c r="L643" s="64">
        <v>21.638300000000001</v>
      </c>
      <c r="M643" s="64">
        <v>21.839300000000001</v>
      </c>
    </row>
    <row r="644" spans="1:13">
      <c r="A644" s="65" t="s">
        <v>1588</v>
      </c>
      <c r="B644" s="66">
        <f t="shared" si="38"/>
        <v>39331</v>
      </c>
      <c r="C644" s="67">
        <f t="shared" si="39"/>
        <v>2007</v>
      </c>
      <c r="D644" s="68">
        <v>11.065799999999999</v>
      </c>
      <c r="E644" s="68">
        <v>11.0848</v>
      </c>
      <c r="F644" s="68">
        <v>11.0265</v>
      </c>
      <c r="H644" s="69" t="s">
        <v>1589</v>
      </c>
      <c r="I644" s="66">
        <f t="shared" si="41"/>
        <v>44080</v>
      </c>
      <c r="J644" s="70">
        <f t="shared" si="40"/>
        <v>2020</v>
      </c>
      <c r="K644" s="72" t="s">
        <v>362</v>
      </c>
      <c r="L644" s="72" t="s">
        <v>362</v>
      </c>
      <c r="M644" s="71">
        <v>21.638300000000001</v>
      </c>
    </row>
    <row r="645" spans="1:13">
      <c r="A645" s="57" t="s">
        <v>1590</v>
      </c>
      <c r="B645" s="58">
        <f t="shared" si="38"/>
        <v>39332</v>
      </c>
      <c r="C645" s="59">
        <f t="shared" si="39"/>
        <v>2007</v>
      </c>
      <c r="D645" s="61">
        <v>11.1227</v>
      </c>
      <c r="E645" s="61">
        <v>11.065799999999999</v>
      </c>
      <c r="F645" s="61">
        <v>11.0848</v>
      </c>
      <c r="H645" s="62" t="s">
        <v>1591</v>
      </c>
      <c r="I645" s="58">
        <f t="shared" si="41"/>
        <v>44081</v>
      </c>
      <c r="J645" s="60">
        <f t="shared" si="40"/>
        <v>2020</v>
      </c>
      <c r="K645" s="63" t="s">
        <v>362</v>
      </c>
      <c r="L645" s="63" t="s">
        <v>362</v>
      </c>
      <c r="M645" s="64">
        <v>21.638300000000001</v>
      </c>
    </row>
    <row r="646" spans="1:13">
      <c r="A646" s="65" t="s">
        <v>1592</v>
      </c>
      <c r="B646" s="66">
        <f t="shared" si="38"/>
        <v>39333</v>
      </c>
      <c r="C646" s="67">
        <f t="shared" si="39"/>
        <v>2007</v>
      </c>
      <c r="D646" s="70" t="s">
        <v>362</v>
      </c>
      <c r="E646" s="70" t="s">
        <v>362</v>
      </c>
      <c r="F646" s="68">
        <v>11.065799999999999</v>
      </c>
      <c r="H646" s="69" t="s">
        <v>1593</v>
      </c>
      <c r="I646" s="66">
        <f t="shared" si="41"/>
        <v>44082</v>
      </c>
      <c r="J646" s="70">
        <f t="shared" si="40"/>
        <v>2020</v>
      </c>
      <c r="K646" s="71">
        <v>21.588699999999999</v>
      </c>
      <c r="L646" s="71">
        <v>21.611499999999999</v>
      </c>
      <c r="M646" s="71">
        <v>21.638300000000001</v>
      </c>
    </row>
    <row r="647" spans="1:13">
      <c r="A647" s="57" t="s">
        <v>1594</v>
      </c>
      <c r="B647" s="58">
        <f t="shared" si="38"/>
        <v>39334</v>
      </c>
      <c r="C647" s="59">
        <f t="shared" si="39"/>
        <v>2007</v>
      </c>
      <c r="D647" s="60" t="s">
        <v>362</v>
      </c>
      <c r="E647" s="60" t="s">
        <v>362</v>
      </c>
      <c r="F647" s="61">
        <v>11.065799999999999</v>
      </c>
      <c r="H647" s="62" t="s">
        <v>1595</v>
      </c>
      <c r="I647" s="58">
        <f t="shared" si="41"/>
        <v>44083</v>
      </c>
      <c r="J647" s="60">
        <f t="shared" si="40"/>
        <v>2020</v>
      </c>
      <c r="K647" s="64">
        <v>21.713799999999999</v>
      </c>
      <c r="L647" s="64">
        <v>21.588699999999999</v>
      </c>
      <c r="M647" s="64">
        <v>21.611499999999999</v>
      </c>
    </row>
    <row r="648" spans="1:13">
      <c r="A648" s="65" t="s">
        <v>1596</v>
      </c>
      <c r="B648" s="66">
        <f t="shared" si="38"/>
        <v>39335</v>
      </c>
      <c r="C648" s="67">
        <f t="shared" si="39"/>
        <v>2007</v>
      </c>
      <c r="D648" s="68">
        <v>11.140700000000001</v>
      </c>
      <c r="E648" s="68">
        <v>11.1227</v>
      </c>
      <c r="F648" s="68">
        <v>11.065799999999999</v>
      </c>
      <c r="H648" s="69" t="s">
        <v>1597</v>
      </c>
      <c r="I648" s="66">
        <f t="shared" si="41"/>
        <v>44084</v>
      </c>
      <c r="J648" s="70">
        <f t="shared" si="40"/>
        <v>2020</v>
      </c>
      <c r="K648" s="71">
        <v>21.537700000000001</v>
      </c>
      <c r="L648" s="71">
        <v>21.713799999999999</v>
      </c>
      <c r="M648" s="71">
        <v>21.588699999999999</v>
      </c>
    </row>
    <row r="649" spans="1:13">
      <c r="A649" s="57" t="s">
        <v>1598</v>
      </c>
      <c r="B649" s="58">
        <f t="shared" si="38"/>
        <v>39336</v>
      </c>
      <c r="C649" s="59">
        <f t="shared" si="39"/>
        <v>2007</v>
      </c>
      <c r="D649" s="61">
        <v>11.105700000000001</v>
      </c>
      <c r="E649" s="61">
        <v>11.140700000000001</v>
      </c>
      <c r="F649" s="61">
        <v>11.1227</v>
      </c>
      <c r="H649" s="62" t="s">
        <v>1599</v>
      </c>
      <c r="I649" s="58">
        <f t="shared" si="41"/>
        <v>44085</v>
      </c>
      <c r="J649" s="60">
        <f t="shared" si="40"/>
        <v>2020</v>
      </c>
      <c r="K649" s="64">
        <v>21.2773</v>
      </c>
      <c r="L649" s="64">
        <v>21.537700000000001</v>
      </c>
      <c r="M649" s="64">
        <v>21.713799999999999</v>
      </c>
    </row>
    <row r="650" spans="1:13">
      <c r="A650" s="65" t="s">
        <v>1600</v>
      </c>
      <c r="B650" s="66">
        <f t="shared" si="38"/>
        <v>39337</v>
      </c>
      <c r="C650" s="67">
        <f t="shared" si="39"/>
        <v>2007</v>
      </c>
      <c r="D650" s="68">
        <v>11.071999999999999</v>
      </c>
      <c r="E650" s="68">
        <v>11.105700000000001</v>
      </c>
      <c r="F650" s="68">
        <v>11.140700000000001</v>
      </c>
      <c r="H650" s="69" t="s">
        <v>1601</v>
      </c>
      <c r="I650" s="66">
        <f t="shared" si="41"/>
        <v>44086</v>
      </c>
      <c r="J650" s="70">
        <f t="shared" si="40"/>
        <v>2020</v>
      </c>
      <c r="K650" s="71">
        <v>21.321000000000002</v>
      </c>
      <c r="L650" s="71">
        <v>21.2773</v>
      </c>
      <c r="M650" s="71">
        <v>21.537700000000001</v>
      </c>
    </row>
    <row r="651" spans="1:13">
      <c r="A651" s="57" t="s">
        <v>1602</v>
      </c>
      <c r="B651" s="58">
        <f t="shared" si="38"/>
        <v>39338</v>
      </c>
      <c r="C651" s="59">
        <f t="shared" si="39"/>
        <v>2007</v>
      </c>
      <c r="D651" s="61">
        <v>11.074299999999999</v>
      </c>
      <c r="E651" s="61">
        <v>11.071999999999999</v>
      </c>
      <c r="F651" s="61">
        <v>11.105700000000001</v>
      </c>
      <c r="H651" s="62" t="s">
        <v>1603</v>
      </c>
      <c r="I651" s="58">
        <f t="shared" si="41"/>
        <v>44087</v>
      </c>
      <c r="J651" s="60">
        <f t="shared" si="40"/>
        <v>2020</v>
      </c>
      <c r="K651" s="63" t="s">
        <v>362</v>
      </c>
      <c r="L651" s="63" t="s">
        <v>362</v>
      </c>
      <c r="M651" s="64">
        <v>21.2773</v>
      </c>
    </row>
    <row r="652" spans="1:13">
      <c r="A652" s="65" t="s">
        <v>1604</v>
      </c>
      <c r="B652" s="66">
        <f t="shared" si="38"/>
        <v>39339</v>
      </c>
      <c r="C652" s="67">
        <f t="shared" si="39"/>
        <v>2007</v>
      </c>
      <c r="D652" s="68">
        <v>11.111000000000001</v>
      </c>
      <c r="E652" s="68">
        <v>11.074299999999999</v>
      </c>
      <c r="F652" s="68">
        <v>11.071999999999999</v>
      </c>
      <c r="H652" s="69" t="s">
        <v>1605</v>
      </c>
      <c r="I652" s="66">
        <f t="shared" si="41"/>
        <v>44088</v>
      </c>
      <c r="J652" s="70">
        <f t="shared" si="40"/>
        <v>2020</v>
      </c>
      <c r="K652" s="72" t="s">
        <v>362</v>
      </c>
      <c r="L652" s="72" t="s">
        <v>362</v>
      </c>
      <c r="M652" s="71">
        <v>21.2773</v>
      </c>
    </row>
    <row r="653" spans="1:13">
      <c r="A653" s="57" t="s">
        <v>1606</v>
      </c>
      <c r="B653" s="58">
        <f t="shared" si="38"/>
        <v>39340</v>
      </c>
      <c r="C653" s="59">
        <f t="shared" si="39"/>
        <v>2007</v>
      </c>
      <c r="D653" s="60" t="s">
        <v>362</v>
      </c>
      <c r="E653" s="60" t="s">
        <v>362</v>
      </c>
      <c r="F653" s="61">
        <v>11.074299999999999</v>
      </c>
      <c r="H653" s="62" t="s">
        <v>1607</v>
      </c>
      <c r="I653" s="58">
        <f t="shared" si="41"/>
        <v>44089</v>
      </c>
      <c r="J653" s="60">
        <f t="shared" si="40"/>
        <v>2020</v>
      </c>
      <c r="K653" s="64">
        <v>21.072800000000001</v>
      </c>
      <c r="L653" s="64">
        <v>21.321000000000002</v>
      </c>
      <c r="M653" s="64">
        <v>21.2773</v>
      </c>
    </row>
    <row r="654" spans="1:13">
      <c r="A654" s="65" t="s">
        <v>1608</v>
      </c>
      <c r="B654" s="66">
        <f t="shared" si="38"/>
        <v>39341</v>
      </c>
      <c r="C654" s="67">
        <f t="shared" si="39"/>
        <v>2007</v>
      </c>
      <c r="D654" s="70" t="s">
        <v>362</v>
      </c>
      <c r="E654" s="70" t="s">
        <v>362</v>
      </c>
      <c r="F654" s="68">
        <v>11.074299999999999</v>
      </c>
      <c r="H654" s="69" t="s">
        <v>1609</v>
      </c>
      <c r="I654" s="66">
        <f t="shared" si="41"/>
        <v>44090</v>
      </c>
      <c r="J654" s="70">
        <f t="shared" si="40"/>
        <v>2020</v>
      </c>
      <c r="K654" s="71">
        <v>21.069199999999999</v>
      </c>
      <c r="L654" s="71">
        <v>21.072800000000001</v>
      </c>
      <c r="M654" s="71">
        <v>21.321000000000002</v>
      </c>
    </row>
    <row r="655" spans="1:13">
      <c r="A655" s="57" t="s">
        <v>1610</v>
      </c>
      <c r="B655" s="58">
        <f t="shared" si="38"/>
        <v>39342</v>
      </c>
      <c r="C655" s="59">
        <f t="shared" si="39"/>
        <v>2007</v>
      </c>
      <c r="D655" s="61">
        <v>11.1471</v>
      </c>
      <c r="E655" s="61">
        <v>11.111000000000001</v>
      </c>
      <c r="F655" s="61">
        <v>11.074299999999999</v>
      </c>
      <c r="H655" s="62" t="s">
        <v>1611</v>
      </c>
      <c r="I655" s="58">
        <f t="shared" si="41"/>
        <v>44091</v>
      </c>
      <c r="J655" s="60">
        <f t="shared" si="40"/>
        <v>2020</v>
      </c>
      <c r="K655" s="63" t="s">
        <v>362</v>
      </c>
      <c r="L655" s="63" t="s">
        <v>362</v>
      </c>
      <c r="M655" s="64">
        <v>21.072800000000001</v>
      </c>
    </row>
    <row r="656" spans="1:13">
      <c r="A656" s="65" t="s">
        <v>1612</v>
      </c>
      <c r="B656" s="66">
        <f t="shared" si="38"/>
        <v>39343</v>
      </c>
      <c r="C656" s="67">
        <f t="shared" si="39"/>
        <v>2007</v>
      </c>
      <c r="D656" s="68">
        <v>11.0959</v>
      </c>
      <c r="E656" s="68">
        <v>11.1471</v>
      </c>
      <c r="F656" s="68">
        <v>11.111000000000001</v>
      </c>
      <c r="H656" s="69" t="s">
        <v>1613</v>
      </c>
      <c r="I656" s="66">
        <f t="shared" si="41"/>
        <v>44092</v>
      </c>
      <c r="J656" s="70">
        <f t="shared" si="40"/>
        <v>2020</v>
      </c>
      <c r="K656" s="71">
        <v>20.984999999999999</v>
      </c>
      <c r="L656" s="71">
        <v>21.069199999999999</v>
      </c>
      <c r="M656" s="71">
        <v>21.072800000000001</v>
      </c>
    </row>
    <row r="657" spans="1:13">
      <c r="A657" s="57" t="s">
        <v>1614</v>
      </c>
      <c r="B657" s="58">
        <f t="shared" si="38"/>
        <v>39344</v>
      </c>
      <c r="C657" s="59">
        <f t="shared" si="39"/>
        <v>2007</v>
      </c>
      <c r="D657" s="61">
        <v>10.9871</v>
      </c>
      <c r="E657" s="61">
        <v>11.0959</v>
      </c>
      <c r="F657" s="61">
        <v>11.1471</v>
      </c>
      <c r="H657" s="62" t="s">
        <v>1615</v>
      </c>
      <c r="I657" s="58">
        <f t="shared" si="41"/>
        <v>44093</v>
      </c>
      <c r="J657" s="60">
        <f t="shared" si="40"/>
        <v>2020</v>
      </c>
      <c r="K657" s="64">
        <v>20.9697</v>
      </c>
      <c r="L657" s="64">
        <v>20.984999999999999</v>
      </c>
      <c r="M657" s="64">
        <v>21.069199999999999</v>
      </c>
    </row>
    <row r="658" spans="1:13">
      <c r="A658" s="65" t="s">
        <v>1616</v>
      </c>
      <c r="B658" s="66">
        <f t="shared" si="38"/>
        <v>39345</v>
      </c>
      <c r="C658" s="67">
        <f t="shared" si="39"/>
        <v>2007</v>
      </c>
      <c r="D658" s="68">
        <v>10.9687</v>
      </c>
      <c r="E658" s="68">
        <v>10.9871</v>
      </c>
      <c r="F658" s="68">
        <v>11.0959</v>
      </c>
      <c r="H658" s="69" t="s">
        <v>1617</v>
      </c>
      <c r="I658" s="66">
        <f t="shared" si="41"/>
        <v>44094</v>
      </c>
      <c r="J658" s="70">
        <f t="shared" si="40"/>
        <v>2020</v>
      </c>
      <c r="K658" s="72" t="s">
        <v>362</v>
      </c>
      <c r="L658" s="72" t="s">
        <v>362</v>
      </c>
      <c r="M658" s="71">
        <v>20.984999999999999</v>
      </c>
    </row>
    <row r="659" spans="1:13">
      <c r="A659" s="57" t="s">
        <v>1618</v>
      </c>
      <c r="B659" s="58">
        <f t="shared" si="38"/>
        <v>39346</v>
      </c>
      <c r="C659" s="59">
        <f t="shared" si="39"/>
        <v>2007</v>
      </c>
      <c r="D659" s="61">
        <v>10.951700000000001</v>
      </c>
      <c r="E659" s="61">
        <v>10.9687</v>
      </c>
      <c r="F659" s="61">
        <v>10.9871</v>
      </c>
      <c r="H659" s="62" t="s">
        <v>1619</v>
      </c>
      <c r="I659" s="58">
        <f t="shared" si="41"/>
        <v>44095</v>
      </c>
      <c r="J659" s="60">
        <f t="shared" si="40"/>
        <v>2020</v>
      </c>
      <c r="K659" s="63" t="s">
        <v>362</v>
      </c>
      <c r="L659" s="63" t="s">
        <v>362</v>
      </c>
      <c r="M659" s="64">
        <v>20.984999999999999</v>
      </c>
    </row>
    <row r="660" spans="1:13">
      <c r="A660" s="65" t="s">
        <v>1620</v>
      </c>
      <c r="B660" s="66">
        <f t="shared" si="38"/>
        <v>39347</v>
      </c>
      <c r="C660" s="67">
        <f t="shared" si="39"/>
        <v>2007</v>
      </c>
      <c r="D660" s="70" t="s">
        <v>362</v>
      </c>
      <c r="E660" s="70" t="s">
        <v>362</v>
      </c>
      <c r="F660" s="68">
        <v>10.9687</v>
      </c>
      <c r="H660" s="69" t="s">
        <v>1621</v>
      </c>
      <c r="I660" s="66">
        <f t="shared" si="41"/>
        <v>44096</v>
      </c>
      <c r="J660" s="70">
        <f t="shared" si="40"/>
        <v>2020</v>
      </c>
      <c r="K660" s="71">
        <v>21.504999999999999</v>
      </c>
      <c r="L660" s="71">
        <v>20.9697</v>
      </c>
      <c r="M660" s="71">
        <v>20.984999999999999</v>
      </c>
    </row>
    <row r="661" spans="1:13">
      <c r="A661" s="57" t="s">
        <v>1622</v>
      </c>
      <c r="B661" s="58">
        <f t="shared" si="38"/>
        <v>39348</v>
      </c>
      <c r="C661" s="59">
        <f t="shared" si="39"/>
        <v>2007</v>
      </c>
      <c r="D661" s="60" t="s">
        <v>362</v>
      </c>
      <c r="E661" s="60" t="s">
        <v>362</v>
      </c>
      <c r="F661" s="61">
        <v>10.9687</v>
      </c>
      <c r="H661" s="62" t="s">
        <v>1623</v>
      </c>
      <c r="I661" s="58">
        <f t="shared" si="41"/>
        <v>44097</v>
      </c>
      <c r="J661" s="60">
        <f t="shared" si="40"/>
        <v>2020</v>
      </c>
      <c r="K661" s="64">
        <v>21.568200000000001</v>
      </c>
      <c r="L661" s="64">
        <v>21.504999999999999</v>
      </c>
      <c r="M661" s="64">
        <v>20.9697</v>
      </c>
    </row>
    <row r="662" spans="1:13">
      <c r="A662" s="65" t="s">
        <v>1624</v>
      </c>
      <c r="B662" s="66">
        <f t="shared" si="38"/>
        <v>39349</v>
      </c>
      <c r="C662" s="67">
        <f t="shared" si="39"/>
        <v>2007</v>
      </c>
      <c r="D662" s="68">
        <v>10.9391</v>
      </c>
      <c r="E662" s="68">
        <v>10.951700000000001</v>
      </c>
      <c r="F662" s="68">
        <v>10.9687</v>
      </c>
      <c r="H662" s="69" t="s">
        <v>1625</v>
      </c>
      <c r="I662" s="66">
        <f t="shared" si="41"/>
        <v>44098</v>
      </c>
      <c r="J662" s="70">
        <f t="shared" si="40"/>
        <v>2020</v>
      </c>
      <c r="K662" s="71">
        <v>22.089700000000001</v>
      </c>
      <c r="L662" s="71">
        <v>21.568200000000001</v>
      </c>
      <c r="M662" s="71">
        <v>21.504999999999999</v>
      </c>
    </row>
    <row r="663" spans="1:13">
      <c r="A663" s="57" t="s">
        <v>1626</v>
      </c>
      <c r="B663" s="58">
        <f t="shared" si="38"/>
        <v>39350</v>
      </c>
      <c r="C663" s="59">
        <f t="shared" si="39"/>
        <v>2007</v>
      </c>
      <c r="D663" s="61">
        <v>10.9438</v>
      </c>
      <c r="E663" s="61">
        <v>10.9391</v>
      </c>
      <c r="F663" s="61">
        <v>10.951700000000001</v>
      </c>
      <c r="H663" s="62" t="s">
        <v>1627</v>
      </c>
      <c r="I663" s="58">
        <f t="shared" si="41"/>
        <v>44099</v>
      </c>
      <c r="J663" s="60">
        <f t="shared" si="40"/>
        <v>2020</v>
      </c>
      <c r="K663" s="64">
        <v>22.367799999999999</v>
      </c>
      <c r="L663" s="64">
        <v>22.089700000000001</v>
      </c>
      <c r="M663" s="64">
        <v>21.568200000000001</v>
      </c>
    </row>
    <row r="664" spans="1:13">
      <c r="A664" s="65" t="s">
        <v>1628</v>
      </c>
      <c r="B664" s="66">
        <f t="shared" si="38"/>
        <v>39351</v>
      </c>
      <c r="C664" s="67">
        <f t="shared" si="39"/>
        <v>2007</v>
      </c>
      <c r="D664" s="68">
        <v>10.924300000000001</v>
      </c>
      <c r="E664" s="68">
        <v>10.9438</v>
      </c>
      <c r="F664" s="68">
        <v>10.9391</v>
      </c>
      <c r="H664" s="69" t="s">
        <v>1629</v>
      </c>
      <c r="I664" s="66">
        <f t="shared" si="41"/>
        <v>44100</v>
      </c>
      <c r="J664" s="70">
        <f t="shared" si="40"/>
        <v>2020</v>
      </c>
      <c r="K664" s="71">
        <v>22.440200000000001</v>
      </c>
      <c r="L664" s="71">
        <v>22.367799999999999</v>
      </c>
      <c r="M664" s="71">
        <v>22.089700000000001</v>
      </c>
    </row>
    <row r="665" spans="1:13">
      <c r="A665" s="57" t="s">
        <v>1630</v>
      </c>
      <c r="B665" s="58">
        <f t="shared" si="38"/>
        <v>39352</v>
      </c>
      <c r="C665" s="59">
        <f t="shared" si="39"/>
        <v>2007</v>
      </c>
      <c r="D665" s="61">
        <v>10.920299999999999</v>
      </c>
      <c r="E665" s="61">
        <v>10.924300000000001</v>
      </c>
      <c r="F665" s="61">
        <v>10.9438</v>
      </c>
      <c r="H665" s="62" t="s">
        <v>1631</v>
      </c>
      <c r="I665" s="58">
        <f t="shared" si="41"/>
        <v>44101</v>
      </c>
      <c r="J665" s="60">
        <f t="shared" si="40"/>
        <v>2020</v>
      </c>
      <c r="K665" s="63" t="s">
        <v>362</v>
      </c>
      <c r="L665" s="63" t="s">
        <v>362</v>
      </c>
      <c r="M665" s="64">
        <v>22.367799999999999</v>
      </c>
    </row>
    <row r="666" spans="1:13">
      <c r="A666" s="65" t="s">
        <v>1632</v>
      </c>
      <c r="B666" s="66">
        <f t="shared" si="38"/>
        <v>39353</v>
      </c>
      <c r="C666" s="67">
        <f t="shared" si="39"/>
        <v>2007</v>
      </c>
      <c r="D666" s="68">
        <v>10.9315</v>
      </c>
      <c r="E666" s="68">
        <v>10.920299999999999</v>
      </c>
      <c r="F666" s="68">
        <v>10.924300000000001</v>
      </c>
      <c r="H666" s="69" t="s">
        <v>1633</v>
      </c>
      <c r="I666" s="66">
        <f t="shared" si="41"/>
        <v>44102</v>
      </c>
      <c r="J666" s="70">
        <f t="shared" si="40"/>
        <v>2020</v>
      </c>
      <c r="K666" s="72" t="s">
        <v>362</v>
      </c>
      <c r="L666" s="72" t="s">
        <v>362</v>
      </c>
      <c r="M666" s="71">
        <v>22.367799999999999</v>
      </c>
    </row>
    <row r="667" spans="1:13">
      <c r="A667" s="57" t="s">
        <v>1634</v>
      </c>
      <c r="B667" s="58">
        <f t="shared" si="38"/>
        <v>39354</v>
      </c>
      <c r="C667" s="59">
        <f t="shared" si="39"/>
        <v>2007</v>
      </c>
      <c r="D667" s="60" t="s">
        <v>362</v>
      </c>
      <c r="E667" s="60" t="s">
        <v>362</v>
      </c>
      <c r="F667" s="61">
        <v>10.920299999999999</v>
      </c>
      <c r="H667" s="62" t="s">
        <v>1635</v>
      </c>
      <c r="I667" s="58">
        <f t="shared" si="41"/>
        <v>44103</v>
      </c>
      <c r="J667" s="60">
        <f t="shared" si="40"/>
        <v>2020</v>
      </c>
      <c r="K667" s="64">
        <v>22.4573</v>
      </c>
      <c r="L667" s="64">
        <v>22.440200000000001</v>
      </c>
      <c r="M667" s="64">
        <v>22.367799999999999</v>
      </c>
    </row>
    <row r="668" spans="1:13">
      <c r="A668" s="65" t="s">
        <v>1636</v>
      </c>
      <c r="B668" s="66">
        <f t="shared" si="38"/>
        <v>39355</v>
      </c>
      <c r="C668" s="67">
        <f t="shared" si="39"/>
        <v>2007</v>
      </c>
      <c r="D668" s="70" t="s">
        <v>362</v>
      </c>
      <c r="E668" s="70" t="s">
        <v>362</v>
      </c>
      <c r="F668" s="68">
        <v>10.920299999999999</v>
      </c>
      <c r="H668" s="69" t="s">
        <v>1637</v>
      </c>
      <c r="I668" s="66">
        <f t="shared" si="41"/>
        <v>44104</v>
      </c>
      <c r="J668" s="70">
        <f t="shared" si="40"/>
        <v>2020</v>
      </c>
      <c r="K668" s="71">
        <v>22.3598</v>
      </c>
      <c r="L668" s="71">
        <v>22.4573</v>
      </c>
      <c r="M668" s="71">
        <v>22.440200000000001</v>
      </c>
    </row>
    <row r="669" spans="1:13">
      <c r="A669" s="57" t="s">
        <v>1638</v>
      </c>
      <c r="B669" s="58">
        <f t="shared" si="38"/>
        <v>39356</v>
      </c>
      <c r="C669" s="59">
        <f t="shared" si="39"/>
        <v>2007</v>
      </c>
      <c r="D669" s="61">
        <v>10.9224</v>
      </c>
      <c r="E669" s="61">
        <v>10.9315</v>
      </c>
      <c r="F669" s="61">
        <v>10.920299999999999</v>
      </c>
      <c r="H669" s="62" t="s">
        <v>1639</v>
      </c>
      <c r="I669" s="58">
        <f t="shared" si="41"/>
        <v>44105</v>
      </c>
      <c r="J669" s="60">
        <f t="shared" si="40"/>
        <v>2020</v>
      </c>
      <c r="K669" s="64">
        <v>22.143799999999999</v>
      </c>
      <c r="L669" s="64">
        <v>22.3598</v>
      </c>
      <c r="M669" s="64">
        <v>22.4573</v>
      </c>
    </row>
    <row r="670" spans="1:13">
      <c r="A670" s="65" t="s">
        <v>1640</v>
      </c>
      <c r="B670" s="66">
        <f t="shared" si="38"/>
        <v>39357</v>
      </c>
      <c r="C670" s="67">
        <f t="shared" si="39"/>
        <v>2007</v>
      </c>
      <c r="D670" s="68">
        <v>10.920999999999999</v>
      </c>
      <c r="E670" s="68">
        <v>10.9224</v>
      </c>
      <c r="F670" s="68">
        <v>10.9315</v>
      </c>
      <c r="H670" s="69" t="s">
        <v>1641</v>
      </c>
      <c r="I670" s="66">
        <f t="shared" si="41"/>
        <v>44106</v>
      </c>
      <c r="J670" s="70">
        <f t="shared" si="40"/>
        <v>2020</v>
      </c>
      <c r="K670" s="71">
        <v>21.956199999999999</v>
      </c>
      <c r="L670" s="71">
        <v>22.143799999999999</v>
      </c>
      <c r="M670" s="71">
        <v>22.3598</v>
      </c>
    </row>
    <row r="671" spans="1:13">
      <c r="A671" s="57" t="s">
        <v>1642</v>
      </c>
      <c r="B671" s="58">
        <f t="shared" ref="B671:B734" si="42">DATE(RIGHT(A671,4),LEFT(RIGHT(A671,7),2),LEFT(A671,2))</f>
        <v>39358</v>
      </c>
      <c r="C671" s="59">
        <f t="shared" ref="C671:C734" si="43">YEAR(B671)</f>
        <v>2007</v>
      </c>
      <c r="D671" s="61">
        <v>10.868499999999999</v>
      </c>
      <c r="E671" s="61">
        <v>10.920999999999999</v>
      </c>
      <c r="F671" s="61">
        <v>10.9224</v>
      </c>
      <c r="H671" s="62" t="s">
        <v>1643</v>
      </c>
      <c r="I671" s="58">
        <f t="shared" si="41"/>
        <v>44107</v>
      </c>
      <c r="J671" s="60">
        <f t="shared" ref="J671:J734" si="44">YEAR(I671)</f>
        <v>2020</v>
      </c>
      <c r="K671" s="64">
        <v>21.702500000000001</v>
      </c>
      <c r="L671" s="64">
        <v>21.956199999999999</v>
      </c>
      <c r="M671" s="64">
        <v>22.143799999999999</v>
      </c>
    </row>
    <row r="672" spans="1:13">
      <c r="A672" s="65" t="s">
        <v>1644</v>
      </c>
      <c r="B672" s="66">
        <f t="shared" si="42"/>
        <v>39359</v>
      </c>
      <c r="C672" s="67">
        <f t="shared" si="43"/>
        <v>2007</v>
      </c>
      <c r="D672" s="68">
        <v>10.8963</v>
      </c>
      <c r="E672" s="68">
        <v>10.868499999999999</v>
      </c>
      <c r="F672" s="68">
        <v>10.920999999999999</v>
      </c>
      <c r="H672" s="69" t="s">
        <v>1645</v>
      </c>
      <c r="I672" s="66">
        <f t="shared" ref="I672:I735" si="45">DATE(RIGHT(H672,4),LEFT(RIGHT(A672,7),2),LEFT(A672,2))</f>
        <v>44108</v>
      </c>
      <c r="J672" s="70">
        <f t="shared" si="44"/>
        <v>2020</v>
      </c>
      <c r="K672" s="72" t="s">
        <v>362</v>
      </c>
      <c r="L672" s="72" t="s">
        <v>362</v>
      </c>
      <c r="M672" s="71">
        <v>21.956199999999999</v>
      </c>
    </row>
    <row r="673" spans="1:13">
      <c r="A673" s="57" t="s">
        <v>1646</v>
      </c>
      <c r="B673" s="58">
        <f t="shared" si="42"/>
        <v>39360</v>
      </c>
      <c r="C673" s="59">
        <f t="shared" si="43"/>
        <v>2007</v>
      </c>
      <c r="D673" s="61">
        <v>10.855700000000001</v>
      </c>
      <c r="E673" s="61">
        <v>10.8963</v>
      </c>
      <c r="F673" s="61">
        <v>10.868499999999999</v>
      </c>
      <c r="H673" s="62" t="s">
        <v>1647</v>
      </c>
      <c r="I673" s="58">
        <f t="shared" si="45"/>
        <v>44109</v>
      </c>
      <c r="J673" s="60">
        <f t="shared" si="44"/>
        <v>2020</v>
      </c>
      <c r="K673" s="63" t="s">
        <v>362</v>
      </c>
      <c r="L673" s="63" t="s">
        <v>362</v>
      </c>
      <c r="M673" s="64">
        <v>21.956199999999999</v>
      </c>
    </row>
    <row r="674" spans="1:13">
      <c r="A674" s="65" t="s">
        <v>1648</v>
      </c>
      <c r="B674" s="66">
        <f t="shared" si="42"/>
        <v>39361</v>
      </c>
      <c r="C674" s="67">
        <f t="shared" si="43"/>
        <v>2007</v>
      </c>
      <c r="D674" s="70" t="s">
        <v>362</v>
      </c>
      <c r="E674" s="70" t="s">
        <v>362</v>
      </c>
      <c r="F674" s="68">
        <v>10.8963</v>
      </c>
      <c r="H674" s="69" t="s">
        <v>1649</v>
      </c>
      <c r="I674" s="66">
        <f t="shared" si="45"/>
        <v>44110</v>
      </c>
      <c r="J674" s="70">
        <f t="shared" si="44"/>
        <v>2020</v>
      </c>
      <c r="K674" s="71">
        <v>21.396000000000001</v>
      </c>
      <c r="L674" s="71">
        <v>21.702500000000001</v>
      </c>
      <c r="M674" s="71">
        <v>21.956199999999999</v>
      </c>
    </row>
    <row r="675" spans="1:13">
      <c r="A675" s="57" t="s">
        <v>1650</v>
      </c>
      <c r="B675" s="58">
        <f t="shared" si="42"/>
        <v>39362</v>
      </c>
      <c r="C675" s="59">
        <f t="shared" si="43"/>
        <v>2007</v>
      </c>
      <c r="D675" s="60" t="s">
        <v>362</v>
      </c>
      <c r="E675" s="60" t="s">
        <v>362</v>
      </c>
      <c r="F675" s="61">
        <v>10.8963</v>
      </c>
      <c r="H675" s="62" t="s">
        <v>1651</v>
      </c>
      <c r="I675" s="58">
        <f t="shared" si="45"/>
        <v>44111</v>
      </c>
      <c r="J675" s="60">
        <f t="shared" si="44"/>
        <v>2020</v>
      </c>
      <c r="K675" s="64">
        <v>21.450700000000001</v>
      </c>
      <c r="L675" s="64">
        <v>21.396000000000001</v>
      </c>
      <c r="M675" s="64">
        <v>21.702500000000001</v>
      </c>
    </row>
    <row r="676" spans="1:13">
      <c r="A676" s="65" t="s">
        <v>1652</v>
      </c>
      <c r="B676" s="66">
        <f t="shared" si="42"/>
        <v>39363</v>
      </c>
      <c r="C676" s="67">
        <f t="shared" si="43"/>
        <v>2007</v>
      </c>
      <c r="D676" s="68">
        <v>10.8589</v>
      </c>
      <c r="E676" s="68">
        <v>10.855700000000001</v>
      </c>
      <c r="F676" s="68">
        <v>10.8963</v>
      </c>
      <c r="H676" s="69" t="s">
        <v>1653</v>
      </c>
      <c r="I676" s="66">
        <f t="shared" si="45"/>
        <v>44112</v>
      </c>
      <c r="J676" s="70">
        <f t="shared" si="44"/>
        <v>2020</v>
      </c>
      <c r="K676" s="71">
        <v>21.492999999999999</v>
      </c>
      <c r="L676" s="71">
        <v>21.450700000000001</v>
      </c>
      <c r="M676" s="71">
        <v>21.396000000000001</v>
      </c>
    </row>
    <row r="677" spans="1:13">
      <c r="A677" s="57" t="s">
        <v>1654</v>
      </c>
      <c r="B677" s="58">
        <f t="shared" si="42"/>
        <v>39364</v>
      </c>
      <c r="C677" s="59">
        <f t="shared" si="43"/>
        <v>2007</v>
      </c>
      <c r="D677" s="61">
        <v>10.837899999999999</v>
      </c>
      <c r="E677" s="61">
        <v>10.8589</v>
      </c>
      <c r="F677" s="61">
        <v>10.855700000000001</v>
      </c>
      <c r="H677" s="62" t="s">
        <v>1655</v>
      </c>
      <c r="I677" s="58">
        <f t="shared" si="45"/>
        <v>44113</v>
      </c>
      <c r="J677" s="60">
        <f t="shared" si="44"/>
        <v>2020</v>
      </c>
      <c r="K677" s="64">
        <v>21.431799999999999</v>
      </c>
      <c r="L677" s="64">
        <v>21.492999999999999</v>
      </c>
      <c r="M677" s="64">
        <v>21.450700000000001</v>
      </c>
    </row>
    <row r="678" spans="1:13">
      <c r="A678" s="65" t="s">
        <v>1656</v>
      </c>
      <c r="B678" s="66">
        <f t="shared" si="42"/>
        <v>39365</v>
      </c>
      <c r="C678" s="67">
        <f t="shared" si="43"/>
        <v>2007</v>
      </c>
      <c r="D678" s="68">
        <v>10.8383</v>
      </c>
      <c r="E678" s="68">
        <v>10.837899999999999</v>
      </c>
      <c r="F678" s="68">
        <v>10.8589</v>
      </c>
      <c r="H678" s="69" t="s">
        <v>1657</v>
      </c>
      <c r="I678" s="66">
        <f t="shared" si="45"/>
        <v>44114</v>
      </c>
      <c r="J678" s="70">
        <f t="shared" si="44"/>
        <v>2020</v>
      </c>
      <c r="K678" s="71">
        <v>21.182200000000002</v>
      </c>
      <c r="L678" s="71">
        <v>21.431799999999999</v>
      </c>
      <c r="M678" s="71">
        <v>21.492999999999999</v>
      </c>
    </row>
    <row r="679" spans="1:13">
      <c r="A679" s="57" t="s">
        <v>1658</v>
      </c>
      <c r="B679" s="58">
        <f t="shared" si="42"/>
        <v>39366</v>
      </c>
      <c r="C679" s="59">
        <f t="shared" si="43"/>
        <v>2007</v>
      </c>
      <c r="D679" s="61">
        <v>10.8101</v>
      </c>
      <c r="E679" s="61">
        <v>10.8383</v>
      </c>
      <c r="F679" s="61">
        <v>10.837899999999999</v>
      </c>
      <c r="H679" s="62" t="s">
        <v>1659</v>
      </c>
      <c r="I679" s="58">
        <f t="shared" si="45"/>
        <v>44115</v>
      </c>
      <c r="J679" s="60">
        <f t="shared" si="44"/>
        <v>2020</v>
      </c>
      <c r="K679" s="63" t="s">
        <v>362</v>
      </c>
      <c r="L679" s="63" t="s">
        <v>362</v>
      </c>
      <c r="M679" s="64">
        <v>21.431799999999999</v>
      </c>
    </row>
    <row r="680" spans="1:13">
      <c r="A680" s="65" t="s">
        <v>1660</v>
      </c>
      <c r="B680" s="66">
        <f t="shared" si="42"/>
        <v>39367</v>
      </c>
      <c r="C680" s="67">
        <f t="shared" si="43"/>
        <v>2007</v>
      </c>
      <c r="D680" s="68">
        <v>10.825200000000001</v>
      </c>
      <c r="E680" s="68">
        <v>10.8101</v>
      </c>
      <c r="F680" s="68">
        <v>10.8383</v>
      </c>
      <c r="H680" s="69" t="s">
        <v>1661</v>
      </c>
      <c r="I680" s="66">
        <f t="shared" si="45"/>
        <v>44116</v>
      </c>
      <c r="J680" s="70">
        <f t="shared" si="44"/>
        <v>2020</v>
      </c>
      <c r="K680" s="72" t="s">
        <v>362</v>
      </c>
      <c r="L680" s="72" t="s">
        <v>362</v>
      </c>
      <c r="M680" s="71">
        <v>21.431799999999999</v>
      </c>
    </row>
    <row r="681" spans="1:13">
      <c r="A681" s="57" t="s">
        <v>1662</v>
      </c>
      <c r="B681" s="58">
        <f t="shared" si="42"/>
        <v>39368</v>
      </c>
      <c r="C681" s="59">
        <f t="shared" si="43"/>
        <v>2007</v>
      </c>
      <c r="D681" s="60" t="s">
        <v>362</v>
      </c>
      <c r="E681" s="60" t="s">
        <v>362</v>
      </c>
      <c r="F681" s="61">
        <v>10.8101</v>
      </c>
      <c r="H681" s="62" t="s">
        <v>1663</v>
      </c>
      <c r="I681" s="58">
        <f t="shared" si="45"/>
        <v>44117</v>
      </c>
      <c r="J681" s="60">
        <f t="shared" si="44"/>
        <v>2020</v>
      </c>
      <c r="K681" s="64">
        <v>21.218299999999999</v>
      </c>
      <c r="L681" s="64">
        <v>21.182200000000002</v>
      </c>
      <c r="M681" s="64">
        <v>21.431799999999999</v>
      </c>
    </row>
    <row r="682" spans="1:13">
      <c r="A682" s="65" t="s">
        <v>1664</v>
      </c>
      <c r="B682" s="66">
        <f t="shared" si="42"/>
        <v>39369</v>
      </c>
      <c r="C682" s="67">
        <f t="shared" si="43"/>
        <v>2007</v>
      </c>
      <c r="D682" s="70" t="s">
        <v>362</v>
      </c>
      <c r="E682" s="70" t="s">
        <v>362</v>
      </c>
      <c r="F682" s="68">
        <v>10.8101</v>
      </c>
      <c r="H682" s="69" t="s">
        <v>1665</v>
      </c>
      <c r="I682" s="66">
        <f t="shared" si="45"/>
        <v>44118</v>
      </c>
      <c r="J682" s="70">
        <f t="shared" si="44"/>
        <v>2020</v>
      </c>
      <c r="K682" s="71">
        <v>21.367699999999999</v>
      </c>
      <c r="L682" s="71">
        <v>21.218299999999999</v>
      </c>
      <c r="M682" s="71">
        <v>21.182200000000002</v>
      </c>
    </row>
    <row r="683" spans="1:13">
      <c r="A683" s="57" t="s">
        <v>1666</v>
      </c>
      <c r="B683" s="58">
        <f t="shared" si="42"/>
        <v>39370</v>
      </c>
      <c r="C683" s="59">
        <f t="shared" si="43"/>
        <v>2007</v>
      </c>
      <c r="D683" s="61">
        <v>10.8133</v>
      </c>
      <c r="E683" s="61">
        <v>10.825200000000001</v>
      </c>
      <c r="F683" s="61">
        <v>10.8101</v>
      </c>
      <c r="H683" s="62" t="s">
        <v>1667</v>
      </c>
      <c r="I683" s="58">
        <f t="shared" si="45"/>
        <v>44119</v>
      </c>
      <c r="J683" s="60">
        <f t="shared" si="44"/>
        <v>2020</v>
      </c>
      <c r="K683" s="64">
        <v>21.299800000000001</v>
      </c>
      <c r="L683" s="64">
        <v>21.367699999999999</v>
      </c>
      <c r="M683" s="64">
        <v>21.218299999999999</v>
      </c>
    </row>
    <row r="684" spans="1:13">
      <c r="A684" s="65" t="s">
        <v>1668</v>
      </c>
      <c r="B684" s="66">
        <f t="shared" si="42"/>
        <v>39371</v>
      </c>
      <c r="C684" s="67">
        <f t="shared" si="43"/>
        <v>2007</v>
      </c>
      <c r="D684" s="68">
        <v>10.841799999999999</v>
      </c>
      <c r="E684" s="68">
        <v>10.8133</v>
      </c>
      <c r="F684" s="68">
        <v>10.825200000000001</v>
      </c>
      <c r="H684" s="69" t="s">
        <v>1669</v>
      </c>
      <c r="I684" s="66">
        <f t="shared" si="45"/>
        <v>44120</v>
      </c>
      <c r="J684" s="70">
        <f t="shared" si="44"/>
        <v>2020</v>
      </c>
      <c r="K684" s="71">
        <v>21.383199999999999</v>
      </c>
      <c r="L684" s="71">
        <v>21.299800000000001</v>
      </c>
      <c r="M684" s="71">
        <v>21.367699999999999</v>
      </c>
    </row>
    <row r="685" spans="1:13">
      <c r="A685" s="57" t="s">
        <v>1670</v>
      </c>
      <c r="B685" s="58">
        <f t="shared" si="42"/>
        <v>39372</v>
      </c>
      <c r="C685" s="59">
        <f t="shared" si="43"/>
        <v>2007</v>
      </c>
      <c r="D685" s="61">
        <v>10.818099999999999</v>
      </c>
      <c r="E685" s="61">
        <v>10.841799999999999</v>
      </c>
      <c r="F685" s="61">
        <v>10.8133</v>
      </c>
      <c r="H685" s="62" t="s">
        <v>1671</v>
      </c>
      <c r="I685" s="58">
        <f t="shared" si="45"/>
        <v>44121</v>
      </c>
      <c r="J685" s="60">
        <f t="shared" si="44"/>
        <v>2020</v>
      </c>
      <c r="K685" s="64">
        <v>21.176500000000001</v>
      </c>
      <c r="L685" s="64">
        <v>21.383199999999999</v>
      </c>
      <c r="M685" s="64">
        <v>21.299800000000001</v>
      </c>
    </row>
    <row r="686" spans="1:13">
      <c r="A686" s="65" t="s">
        <v>1672</v>
      </c>
      <c r="B686" s="66">
        <f t="shared" si="42"/>
        <v>39373</v>
      </c>
      <c r="C686" s="67">
        <f t="shared" si="43"/>
        <v>2007</v>
      </c>
      <c r="D686" s="68">
        <v>10.8133</v>
      </c>
      <c r="E686" s="68">
        <v>10.818099999999999</v>
      </c>
      <c r="F686" s="68">
        <v>10.841799999999999</v>
      </c>
      <c r="H686" s="69" t="s">
        <v>1673</v>
      </c>
      <c r="I686" s="66">
        <f t="shared" si="45"/>
        <v>44122</v>
      </c>
      <c r="J686" s="70">
        <f t="shared" si="44"/>
        <v>2020</v>
      </c>
      <c r="K686" s="72" t="s">
        <v>362</v>
      </c>
      <c r="L686" s="72" t="s">
        <v>362</v>
      </c>
      <c r="M686" s="71">
        <v>21.383199999999999</v>
      </c>
    </row>
    <row r="687" spans="1:13">
      <c r="A687" s="57" t="s">
        <v>1674</v>
      </c>
      <c r="B687" s="58">
        <f t="shared" si="42"/>
        <v>39374</v>
      </c>
      <c r="C687" s="59">
        <f t="shared" si="43"/>
        <v>2007</v>
      </c>
      <c r="D687" s="61">
        <v>10.797599999999999</v>
      </c>
      <c r="E687" s="61">
        <v>10.8133</v>
      </c>
      <c r="F687" s="61">
        <v>10.818099999999999</v>
      </c>
      <c r="H687" s="62" t="s">
        <v>1675</v>
      </c>
      <c r="I687" s="58">
        <f t="shared" si="45"/>
        <v>44123</v>
      </c>
      <c r="J687" s="60">
        <f t="shared" si="44"/>
        <v>2020</v>
      </c>
      <c r="K687" s="63" t="s">
        <v>362</v>
      </c>
      <c r="L687" s="63" t="s">
        <v>362</v>
      </c>
      <c r="M687" s="64">
        <v>21.383199999999999</v>
      </c>
    </row>
    <row r="688" spans="1:13">
      <c r="A688" s="65" t="s">
        <v>1676</v>
      </c>
      <c r="B688" s="66">
        <f t="shared" si="42"/>
        <v>39375</v>
      </c>
      <c r="C688" s="67">
        <f t="shared" si="43"/>
        <v>2007</v>
      </c>
      <c r="D688" s="70" t="s">
        <v>362</v>
      </c>
      <c r="E688" s="70" t="s">
        <v>362</v>
      </c>
      <c r="F688" s="68">
        <v>10.8133</v>
      </c>
      <c r="H688" s="69" t="s">
        <v>1677</v>
      </c>
      <c r="I688" s="66">
        <f t="shared" si="45"/>
        <v>44124</v>
      </c>
      <c r="J688" s="70">
        <f t="shared" si="44"/>
        <v>2020</v>
      </c>
      <c r="K688" s="71">
        <v>21.1342</v>
      </c>
      <c r="L688" s="71">
        <v>21.176500000000001</v>
      </c>
      <c r="M688" s="71">
        <v>21.383199999999999</v>
      </c>
    </row>
    <row r="689" spans="1:13">
      <c r="A689" s="57" t="s">
        <v>1678</v>
      </c>
      <c r="B689" s="58">
        <f t="shared" si="42"/>
        <v>39376</v>
      </c>
      <c r="C689" s="59">
        <f t="shared" si="43"/>
        <v>2007</v>
      </c>
      <c r="D689" s="60" t="s">
        <v>362</v>
      </c>
      <c r="E689" s="60" t="s">
        <v>362</v>
      </c>
      <c r="F689" s="61">
        <v>10.8133</v>
      </c>
      <c r="H689" s="62" t="s">
        <v>1679</v>
      </c>
      <c r="I689" s="58">
        <f t="shared" si="45"/>
        <v>44125</v>
      </c>
      <c r="J689" s="60">
        <f t="shared" si="44"/>
        <v>2020</v>
      </c>
      <c r="K689" s="64">
        <v>21.090199999999999</v>
      </c>
      <c r="L689" s="64">
        <v>21.1342</v>
      </c>
      <c r="M689" s="64">
        <v>21.176500000000001</v>
      </c>
    </row>
    <row r="690" spans="1:13">
      <c r="A690" s="65" t="s">
        <v>1680</v>
      </c>
      <c r="B690" s="66">
        <f t="shared" si="42"/>
        <v>39377</v>
      </c>
      <c r="C690" s="67">
        <f t="shared" si="43"/>
        <v>2007</v>
      </c>
      <c r="D690" s="68">
        <v>10.840400000000001</v>
      </c>
      <c r="E690" s="68">
        <v>10.797599999999999</v>
      </c>
      <c r="F690" s="68">
        <v>10.8133</v>
      </c>
      <c r="H690" s="69" t="s">
        <v>1681</v>
      </c>
      <c r="I690" s="66">
        <f t="shared" si="45"/>
        <v>44126</v>
      </c>
      <c r="J690" s="70">
        <f t="shared" si="44"/>
        <v>2020</v>
      </c>
      <c r="K690" s="71">
        <v>21.064</v>
      </c>
      <c r="L690" s="71">
        <v>21.090199999999999</v>
      </c>
      <c r="M690" s="71">
        <v>21.1342</v>
      </c>
    </row>
    <row r="691" spans="1:13">
      <c r="A691" s="57" t="s">
        <v>1682</v>
      </c>
      <c r="B691" s="58">
        <f t="shared" si="42"/>
        <v>39378</v>
      </c>
      <c r="C691" s="59">
        <f t="shared" si="43"/>
        <v>2007</v>
      </c>
      <c r="D691" s="61">
        <v>10.824</v>
      </c>
      <c r="E691" s="61">
        <v>10.840400000000001</v>
      </c>
      <c r="F691" s="61">
        <v>10.797599999999999</v>
      </c>
      <c r="H691" s="62" t="s">
        <v>1683</v>
      </c>
      <c r="I691" s="58">
        <f t="shared" si="45"/>
        <v>44127</v>
      </c>
      <c r="J691" s="60">
        <f t="shared" si="44"/>
        <v>2020</v>
      </c>
      <c r="K691" s="64">
        <v>21.03</v>
      </c>
      <c r="L691" s="64">
        <v>21.064</v>
      </c>
      <c r="M691" s="64">
        <v>21.090199999999999</v>
      </c>
    </row>
    <row r="692" spans="1:13">
      <c r="A692" s="65" t="s">
        <v>1684</v>
      </c>
      <c r="B692" s="66">
        <f t="shared" si="42"/>
        <v>39379</v>
      </c>
      <c r="C692" s="67">
        <f t="shared" si="43"/>
        <v>2007</v>
      </c>
      <c r="D692" s="68">
        <v>10.8348</v>
      </c>
      <c r="E692" s="68">
        <v>10.824</v>
      </c>
      <c r="F692" s="68">
        <v>10.840400000000001</v>
      </c>
      <c r="H692" s="69" t="s">
        <v>1685</v>
      </c>
      <c r="I692" s="66">
        <f t="shared" si="45"/>
        <v>44128</v>
      </c>
      <c r="J692" s="70">
        <f t="shared" si="44"/>
        <v>2020</v>
      </c>
      <c r="K692" s="71">
        <v>20.920500000000001</v>
      </c>
      <c r="L692" s="71">
        <v>21.03</v>
      </c>
      <c r="M692" s="71">
        <v>21.064</v>
      </c>
    </row>
    <row r="693" spans="1:13">
      <c r="A693" s="57" t="s">
        <v>1686</v>
      </c>
      <c r="B693" s="58">
        <f t="shared" si="42"/>
        <v>39380</v>
      </c>
      <c r="C693" s="59">
        <f t="shared" si="43"/>
        <v>2007</v>
      </c>
      <c r="D693" s="61">
        <v>10.8291</v>
      </c>
      <c r="E693" s="61">
        <v>10.8348</v>
      </c>
      <c r="F693" s="61">
        <v>10.824</v>
      </c>
      <c r="H693" s="62" t="s">
        <v>1687</v>
      </c>
      <c r="I693" s="58">
        <f t="shared" si="45"/>
        <v>44129</v>
      </c>
      <c r="J693" s="60">
        <f t="shared" si="44"/>
        <v>2020</v>
      </c>
      <c r="K693" s="63" t="s">
        <v>362</v>
      </c>
      <c r="L693" s="63" t="s">
        <v>362</v>
      </c>
      <c r="M693" s="64">
        <v>21.03</v>
      </c>
    </row>
    <row r="694" spans="1:13">
      <c r="A694" s="65" t="s">
        <v>1688</v>
      </c>
      <c r="B694" s="66">
        <f t="shared" si="42"/>
        <v>39381</v>
      </c>
      <c r="C694" s="67">
        <f t="shared" si="43"/>
        <v>2007</v>
      </c>
      <c r="D694" s="68">
        <v>10.7523</v>
      </c>
      <c r="E694" s="68">
        <v>10.8291</v>
      </c>
      <c r="F694" s="68">
        <v>10.8348</v>
      </c>
      <c r="H694" s="69" t="s">
        <v>1689</v>
      </c>
      <c r="I694" s="66">
        <f t="shared" si="45"/>
        <v>44130</v>
      </c>
      <c r="J694" s="70">
        <f t="shared" si="44"/>
        <v>2020</v>
      </c>
      <c r="K694" s="72" t="s">
        <v>362</v>
      </c>
      <c r="L694" s="72" t="s">
        <v>362</v>
      </c>
      <c r="M694" s="71">
        <v>21.03</v>
      </c>
    </row>
    <row r="695" spans="1:13">
      <c r="A695" s="57" t="s">
        <v>1690</v>
      </c>
      <c r="B695" s="58">
        <f t="shared" si="42"/>
        <v>39382</v>
      </c>
      <c r="C695" s="59">
        <f t="shared" si="43"/>
        <v>2007</v>
      </c>
      <c r="D695" s="60" t="s">
        <v>362</v>
      </c>
      <c r="E695" s="60" t="s">
        <v>362</v>
      </c>
      <c r="F695" s="61">
        <v>10.8291</v>
      </c>
      <c r="H695" s="62" t="s">
        <v>1691</v>
      </c>
      <c r="I695" s="58">
        <f t="shared" si="45"/>
        <v>44131</v>
      </c>
      <c r="J695" s="60">
        <f t="shared" si="44"/>
        <v>2020</v>
      </c>
      <c r="K695" s="64">
        <v>20.9818</v>
      </c>
      <c r="L695" s="64">
        <v>20.920500000000001</v>
      </c>
      <c r="M695" s="64">
        <v>21.03</v>
      </c>
    </row>
    <row r="696" spans="1:13">
      <c r="A696" s="65" t="s">
        <v>1692</v>
      </c>
      <c r="B696" s="66">
        <f t="shared" si="42"/>
        <v>39383</v>
      </c>
      <c r="C696" s="67">
        <f t="shared" si="43"/>
        <v>2007</v>
      </c>
      <c r="D696" s="70" t="s">
        <v>362</v>
      </c>
      <c r="E696" s="70" t="s">
        <v>362</v>
      </c>
      <c r="F696" s="68">
        <v>10.8291</v>
      </c>
      <c r="H696" s="69" t="s">
        <v>1693</v>
      </c>
      <c r="I696" s="66">
        <f t="shared" si="45"/>
        <v>44132</v>
      </c>
      <c r="J696" s="70">
        <f t="shared" si="44"/>
        <v>2020</v>
      </c>
      <c r="K696" s="71">
        <v>20.879799999999999</v>
      </c>
      <c r="L696" s="71">
        <v>20.9818</v>
      </c>
      <c r="M696" s="71">
        <v>20.920500000000001</v>
      </c>
    </row>
    <row r="697" spans="1:13">
      <c r="A697" s="57" t="s">
        <v>1694</v>
      </c>
      <c r="B697" s="58">
        <f t="shared" si="42"/>
        <v>39384</v>
      </c>
      <c r="C697" s="59">
        <f t="shared" si="43"/>
        <v>2007</v>
      </c>
      <c r="D697" s="61">
        <v>10.7112</v>
      </c>
      <c r="E697" s="61">
        <v>10.7523</v>
      </c>
      <c r="F697" s="61">
        <v>10.8291</v>
      </c>
      <c r="H697" s="62" t="s">
        <v>1695</v>
      </c>
      <c r="I697" s="58">
        <f t="shared" si="45"/>
        <v>44133</v>
      </c>
      <c r="J697" s="60">
        <f t="shared" si="44"/>
        <v>2020</v>
      </c>
      <c r="K697" s="64">
        <v>21.1648</v>
      </c>
      <c r="L697" s="64">
        <v>20.879799999999999</v>
      </c>
      <c r="M697" s="64">
        <v>20.9818</v>
      </c>
    </row>
    <row r="698" spans="1:13">
      <c r="A698" s="65" t="s">
        <v>1696</v>
      </c>
      <c r="B698" s="66">
        <f t="shared" si="42"/>
        <v>39385</v>
      </c>
      <c r="C698" s="67">
        <f t="shared" si="43"/>
        <v>2007</v>
      </c>
      <c r="D698" s="68">
        <v>10.719799999999999</v>
      </c>
      <c r="E698" s="68">
        <v>10.7112</v>
      </c>
      <c r="F698" s="68">
        <v>10.7523</v>
      </c>
      <c r="H698" s="69" t="s">
        <v>1697</v>
      </c>
      <c r="I698" s="66">
        <f t="shared" si="45"/>
        <v>44134</v>
      </c>
      <c r="J698" s="70">
        <f t="shared" si="44"/>
        <v>2020</v>
      </c>
      <c r="K698" s="71">
        <v>21.376999999999999</v>
      </c>
      <c r="L698" s="71">
        <v>21.1648</v>
      </c>
      <c r="M698" s="71">
        <v>20.879799999999999</v>
      </c>
    </row>
    <row r="699" spans="1:13">
      <c r="A699" s="57" t="s">
        <v>1698</v>
      </c>
      <c r="B699" s="58">
        <f t="shared" si="42"/>
        <v>39386</v>
      </c>
      <c r="C699" s="59">
        <f t="shared" si="43"/>
        <v>2007</v>
      </c>
      <c r="D699" s="61">
        <v>10.702299999999999</v>
      </c>
      <c r="E699" s="61">
        <v>10.719799999999999</v>
      </c>
      <c r="F699" s="61">
        <v>10.7112</v>
      </c>
      <c r="H699" s="62" t="s">
        <v>1699</v>
      </c>
      <c r="I699" s="58">
        <f t="shared" si="45"/>
        <v>44135</v>
      </c>
      <c r="J699" s="60">
        <f t="shared" si="44"/>
        <v>2020</v>
      </c>
      <c r="K699" s="64">
        <v>21.250800000000002</v>
      </c>
      <c r="L699" s="64">
        <v>21.376999999999999</v>
      </c>
      <c r="M699" s="64">
        <v>21.1648</v>
      </c>
    </row>
    <row r="700" spans="1:13">
      <c r="A700" s="65" t="s">
        <v>1700</v>
      </c>
      <c r="B700" s="66">
        <f t="shared" si="42"/>
        <v>39387</v>
      </c>
      <c r="C700" s="67">
        <f t="shared" si="43"/>
        <v>2007</v>
      </c>
      <c r="D700" s="68">
        <v>10.6639</v>
      </c>
      <c r="E700" s="68">
        <v>10.702299999999999</v>
      </c>
      <c r="F700" s="68">
        <v>10.719799999999999</v>
      </c>
      <c r="H700" s="69" t="s">
        <v>1701</v>
      </c>
      <c r="I700" s="66">
        <f t="shared" si="45"/>
        <v>44136</v>
      </c>
      <c r="J700" s="70">
        <f t="shared" si="44"/>
        <v>2020</v>
      </c>
      <c r="K700" s="72" t="s">
        <v>362</v>
      </c>
      <c r="L700" s="72" t="s">
        <v>362</v>
      </c>
      <c r="M700" s="71">
        <v>21.376999999999999</v>
      </c>
    </row>
    <row r="701" spans="1:13">
      <c r="A701" s="57" t="s">
        <v>1702</v>
      </c>
      <c r="B701" s="58">
        <f t="shared" si="42"/>
        <v>39388</v>
      </c>
      <c r="C701" s="59">
        <f t="shared" si="43"/>
        <v>2007</v>
      </c>
      <c r="D701" s="60" t="s">
        <v>362</v>
      </c>
      <c r="E701" s="60" t="s">
        <v>362</v>
      </c>
      <c r="F701" s="61">
        <v>10.702299999999999</v>
      </c>
      <c r="H701" s="62" t="s">
        <v>1703</v>
      </c>
      <c r="I701" s="58">
        <f t="shared" si="45"/>
        <v>44137</v>
      </c>
      <c r="J701" s="60">
        <f t="shared" si="44"/>
        <v>2020</v>
      </c>
      <c r="K701" s="63" t="s">
        <v>362</v>
      </c>
      <c r="L701" s="63" t="s">
        <v>362</v>
      </c>
      <c r="M701" s="64">
        <v>21.376999999999999</v>
      </c>
    </row>
    <row r="702" spans="1:13">
      <c r="A702" s="65" t="s">
        <v>1704</v>
      </c>
      <c r="B702" s="66">
        <f t="shared" si="42"/>
        <v>39389</v>
      </c>
      <c r="C702" s="67">
        <f t="shared" si="43"/>
        <v>2007</v>
      </c>
      <c r="D702" s="70" t="s">
        <v>362</v>
      </c>
      <c r="E702" s="70" t="s">
        <v>362</v>
      </c>
      <c r="F702" s="68">
        <v>10.702299999999999</v>
      </c>
      <c r="H702" s="69" t="s">
        <v>1705</v>
      </c>
      <c r="I702" s="66">
        <f t="shared" si="45"/>
        <v>44138</v>
      </c>
      <c r="J702" s="70">
        <f t="shared" si="44"/>
        <v>2020</v>
      </c>
      <c r="K702" s="72" t="s">
        <v>362</v>
      </c>
      <c r="L702" s="72" t="s">
        <v>362</v>
      </c>
      <c r="M702" s="71">
        <v>21.376999999999999</v>
      </c>
    </row>
    <row r="703" spans="1:13">
      <c r="A703" s="57" t="s">
        <v>1706</v>
      </c>
      <c r="B703" s="58">
        <f t="shared" si="42"/>
        <v>39390</v>
      </c>
      <c r="C703" s="59">
        <f t="shared" si="43"/>
        <v>2007</v>
      </c>
      <c r="D703" s="60" t="s">
        <v>362</v>
      </c>
      <c r="E703" s="60" t="s">
        <v>362</v>
      </c>
      <c r="F703" s="61">
        <v>10.702299999999999</v>
      </c>
      <c r="H703" s="62" t="s">
        <v>1707</v>
      </c>
      <c r="I703" s="58">
        <f t="shared" si="45"/>
        <v>44139</v>
      </c>
      <c r="J703" s="60">
        <f t="shared" si="44"/>
        <v>2020</v>
      </c>
      <c r="K703" s="64">
        <v>21.1555</v>
      </c>
      <c r="L703" s="64">
        <v>21.250800000000002</v>
      </c>
      <c r="M703" s="64">
        <v>21.376999999999999</v>
      </c>
    </row>
    <row r="704" spans="1:13">
      <c r="A704" s="65" t="s">
        <v>1708</v>
      </c>
      <c r="B704" s="66">
        <f t="shared" si="42"/>
        <v>39391</v>
      </c>
      <c r="C704" s="67">
        <f t="shared" si="43"/>
        <v>2007</v>
      </c>
      <c r="D704" s="68">
        <v>10.7308</v>
      </c>
      <c r="E704" s="68">
        <v>10.6639</v>
      </c>
      <c r="F704" s="68">
        <v>10.702299999999999</v>
      </c>
      <c r="H704" s="69" t="s">
        <v>1709</v>
      </c>
      <c r="I704" s="66">
        <f t="shared" si="45"/>
        <v>44140</v>
      </c>
      <c r="J704" s="70">
        <f t="shared" si="44"/>
        <v>2020</v>
      </c>
      <c r="K704" s="71">
        <v>21.034500000000001</v>
      </c>
      <c r="L704" s="71">
        <v>21.1555</v>
      </c>
      <c r="M704" s="71">
        <v>21.250800000000002</v>
      </c>
    </row>
    <row r="705" spans="1:13">
      <c r="A705" s="57" t="s">
        <v>1710</v>
      </c>
      <c r="B705" s="58">
        <f t="shared" si="42"/>
        <v>39392</v>
      </c>
      <c r="C705" s="59">
        <f t="shared" si="43"/>
        <v>2007</v>
      </c>
      <c r="D705" s="61">
        <v>10.704599999999999</v>
      </c>
      <c r="E705" s="61">
        <v>10.7308</v>
      </c>
      <c r="F705" s="61">
        <v>10.6639</v>
      </c>
      <c r="H705" s="62" t="s">
        <v>1711</v>
      </c>
      <c r="I705" s="58">
        <f t="shared" si="45"/>
        <v>44141</v>
      </c>
      <c r="J705" s="60">
        <f t="shared" si="44"/>
        <v>2020</v>
      </c>
      <c r="K705" s="64">
        <v>20.761199999999999</v>
      </c>
      <c r="L705" s="64">
        <v>21.034500000000001</v>
      </c>
      <c r="M705" s="64">
        <v>21.1555</v>
      </c>
    </row>
    <row r="706" spans="1:13">
      <c r="A706" s="65" t="s">
        <v>1712</v>
      </c>
      <c r="B706" s="66">
        <f t="shared" si="42"/>
        <v>39393</v>
      </c>
      <c r="C706" s="67">
        <f t="shared" si="43"/>
        <v>2007</v>
      </c>
      <c r="D706" s="68">
        <v>10.743499999999999</v>
      </c>
      <c r="E706" s="68">
        <v>10.704599999999999</v>
      </c>
      <c r="F706" s="68">
        <v>10.7308</v>
      </c>
      <c r="H706" s="69" t="s">
        <v>1713</v>
      </c>
      <c r="I706" s="66">
        <f t="shared" si="45"/>
        <v>44142</v>
      </c>
      <c r="J706" s="70">
        <f t="shared" si="44"/>
        <v>2020</v>
      </c>
      <c r="K706" s="71">
        <v>20.62</v>
      </c>
      <c r="L706" s="71">
        <v>20.761199999999999</v>
      </c>
      <c r="M706" s="71">
        <v>21.034500000000001</v>
      </c>
    </row>
    <row r="707" spans="1:13">
      <c r="A707" s="57" t="s">
        <v>1714</v>
      </c>
      <c r="B707" s="58">
        <f t="shared" si="42"/>
        <v>39394</v>
      </c>
      <c r="C707" s="59">
        <f t="shared" si="43"/>
        <v>2007</v>
      </c>
      <c r="D707" s="61">
        <v>10.8108</v>
      </c>
      <c r="E707" s="61">
        <v>10.743499999999999</v>
      </c>
      <c r="F707" s="61">
        <v>10.704599999999999</v>
      </c>
      <c r="H707" s="62" t="s">
        <v>1715</v>
      </c>
      <c r="I707" s="58">
        <f t="shared" si="45"/>
        <v>44143</v>
      </c>
      <c r="J707" s="60">
        <f t="shared" si="44"/>
        <v>2020</v>
      </c>
      <c r="K707" s="63" t="s">
        <v>362</v>
      </c>
      <c r="L707" s="63" t="s">
        <v>362</v>
      </c>
      <c r="M707" s="64">
        <v>20.761199999999999</v>
      </c>
    </row>
    <row r="708" spans="1:13">
      <c r="A708" s="65" t="s">
        <v>1716</v>
      </c>
      <c r="B708" s="66">
        <f t="shared" si="42"/>
        <v>39395</v>
      </c>
      <c r="C708" s="67">
        <f t="shared" si="43"/>
        <v>2007</v>
      </c>
      <c r="D708" s="68">
        <v>10.880800000000001</v>
      </c>
      <c r="E708" s="68">
        <v>10.8108</v>
      </c>
      <c r="F708" s="68">
        <v>10.743499999999999</v>
      </c>
      <c r="H708" s="69" t="s">
        <v>1717</v>
      </c>
      <c r="I708" s="66">
        <f t="shared" si="45"/>
        <v>44144</v>
      </c>
      <c r="J708" s="70">
        <f t="shared" si="44"/>
        <v>2020</v>
      </c>
      <c r="K708" s="72" t="s">
        <v>362</v>
      </c>
      <c r="L708" s="72" t="s">
        <v>362</v>
      </c>
      <c r="M708" s="71">
        <v>20.761199999999999</v>
      </c>
    </row>
    <row r="709" spans="1:13">
      <c r="A709" s="57" t="s">
        <v>1718</v>
      </c>
      <c r="B709" s="58">
        <f t="shared" si="42"/>
        <v>39396</v>
      </c>
      <c r="C709" s="59">
        <f t="shared" si="43"/>
        <v>2007</v>
      </c>
      <c r="D709" s="60" t="s">
        <v>362</v>
      </c>
      <c r="E709" s="60" t="s">
        <v>362</v>
      </c>
      <c r="F709" s="61">
        <v>10.8108</v>
      </c>
      <c r="H709" s="62" t="s">
        <v>1719</v>
      </c>
      <c r="I709" s="58">
        <f t="shared" si="45"/>
        <v>44145</v>
      </c>
      <c r="J709" s="60">
        <f t="shared" si="44"/>
        <v>2020</v>
      </c>
      <c r="K709" s="64">
        <v>20.36</v>
      </c>
      <c r="L709" s="64">
        <v>20.62</v>
      </c>
      <c r="M709" s="64">
        <v>20.761199999999999</v>
      </c>
    </row>
    <row r="710" spans="1:13">
      <c r="A710" s="65" t="s">
        <v>1720</v>
      </c>
      <c r="B710" s="66">
        <f t="shared" si="42"/>
        <v>39397</v>
      </c>
      <c r="C710" s="67">
        <f t="shared" si="43"/>
        <v>2007</v>
      </c>
      <c r="D710" s="70" t="s">
        <v>362</v>
      </c>
      <c r="E710" s="70" t="s">
        <v>362</v>
      </c>
      <c r="F710" s="68">
        <v>10.8108</v>
      </c>
      <c r="H710" s="69" t="s">
        <v>1721</v>
      </c>
      <c r="I710" s="66">
        <f t="shared" si="45"/>
        <v>44146</v>
      </c>
      <c r="J710" s="70">
        <f t="shared" si="44"/>
        <v>2020</v>
      </c>
      <c r="K710" s="71">
        <v>20.401800000000001</v>
      </c>
      <c r="L710" s="71">
        <v>20.36</v>
      </c>
      <c r="M710" s="71">
        <v>20.62</v>
      </c>
    </row>
    <row r="711" spans="1:13">
      <c r="A711" s="57" t="s">
        <v>1722</v>
      </c>
      <c r="B711" s="58">
        <f t="shared" si="42"/>
        <v>39398</v>
      </c>
      <c r="C711" s="59">
        <f t="shared" si="43"/>
        <v>2007</v>
      </c>
      <c r="D711" s="61">
        <v>10.937799999999999</v>
      </c>
      <c r="E711" s="61">
        <v>10.880800000000001</v>
      </c>
      <c r="F711" s="61">
        <v>10.8108</v>
      </c>
      <c r="H711" s="62" t="s">
        <v>1723</v>
      </c>
      <c r="I711" s="58">
        <f t="shared" si="45"/>
        <v>44147</v>
      </c>
      <c r="J711" s="60">
        <f t="shared" si="44"/>
        <v>2020</v>
      </c>
      <c r="K711" s="64">
        <v>20.577200000000001</v>
      </c>
      <c r="L711" s="64">
        <v>20.401800000000001</v>
      </c>
      <c r="M711" s="64">
        <v>20.36</v>
      </c>
    </row>
    <row r="712" spans="1:13">
      <c r="A712" s="65" t="s">
        <v>1724</v>
      </c>
      <c r="B712" s="66">
        <f t="shared" si="42"/>
        <v>39399</v>
      </c>
      <c r="C712" s="67">
        <f t="shared" si="43"/>
        <v>2007</v>
      </c>
      <c r="D712" s="68">
        <v>10.8941</v>
      </c>
      <c r="E712" s="68">
        <v>10.937799999999999</v>
      </c>
      <c r="F712" s="68">
        <v>10.880800000000001</v>
      </c>
      <c r="H712" s="69" t="s">
        <v>1725</v>
      </c>
      <c r="I712" s="66">
        <f t="shared" si="45"/>
        <v>44148</v>
      </c>
      <c r="J712" s="70">
        <f t="shared" si="44"/>
        <v>2020</v>
      </c>
      <c r="K712" s="71">
        <v>20.5303</v>
      </c>
      <c r="L712" s="71">
        <v>20.577200000000001</v>
      </c>
      <c r="M712" s="71">
        <v>20.401800000000001</v>
      </c>
    </row>
    <row r="713" spans="1:13">
      <c r="A713" s="57" t="s">
        <v>1726</v>
      </c>
      <c r="B713" s="58">
        <f t="shared" si="42"/>
        <v>39400</v>
      </c>
      <c r="C713" s="59">
        <f t="shared" si="43"/>
        <v>2007</v>
      </c>
      <c r="D713" s="61">
        <v>10.868499999999999</v>
      </c>
      <c r="E713" s="61">
        <v>10.8941</v>
      </c>
      <c r="F713" s="61">
        <v>10.937799999999999</v>
      </c>
      <c r="H713" s="62" t="s">
        <v>1727</v>
      </c>
      <c r="I713" s="58">
        <f t="shared" si="45"/>
        <v>44149</v>
      </c>
      <c r="J713" s="60">
        <f t="shared" si="44"/>
        <v>2020</v>
      </c>
      <c r="K713" s="64">
        <v>20.4833</v>
      </c>
      <c r="L713" s="64">
        <v>20.5303</v>
      </c>
      <c r="M713" s="64">
        <v>20.577200000000001</v>
      </c>
    </row>
    <row r="714" spans="1:13">
      <c r="A714" s="65" t="s">
        <v>1728</v>
      </c>
      <c r="B714" s="66">
        <f t="shared" si="42"/>
        <v>39401</v>
      </c>
      <c r="C714" s="67">
        <f t="shared" si="43"/>
        <v>2007</v>
      </c>
      <c r="D714" s="68">
        <v>10.9145</v>
      </c>
      <c r="E714" s="68">
        <v>10.868499999999999</v>
      </c>
      <c r="F714" s="68">
        <v>10.8941</v>
      </c>
      <c r="H714" s="69" t="s">
        <v>1729</v>
      </c>
      <c r="I714" s="66">
        <f t="shared" si="45"/>
        <v>44150</v>
      </c>
      <c r="J714" s="70">
        <f t="shared" si="44"/>
        <v>2020</v>
      </c>
      <c r="K714" s="72" t="s">
        <v>362</v>
      </c>
      <c r="L714" s="72" t="s">
        <v>362</v>
      </c>
      <c r="M714" s="71">
        <v>20.5303</v>
      </c>
    </row>
    <row r="715" spans="1:13">
      <c r="A715" s="57" t="s">
        <v>1730</v>
      </c>
      <c r="B715" s="58">
        <f t="shared" si="42"/>
        <v>39402</v>
      </c>
      <c r="C715" s="59">
        <f t="shared" si="43"/>
        <v>2007</v>
      </c>
      <c r="D715" s="61">
        <v>10.9353</v>
      </c>
      <c r="E715" s="61">
        <v>10.9145</v>
      </c>
      <c r="F715" s="61">
        <v>10.868499999999999</v>
      </c>
      <c r="H715" s="62" t="s">
        <v>1731</v>
      </c>
      <c r="I715" s="58">
        <f t="shared" si="45"/>
        <v>44151</v>
      </c>
      <c r="J715" s="60">
        <f t="shared" si="44"/>
        <v>2020</v>
      </c>
      <c r="K715" s="63" t="s">
        <v>362</v>
      </c>
      <c r="L715" s="63" t="s">
        <v>362</v>
      </c>
      <c r="M715" s="64">
        <v>20.5303</v>
      </c>
    </row>
    <row r="716" spans="1:13">
      <c r="A716" s="65" t="s">
        <v>1732</v>
      </c>
      <c r="B716" s="66">
        <f t="shared" si="42"/>
        <v>39403</v>
      </c>
      <c r="C716" s="67">
        <f t="shared" si="43"/>
        <v>2007</v>
      </c>
      <c r="D716" s="70" t="s">
        <v>362</v>
      </c>
      <c r="E716" s="70" t="s">
        <v>362</v>
      </c>
      <c r="F716" s="68">
        <v>10.9145</v>
      </c>
      <c r="H716" s="69" t="s">
        <v>1733</v>
      </c>
      <c r="I716" s="66">
        <f t="shared" si="45"/>
        <v>44152</v>
      </c>
      <c r="J716" s="70">
        <f t="shared" si="44"/>
        <v>2020</v>
      </c>
      <c r="K716" s="72" t="s">
        <v>362</v>
      </c>
      <c r="L716" s="72" t="s">
        <v>362</v>
      </c>
      <c r="M716" s="71">
        <v>20.5303</v>
      </c>
    </row>
    <row r="717" spans="1:13">
      <c r="A717" s="57" t="s">
        <v>1734</v>
      </c>
      <c r="B717" s="58">
        <f t="shared" si="42"/>
        <v>39404</v>
      </c>
      <c r="C717" s="59">
        <f t="shared" si="43"/>
        <v>2007</v>
      </c>
      <c r="D717" s="60" t="s">
        <v>362</v>
      </c>
      <c r="E717" s="60" t="s">
        <v>362</v>
      </c>
      <c r="F717" s="61">
        <v>10.9145</v>
      </c>
      <c r="H717" s="62" t="s">
        <v>1735</v>
      </c>
      <c r="I717" s="58">
        <f t="shared" si="45"/>
        <v>44153</v>
      </c>
      <c r="J717" s="60">
        <f t="shared" si="44"/>
        <v>2020</v>
      </c>
      <c r="K717" s="64">
        <v>20.321200000000001</v>
      </c>
      <c r="L717" s="64">
        <v>20.4833</v>
      </c>
      <c r="M717" s="64">
        <v>20.5303</v>
      </c>
    </row>
    <row r="718" spans="1:13">
      <c r="A718" s="65" t="s">
        <v>1736</v>
      </c>
      <c r="B718" s="66">
        <f t="shared" si="42"/>
        <v>39405</v>
      </c>
      <c r="C718" s="67">
        <f t="shared" si="43"/>
        <v>2007</v>
      </c>
      <c r="D718" s="70" t="s">
        <v>362</v>
      </c>
      <c r="E718" s="70" t="s">
        <v>362</v>
      </c>
      <c r="F718" s="68">
        <v>10.9145</v>
      </c>
      <c r="H718" s="69" t="s">
        <v>1737</v>
      </c>
      <c r="I718" s="66">
        <f t="shared" si="45"/>
        <v>44154</v>
      </c>
      <c r="J718" s="70">
        <f t="shared" si="44"/>
        <v>2020</v>
      </c>
      <c r="K718" s="71">
        <v>20.238800000000001</v>
      </c>
      <c r="L718" s="71">
        <v>20.321200000000001</v>
      </c>
      <c r="M718" s="71">
        <v>20.4833</v>
      </c>
    </row>
    <row r="719" spans="1:13">
      <c r="A719" s="57" t="s">
        <v>1738</v>
      </c>
      <c r="B719" s="58">
        <f t="shared" si="42"/>
        <v>39406</v>
      </c>
      <c r="C719" s="59">
        <f t="shared" si="43"/>
        <v>2007</v>
      </c>
      <c r="D719" s="61">
        <v>10.9687</v>
      </c>
      <c r="E719" s="61">
        <v>10.9353</v>
      </c>
      <c r="F719" s="61">
        <v>10.9145</v>
      </c>
      <c r="H719" s="62" t="s">
        <v>1739</v>
      </c>
      <c r="I719" s="58">
        <f t="shared" si="45"/>
        <v>44155</v>
      </c>
      <c r="J719" s="60">
        <f t="shared" si="44"/>
        <v>2020</v>
      </c>
      <c r="K719" s="64">
        <v>20.1858</v>
      </c>
      <c r="L719" s="64">
        <v>20.238800000000001</v>
      </c>
      <c r="M719" s="64">
        <v>20.321200000000001</v>
      </c>
    </row>
    <row r="720" spans="1:13">
      <c r="A720" s="65" t="s">
        <v>1740</v>
      </c>
      <c r="B720" s="66">
        <f t="shared" si="42"/>
        <v>39407</v>
      </c>
      <c r="C720" s="67">
        <f t="shared" si="43"/>
        <v>2007</v>
      </c>
      <c r="D720" s="68">
        <v>11.0037</v>
      </c>
      <c r="E720" s="68">
        <v>10.9687</v>
      </c>
      <c r="F720" s="68">
        <v>10.9353</v>
      </c>
      <c r="H720" s="69" t="s">
        <v>1741</v>
      </c>
      <c r="I720" s="66">
        <f t="shared" si="45"/>
        <v>44156</v>
      </c>
      <c r="J720" s="70">
        <f t="shared" si="44"/>
        <v>2020</v>
      </c>
      <c r="K720" s="71">
        <v>20.1172</v>
      </c>
      <c r="L720" s="71">
        <v>20.1858</v>
      </c>
      <c r="M720" s="71">
        <v>20.238800000000001</v>
      </c>
    </row>
    <row r="721" spans="1:13">
      <c r="A721" s="57" t="s">
        <v>1742</v>
      </c>
      <c r="B721" s="58">
        <f t="shared" si="42"/>
        <v>39408</v>
      </c>
      <c r="C721" s="59">
        <f t="shared" si="43"/>
        <v>2007</v>
      </c>
      <c r="D721" s="61">
        <v>10.978999999999999</v>
      </c>
      <c r="E721" s="61">
        <v>11.0037</v>
      </c>
      <c r="F721" s="61">
        <v>10.9687</v>
      </c>
      <c r="H721" s="62" t="s">
        <v>1743</v>
      </c>
      <c r="I721" s="58">
        <f t="shared" si="45"/>
        <v>44157</v>
      </c>
      <c r="J721" s="60">
        <f t="shared" si="44"/>
        <v>2020</v>
      </c>
      <c r="K721" s="63" t="s">
        <v>362</v>
      </c>
      <c r="L721" s="63" t="s">
        <v>362</v>
      </c>
      <c r="M721" s="64">
        <v>20.1858</v>
      </c>
    </row>
    <row r="722" spans="1:13">
      <c r="A722" s="65" t="s">
        <v>1744</v>
      </c>
      <c r="B722" s="66">
        <f t="shared" si="42"/>
        <v>39409</v>
      </c>
      <c r="C722" s="67">
        <f t="shared" si="43"/>
        <v>2007</v>
      </c>
      <c r="D722" s="68">
        <v>10.9733</v>
      </c>
      <c r="E722" s="68">
        <v>10.978999999999999</v>
      </c>
      <c r="F722" s="68">
        <v>11.0037</v>
      </c>
      <c r="H722" s="69" t="s">
        <v>1745</v>
      </c>
      <c r="I722" s="66">
        <f t="shared" si="45"/>
        <v>44158</v>
      </c>
      <c r="J722" s="70">
        <f t="shared" si="44"/>
        <v>2020</v>
      </c>
      <c r="K722" s="72" t="s">
        <v>362</v>
      </c>
      <c r="L722" s="72" t="s">
        <v>362</v>
      </c>
      <c r="M722" s="71">
        <v>20.1858</v>
      </c>
    </row>
    <row r="723" spans="1:13">
      <c r="A723" s="57" t="s">
        <v>1746</v>
      </c>
      <c r="B723" s="58">
        <f t="shared" si="42"/>
        <v>39410</v>
      </c>
      <c r="C723" s="59">
        <f t="shared" si="43"/>
        <v>2007</v>
      </c>
      <c r="D723" s="60" t="s">
        <v>362</v>
      </c>
      <c r="E723" s="60" t="s">
        <v>362</v>
      </c>
      <c r="F723" s="61">
        <v>10.978999999999999</v>
      </c>
      <c r="H723" s="62" t="s">
        <v>1747</v>
      </c>
      <c r="I723" s="58">
        <f t="shared" si="45"/>
        <v>44159</v>
      </c>
      <c r="J723" s="60">
        <f t="shared" si="44"/>
        <v>2020</v>
      </c>
      <c r="K723" s="64">
        <v>20.101199999999999</v>
      </c>
      <c r="L723" s="64">
        <v>20.1172</v>
      </c>
      <c r="M723" s="64">
        <v>20.1858</v>
      </c>
    </row>
    <row r="724" spans="1:13">
      <c r="A724" s="65" t="s">
        <v>1748</v>
      </c>
      <c r="B724" s="66">
        <f t="shared" si="42"/>
        <v>39411</v>
      </c>
      <c r="C724" s="67">
        <f t="shared" si="43"/>
        <v>2007</v>
      </c>
      <c r="D724" s="70" t="s">
        <v>362</v>
      </c>
      <c r="E724" s="70" t="s">
        <v>362</v>
      </c>
      <c r="F724" s="68">
        <v>10.978999999999999</v>
      </c>
      <c r="H724" s="69" t="s">
        <v>1749</v>
      </c>
      <c r="I724" s="66">
        <f t="shared" si="45"/>
        <v>44160</v>
      </c>
      <c r="J724" s="70">
        <f t="shared" si="44"/>
        <v>2020</v>
      </c>
      <c r="K724" s="71">
        <v>20.057700000000001</v>
      </c>
      <c r="L724" s="71">
        <v>20.101199999999999</v>
      </c>
      <c r="M724" s="71">
        <v>20.1172</v>
      </c>
    </row>
    <row r="725" spans="1:13">
      <c r="A725" s="57" t="s">
        <v>1750</v>
      </c>
      <c r="B725" s="58">
        <f t="shared" si="42"/>
        <v>39412</v>
      </c>
      <c r="C725" s="59">
        <f t="shared" si="43"/>
        <v>2007</v>
      </c>
      <c r="D725" s="61">
        <v>10.981</v>
      </c>
      <c r="E725" s="61">
        <v>10.9733</v>
      </c>
      <c r="F725" s="61">
        <v>10.978999999999999</v>
      </c>
      <c r="H725" s="62" t="s">
        <v>1751</v>
      </c>
      <c r="I725" s="58">
        <f t="shared" si="45"/>
        <v>44161</v>
      </c>
      <c r="J725" s="60">
        <f t="shared" si="44"/>
        <v>2020</v>
      </c>
      <c r="K725" s="64">
        <v>20.046500000000002</v>
      </c>
      <c r="L725" s="64">
        <v>20.057700000000001</v>
      </c>
      <c r="M725" s="64">
        <v>20.101199999999999</v>
      </c>
    </row>
    <row r="726" spans="1:13">
      <c r="A726" s="65" t="s">
        <v>1752</v>
      </c>
      <c r="B726" s="66">
        <f t="shared" si="42"/>
        <v>39413</v>
      </c>
      <c r="C726" s="67">
        <f t="shared" si="43"/>
        <v>2007</v>
      </c>
      <c r="D726" s="68">
        <v>10.9695</v>
      </c>
      <c r="E726" s="68">
        <v>10.981</v>
      </c>
      <c r="F726" s="68">
        <v>10.9733</v>
      </c>
      <c r="H726" s="69" t="s">
        <v>1753</v>
      </c>
      <c r="I726" s="66">
        <f t="shared" si="45"/>
        <v>44162</v>
      </c>
      <c r="J726" s="70">
        <f t="shared" si="44"/>
        <v>2020</v>
      </c>
      <c r="K726" s="71">
        <v>20.046700000000001</v>
      </c>
      <c r="L726" s="71">
        <v>20.046500000000002</v>
      </c>
      <c r="M726" s="71">
        <v>20.057700000000001</v>
      </c>
    </row>
    <row r="727" spans="1:13">
      <c r="A727" s="57" t="s">
        <v>1754</v>
      </c>
      <c r="B727" s="58">
        <f t="shared" si="42"/>
        <v>39414</v>
      </c>
      <c r="C727" s="59">
        <f t="shared" si="43"/>
        <v>2007</v>
      </c>
      <c r="D727" s="61">
        <v>10.9345</v>
      </c>
      <c r="E727" s="61">
        <v>10.9695</v>
      </c>
      <c r="F727" s="61">
        <v>10.981</v>
      </c>
      <c r="H727" s="62" t="s">
        <v>1755</v>
      </c>
      <c r="I727" s="58">
        <f t="shared" si="45"/>
        <v>44163</v>
      </c>
      <c r="J727" s="60">
        <f t="shared" si="44"/>
        <v>2020</v>
      </c>
      <c r="K727" s="64">
        <v>20.0777</v>
      </c>
      <c r="L727" s="64">
        <v>20.046700000000001</v>
      </c>
      <c r="M727" s="64">
        <v>20.046500000000002</v>
      </c>
    </row>
    <row r="728" spans="1:13">
      <c r="A728" s="65" t="s">
        <v>1756</v>
      </c>
      <c r="B728" s="66">
        <f t="shared" si="42"/>
        <v>39415</v>
      </c>
      <c r="C728" s="67">
        <f t="shared" si="43"/>
        <v>2007</v>
      </c>
      <c r="D728" s="68">
        <v>10.941700000000001</v>
      </c>
      <c r="E728" s="68">
        <v>10.9345</v>
      </c>
      <c r="F728" s="68">
        <v>10.9695</v>
      </c>
      <c r="H728" s="69" t="s">
        <v>1757</v>
      </c>
      <c r="I728" s="66">
        <f t="shared" si="45"/>
        <v>44164</v>
      </c>
      <c r="J728" s="70">
        <f t="shared" si="44"/>
        <v>2020</v>
      </c>
      <c r="K728" s="72" t="s">
        <v>362</v>
      </c>
      <c r="L728" s="72" t="s">
        <v>362</v>
      </c>
      <c r="M728" s="71">
        <v>20.046700000000001</v>
      </c>
    </row>
    <row r="729" spans="1:13">
      <c r="A729" s="57" t="s">
        <v>1758</v>
      </c>
      <c r="B729" s="58">
        <f t="shared" si="42"/>
        <v>39416</v>
      </c>
      <c r="C729" s="59">
        <f t="shared" si="43"/>
        <v>2007</v>
      </c>
      <c r="D729" s="61">
        <v>10.896800000000001</v>
      </c>
      <c r="E729" s="61">
        <v>10.941700000000001</v>
      </c>
      <c r="F729" s="61">
        <v>10.9345</v>
      </c>
      <c r="H729" s="62" t="s">
        <v>1759</v>
      </c>
      <c r="I729" s="58">
        <f t="shared" si="45"/>
        <v>44165</v>
      </c>
      <c r="J729" s="60">
        <f t="shared" si="44"/>
        <v>2020</v>
      </c>
      <c r="K729" s="63" t="s">
        <v>362</v>
      </c>
      <c r="L729" s="63" t="s">
        <v>362</v>
      </c>
      <c r="M729" s="64">
        <v>20.046700000000001</v>
      </c>
    </row>
    <row r="730" spans="1:13">
      <c r="A730" s="65" t="s">
        <v>1760</v>
      </c>
      <c r="B730" s="66">
        <f t="shared" si="42"/>
        <v>39417</v>
      </c>
      <c r="C730" s="67">
        <f t="shared" si="43"/>
        <v>2007</v>
      </c>
      <c r="D730" s="70" t="s">
        <v>362</v>
      </c>
      <c r="E730" s="70" t="s">
        <v>362</v>
      </c>
      <c r="F730" s="68">
        <v>10.941700000000001</v>
      </c>
      <c r="H730" s="69" t="s">
        <v>1761</v>
      </c>
      <c r="I730" s="66">
        <f t="shared" si="45"/>
        <v>44166</v>
      </c>
      <c r="J730" s="70">
        <f t="shared" si="44"/>
        <v>2020</v>
      </c>
      <c r="K730" s="71">
        <v>20.139800000000001</v>
      </c>
      <c r="L730" s="71">
        <v>20.0777</v>
      </c>
      <c r="M730" s="71">
        <v>20.046700000000001</v>
      </c>
    </row>
    <row r="731" spans="1:13">
      <c r="A731" s="57" t="s">
        <v>1762</v>
      </c>
      <c r="B731" s="58">
        <f t="shared" si="42"/>
        <v>39418</v>
      </c>
      <c r="C731" s="59">
        <f t="shared" si="43"/>
        <v>2007</v>
      </c>
      <c r="D731" s="60" t="s">
        <v>362</v>
      </c>
      <c r="E731" s="60" t="s">
        <v>362</v>
      </c>
      <c r="F731" s="61">
        <v>10.941700000000001</v>
      </c>
      <c r="H731" s="62" t="s">
        <v>1763</v>
      </c>
      <c r="I731" s="58">
        <f t="shared" si="45"/>
        <v>44167</v>
      </c>
      <c r="J731" s="60">
        <f t="shared" si="44"/>
        <v>2020</v>
      </c>
      <c r="K731" s="64">
        <v>20.050799999999999</v>
      </c>
      <c r="L731" s="64">
        <v>20.139800000000001</v>
      </c>
      <c r="M731" s="64">
        <v>20.0777</v>
      </c>
    </row>
    <row r="732" spans="1:13">
      <c r="A732" s="65" t="s">
        <v>1764</v>
      </c>
      <c r="B732" s="66">
        <f t="shared" si="42"/>
        <v>39419</v>
      </c>
      <c r="C732" s="67">
        <f t="shared" si="43"/>
        <v>2007</v>
      </c>
      <c r="D732" s="68">
        <v>10.9124</v>
      </c>
      <c r="E732" s="68">
        <v>10.896800000000001</v>
      </c>
      <c r="F732" s="68">
        <v>10.941700000000001</v>
      </c>
      <c r="H732" s="69" t="s">
        <v>1765</v>
      </c>
      <c r="I732" s="66">
        <f t="shared" si="45"/>
        <v>44168</v>
      </c>
      <c r="J732" s="70">
        <f t="shared" si="44"/>
        <v>2020</v>
      </c>
      <c r="K732" s="71">
        <v>20.049700000000001</v>
      </c>
      <c r="L732" s="71">
        <v>20.050799999999999</v>
      </c>
      <c r="M732" s="71">
        <v>20.139800000000001</v>
      </c>
    </row>
    <row r="733" spans="1:13">
      <c r="A733" s="57" t="s">
        <v>1766</v>
      </c>
      <c r="B733" s="58">
        <f t="shared" si="42"/>
        <v>39420</v>
      </c>
      <c r="C733" s="59">
        <f t="shared" si="43"/>
        <v>2007</v>
      </c>
      <c r="D733" s="61">
        <v>10.905900000000001</v>
      </c>
      <c r="E733" s="61">
        <v>10.9124</v>
      </c>
      <c r="F733" s="61">
        <v>10.896800000000001</v>
      </c>
      <c r="H733" s="62" t="s">
        <v>1767</v>
      </c>
      <c r="I733" s="58">
        <f t="shared" si="45"/>
        <v>44169</v>
      </c>
      <c r="J733" s="60">
        <f t="shared" si="44"/>
        <v>2020</v>
      </c>
      <c r="K733" s="64">
        <v>19.908300000000001</v>
      </c>
      <c r="L733" s="64">
        <v>20.049700000000001</v>
      </c>
      <c r="M733" s="64">
        <v>20.050799999999999</v>
      </c>
    </row>
    <row r="734" spans="1:13">
      <c r="A734" s="65" t="s">
        <v>1768</v>
      </c>
      <c r="B734" s="66">
        <f t="shared" si="42"/>
        <v>39421</v>
      </c>
      <c r="C734" s="67">
        <f t="shared" si="43"/>
        <v>2007</v>
      </c>
      <c r="D734" s="68">
        <v>10.8592</v>
      </c>
      <c r="E734" s="68">
        <v>10.905900000000001</v>
      </c>
      <c r="F734" s="68">
        <v>10.9124</v>
      </c>
      <c r="H734" s="69" t="s">
        <v>1769</v>
      </c>
      <c r="I734" s="66">
        <f t="shared" si="45"/>
        <v>44170</v>
      </c>
      <c r="J734" s="70">
        <f t="shared" si="44"/>
        <v>2020</v>
      </c>
      <c r="K734" s="71">
        <v>19.783799999999999</v>
      </c>
      <c r="L734" s="71">
        <v>19.908300000000001</v>
      </c>
      <c r="M734" s="71">
        <v>20.049700000000001</v>
      </c>
    </row>
    <row r="735" spans="1:13">
      <c r="A735" s="57" t="s">
        <v>1770</v>
      </c>
      <c r="B735" s="58">
        <f t="shared" ref="B735:B798" si="46">DATE(RIGHT(A735,4),LEFT(RIGHT(A735,7),2),LEFT(A735,2))</f>
        <v>39422</v>
      </c>
      <c r="C735" s="59">
        <f t="shared" ref="C735:C798" si="47">YEAR(B735)</f>
        <v>2007</v>
      </c>
      <c r="D735" s="61">
        <v>10.8367</v>
      </c>
      <c r="E735" s="61">
        <v>10.8592</v>
      </c>
      <c r="F735" s="61">
        <v>10.905900000000001</v>
      </c>
      <c r="H735" s="62" t="s">
        <v>1771</v>
      </c>
      <c r="I735" s="58">
        <f t="shared" si="45"/>
        <v>44171</v>
      </c>
      <c r="J735" s="60">
        <f t="shared" ref="J735:J798" si="48">YEAR(I735)</f>
        <v>2020</v>
      </c>
      <c r="K735" s="63" t="s">
        <v>362</v>
      </c>
      <c r="L735" s="63" t="s">
        <v>362</v>
      </c>
      <c r="M735" s="64">
        <v>19.908300000000001</v>
      </c>
    </row>
    <row r="736" spans="1:13">
      <c r="A736" s="65" t="s">
        <v>1772</v>
      </c>
      <c r="B736" s="66">
        <f t="shared" si="46"/>
        <v>39423</v>
      </c>
      <c r="C736" s="67">
        <f t="shared" si="47"/>
        <v>2007</v>
      </c>
      <c r="D736" s="68">
        <v>10.812799999999999</v>
      </c>
      <c r="E736" s="68">
        <v>10.8367</v>
      </c>
      <c r="F736" s="68">
        <v>10.8592</v>
      </c>
      <c r="H736" s="69" t="s">
        <v>1773</v>
      </c>
      <c r="I736" s="66">
        <f t="shared" ref="I736:I799" si="49">DATE(RIGHT(H736,4),LEFT(RIGHT(A736,7),2),LEFT(A736,2))</f>
        <v>44172</v>
      </c>
      <c r="J736" s="70">
        <f t="shared" si="48"/>
        <v>2020</v>
      </c>
      <c r="K736" s="72" t="s">
        <v>362</v>
      </c>
      <c r="L736" s="72" t="s">
        <v>362</v>
      </c>
      <c r="M736" s="71">
        <v>19.908300000000001</v>
      </c>
    </row>
    <row r="737" spans="1:13">
      <c r="A737" s="57" t="s">
        <v>1774</v>
      </c>
      <c r="B737" s="58">
        <f t="shared" si="46"/>
        <v>39424</v>
      </c>
      <c r="C737" s="59">
        <f t="shared" si="47"/>
        <v>2007</v>
      </c>
      <c r="D737" s="60" t="s">
        <v>362</v>
      </c>
      <c r="E737" s="60" t="s">
        <v>362</v>
      </c>
      <c r="F737" s="61">
        <v>10.8367</v>
      </c>
      <c r="H737" s="62" t="s">
        <v>1775</v>
      </c>
      <c r="I737" s="58">
        <f t="shared" si="49"/>
        <v>44173</v>
      </c>
      <c r="J737" s="60">
        <f t="shared" si="48"/>
        <v>2020</v>
      </c>
      <c r="K737" s="64">
        <v>19.821300000000001</v>
      </c>
      <c r="L737" s="64">
        <v>19.783799999999999</v>
      </c>
      <c r="M737" s="64">
        <v>19.908300000000001</v>
      </c>
    </row>
    <row r="738" spans="1:13">
      <c r="A738" s="65" t="s">
        <v>1776</v>
      </c>
      <c r="B738" s="66">
        <f t="shared" si="46"/>
        <v>39425</v>
      </c>
      <c r="C738" s="67">
        <f t="shared" si="47"/>
        <v>2007</v>
      </c>
      <c r="D738" s="70" t="s">
        <v>362</v>
      </c>
      <c r="E738" s="70" t="s">
        <v>362</v>
      </c>
      <c r="F738" s="68">
        <v>10.8367</v>
      </c>
      <c r="H738" s="69" t="s">
        <v>1777</v>
      </c>
      <c r="I738" s="66">
        <f t="shared" si="49"/>
        <v>44174</v>
      </c>
      <c r="J738" s="70">
        <f t="shared" si="48"/>
        <v>2020</v>
      </c>
      <c r="K738" s="71">
        <v>19.753699999999998</v>
      </c>
      <c r="L738" s="71">
        <v>19.821300000000001</v>
      </c>
      <c r="M738" s="71">
        <v>19.783799999999999</v>
      </c>
    </row>
    <row r="739" spans="1:13">
      <c r="A739" s="57" t="s">
        <v>1778</v>
      </c>
      <c r="B739" s="58">
        <f t="shared" si="46"/>
        <v>39426</v>
      </c>
      <c r="C739" s="59">
        <f t="shared" si="47"/>
        <v>2007</v>
      </c>
      <c r="D739" s="61">
        <v>10.8185</v>
      </c>
      <c r="E739" s="61">
        <v>10.812799999999999</v>
      </c>
      <c r="F739" s="61">
        <v>10.8367</v>
      </c>
      <c r="H739" s="62" t="s">
        <v>1779</v>
      </c>
      <c r="I739" s="58">
        <f t="shared" si="49"/>
        <v>44175</v>
      </c>
      <c r="J739" s="60">
        <f t="shared" si="48"/>
        <v>2020</v>
      </c>
      <c r="K739" s="64">
        <v>19.8368</v>
      </c>
      <c r="L739" s="64">
        <v>19.753699999999998</v>
      </c>
      <c r="M739" s="64">
        <v>19.821300000000001</v>
      </c>
    </row>
    <row r="740" spans="1:13">
      <c r="A740" s="65" t="s">
        <v>1780</v>
      </c>
      <c r="B740" s="66">
        <f t="shared" si="46"/>
        <v>39427</v>
      </c>
      <c r="C740" s="67">
        <f t="shared" si="47"/>
        <v>2007</v>
      </c>
      <c r="D740" s="68">
        <v>10.8025</v>
      </c>
      <c r="E740" s="68">
        <v>10.8185</v>
      </c>
      <c r="F740" s="68">
        <v>10.812799999999999</v>
      </c>
      <c r="H740" s="69" t="s">
        <v>1781</v>
      </c>
      <c r="I740" s="66">
        <f t="shared" si="49"/>
        <v>44176</v>
      </c>
      <c r="J740" s="70">
        <f t="shared" si="48"/>
        <v>2020</v>
      </c>
      <c r="K740" s="71">
        <v>19.9572</v>
      </c>
      <c r="L740" s="71">
        <v>19.8368</v>
      </c>
      <c r="M740" s="71">
        <v>19.753699999999998</v>
      </c>
    </row>
    <row r="741" spans="1:13">
      <c r="A741" s="57" t="s">
        <v>1782</v>
      </c>
      <c r="B741" s="58">
        <f t="shared" si="46"/>
        <v>39428</v>
      </c>
      <c r="C741" s="59">
        <f t="shared" si="47"/>
        <v>2007</v>
      </c>
      <c r="D741" s="60" t="s">
        <v>362</v>
      </c>
      <c r="E741" s="60" t="s">
        <v>362</v>
      </c>
      <c r="F741" s="61">
        <v>10.8185</v>
      </c>
      <c r="H741" s="62" t="s">
        <v>1783</v>
      </c>
      <c r="I741" s="58">
        <f t="shared" si="49"/>
        <v>44177</v>
      </c>
      <c r="J741" s="60">
        <f t="shared" si="48"/>
        <v>2020</v>
      </c>
      <c r="K741" s="64">
        <v>20.107500000000002</v>
      </c>
      <c r="L741" s="64">
        <v>19.9572</v>
      </c>
      <c r="M741" s="64">
        <v>19.8368</v>
      </c>
    </row>
    <row r="742" spans="1:13">
      <c r="A742" s="65" t="s">
        <v>1784</v>
      </c>
      <c r="B742" s="66">
        <f t="shared" si="46"/>
        <v>39429</v>
      </c>
      <c r="C742" s="67">
        <f t="shared" si="47"/>
        <v>2007</v>
      </c>
      <c r="D742" s="68">
        <v>10.8376</v>
      </c>
      <c r="E742" s="68">
        <v>10.8025</v>
      </c>
      <c r="F742" s="68">
        <v>10.8185</v>
      </c>
      <c r="H742" s="69" t="s">
        <v>1785</v>
      </c>
      <c r="I742" s="66">
        <f t="shared" si="49"/>
        <v>44178</v>
      </c>
      <c r="J742" s="70">
        <f t="shared" si="48"/>
        <v>2020</v>
      </c>
      <c r="K742" s="72" t="s">
        <v>362</v>
      </c>
      <c r="L742" s="72" t="s">
        <v>362</v>
      </c>
      <c r="M742" s="71">
        <v>19.9572</v>
      </c>
    </row>
    <row r="743" spans="1:13">
      <c r="A743" s="57" t="s">
        <v>1786</v>
      </c>
      <c r="B743" s="58">
        <f t="shared" si="46"/>
        <v>39430</v>
      </c>
      <c r="C743" s="59">
        <f t="shared" si="47"/>
        <v>2007</v>
      </c>
      <c r="D743" s="61">
        <v>10.8249</v>
      </c>
      <c r="E743" s="61">
        <v>10.8376</v>
      </c>
      <c r="F743" s="61">
        <v>10.8025</v>
      </c>
      <c r="H743" s="62" t="s">
        <v>1787</v>
      </c>
      <c r="I743" s="58">
        <f t="shared" si="49"/>
        <v>44179</v>
      </c>
      <c r="J743" s="60">
        <f t="shared" si="48"/>
        <v>2020</v>
      </c>
      <c r="K743" s="63" t="s">
        <v>362</v>
      </c>
      <c r="L743" s="63" t="s">
        <v>362</v>
      </c>
      <c r="M743" s="64">
        <v>19.9572</v>
      </c>
    </row>
    <row r="744" spans="1:13">
      <c r="A744" s="65" t="s">
        <v>1788</v>
      </c>
      <c r="B744" s="66">
        <f t="shared" si="46"/>
        <v>39431</v>
      </c>
      <c r="C744" s="67">
        <f t="shared" si="47"/>
        <v>2007</v>
      </c>
      <c r="D744" s="70" t="s">
        <v>362</v>
      </c>
      <c r="E744" s="70" t="s">
        <v>362</v>
      </c>
      <c r="F744" s="68">
        <v>10.8376</v>
      </c>
      <c r="H744" s="69" t="s">
        <v>1789</v>
      </c>
      <c r="I744" s="66">
        <f t="shared" si="49"/>
        <v>44180</v>
      </c>
      <c r="J744" s="70">
        <f t="shared" si="48"/>
        <v>2020</v>
      </c>
      <c r="K744" s="71">
        <v>20.177800000000001</v>
      </c>
      <c r="L744" s="71">
        <v>20.107500000000002</v>
      </c>
      <c r="M744" s="71">
        <v>19.9572</v>
      </c>
    </row>
    <row r="745" spans="1:13">
      <c r="A745" s="57" t="s">
        <v>1790</v>
      </c>
      <c r="B745" s="58">
        <f t="shared" si="46"/>
        <v>39432</v>
      </c>
      <c r="C745" s="59">
        <f t="shared" si="47"/>
        <v>2007</v>
      </c>
      <c r="D745" s="60" t="s">
        <v>362</v>
      </c>
      <c r="E745" s="60" t="s">
        <v>362</v>
      </c>
      <c r="F745" s="61">
        <v>10.8376</v>
      </c>
      <c r="H745" s="62" t="s">
        <v>1791</v>
      </c>
      <c r="I745" s="58">
        <f t="shared" si="49"/>
        <v>44181</v>
      </c>
      <c r="J745" s="60">
        <f t="shared" si="48"/>
        <v>2020</v>
      </c>
      <c r="K745" s="64">
        <v>20.1113</v>
      </c>
      <c r="L745" s="64">
        <v>20.177800000000001</v>
      </c>
      <c r="M745" s="64">
        <v>20.107500000000002</v>
      </c>
    </row>
    <row r="746" spans="1:13">
      <c r="A746" s="65" t="s">
        <v>1792</v>
      </c>
      <c r="B746" s="66">
        <f t="shared" si="46"/>
        <v>39433</v>
      </c>
      <c r="C746" s="67">
        <f t="shared" si="47"/>
        <v>2007</v>
      </c>
      <c r="D746" s="68">
        <v>10.846</v>
      </c>
      <c r="E746" s="68">
        <v>10.8249</v>
      </c>
      <c r="F746" s="68">
        <v>10.8376</v>
      </c>
      <c r="H746" s="69" t="s">
        <v>1793</v>
      </c>
      <c r="I746" s="66">
        <f t="shared" si="49"/>
        <v>44182</v>
      </c>
      <c r="J746" s="70">
        <f t="shared" si="48"/>
        <v>2020</v>
      </c>
      <c r="K746" s="71">
        <v>19.9513</v>
      </c>
      <c r="L746" s="71">
        <v>20.1113</v>
      </c>
      <c r="M746" s="71">
        <v>20.177800000000001</v>
      </c>
    </row>
    <row r="747" spans="1:13">
      <c r="A747" s="57" t="s">
        <v>1794</v>
      </c>
      <c r="B747" s="58">
        <f t="shared" si="46"/>
        <v>39434</v>
      </c>
      <c r="C747" s="59">
        <f t="shared" si="47"/>
        <v>2007</v>
      </c>
      <c r="D747" s="61">
        <v>10.8553</v>
      </c>
      <c r="E747" s="61">
        <v>10.846</v>
      </c>
      <c r="F747" s="61">
        <v>10.8249</v>
      </c>
      <c r="H747" s="62" t="s">
        <v>1795</v>
      </c>
      <c r="I747" s="58">
        <f t="shared" si="49"/>
        <v>44183</v>
      </c>
      <c r="J747" s="60">
        <f t="shared" si="48"/>
        <v>2020</v>
      </c>
      <c r="K747" s="64">
        <v>19.817299999999999</v>
      </c>
      <c r="L747" s="64">
        <v>19.9513</v>
      </c>
      <c r="M747" s="64">
        <v>20.1113</v>
      </c>
    </row>
    <row r="748" spans="1:13">
      <c r="A748" s="65" t="s">
        <v>1796</v>
      </c>
      <c r="B748" s="66">
        <f t="shared" si="46"/>
        <v>39435</v>
      </c>
      <c r="C748" s="67">
        <f t="shared" si="47"/>
        <v>2007</v>
      </c>
      <c r="D748" s="68">
        <v>10.841200000000001</v>
      </c>
      <c r="E748" s="68">
        <v>10.8553</v>
      </c>
      <c r="F748" s="68">
        <v>10.846</v>
      </c>
      <c r="H748" s="69" t="s">
        <v>1797</v>
      </c>
      <c r="I748" s="66">
        <f t="shared" si="49"/>
        <v>44184</v>
      </c>
      <c r="J748" s="70">
        <f t="shared" si="48"/>
        <v>2020</v>
      </c>
      <c r="K748" s="71">
        <v>19.948699999999999</v>
      </c>
      <c r="L748" s="71">
        <v>19.817299999999999</v>
      </c>
      <c r="M748" s="71">
        <v>19.9513</v>
      </c>
    </row>
    <row r="749" spans="1:13">
      <c r="A749" s="57" t="s">
        <v>1798</v>
      </c>
      <c r="B749" s="58">
        <f t="shared" si="46"/>
        <v>39436</v>
      </c>
      <c r="C749" s="59">
        <f t="shared" si="47"/>
        <v>2007</v>
      </c>
      <c r="D749" s="61">
        <v>10.8363</v>
      </c>
      <c r="E749" s="61">
        <v>10.841200000000001</v>
      </c>
      <c r="F749" s="61">
        <v>10.8553</v>
      </c>
      <c r="H749" s="62" t="s">
        <v>1799</v>
      </c>
      <c r="I749" s="58">
        <f t="shared" si="49"/>
        <v>44185</v>
      </c>
      <c r="J749" s="60">
        <f t="shared" si="48"/>
        <v>2020</v>
      </c>
      <c r="K749" s="63" t="s">
        <v>362</v>
      </c>
      <c r="L749" s="63" t="s">
        <v>362</v>
      </c>
      <c r="M749" s="64">
        <v>19.817299999999999</v>
      </c>
    </row>
    <row r="750" spans="1:13">
      <c r="A750" s="65" t="s">
        <v>1800</v>
      </c>
      <c r="B750" s="66">
        <f t="shared" si="46"/>
        <v>39437</v>
      </c>
      <c r="C750" s="67">
        <f t="shared" si="47"/>
        <v>2007</v>
      </c>
      <c r="D750" s="68">
        <v>10.8203</v>
      </c>
      <c r="E750" s="68">
        <v>10.8363</v>
      </c>
      <c r="F750" s="68">
        <v>10.841200000000001</v>
      </c>
      <c r="H750" s="69" t="s">
        <v>1801</v>
      </c>
      <c r="I750" s="66">
        <f t="shared" si="49"/>
        <v>44186</v>
      </c>
      <c r="J750" s="70">
        <f t="shared" si="48"/>
        <v>2020</v>
      </c>
      <c r="K750" s="72" t="s">
        <v>362</v>
      </c>
      <c r="L750" s="72" t="s">
        <v>362</v>
      </c>
      <c r="M750" s="71">
        <v>19.817299999999999</v>
      </c>
    </row>
    <row r="751" spans="1:13">
      <c r="A751" s="57" t="s">
        <v>1802</v>
      </c>
      <c r="B751" s="58">
        <f t="shared" si="46"/>
        <v>39438</v>
      </c>
      <c r="C751" s="59">
        <f t="shared" si="47"/>
        <v>2007</v>
      </c>
      <c r="D751" s="60" t="s">
        <v>362</v>
      </c>
      <c r="E751" s="60" t="s">
        <v>362</v>
      </c>
      <c r="F751" s="61">
        <v>10.8363</v>
      </c>
      <c r="H751" s="62" t="s">
        <v>1803</v>
      </c>
      <c r="I751" s="58">
        <f t="shared" si="49"/>
        <v>44187</v>
      </c>
      <c r="J751" s="60">
        <f t="shared" si="48"/>
        <v>2020</v>
      </c>
      <c r="K751" s="64">
        <v>20.090499999999999</v>
      </c>
      <c r="L751" s="64">
        <v>19.948699999999999</v>
      </c>
      <c r="M751" s="64">
        <v>19.817299999999999</v>
      </c>
    </row>
    <row r="752" spans="1:13">
      <c r="A752" s="65" t="s">
        <v>1804</v>
      </c>
      <c r="B752" s="66">
        <f t="shared" si="46"/>
        <v>39439</v>
      </c>
      <c r="C752" s="67">
        <f t="shared" si="47"/>
        <v>2007</v>
      </c>
      <c r="D752" s="70" t="s">
        <v>362</v>
      </c>
      <c r="E752" s="70" t="s">
        <v>362</v>
      </c>
      <c r="F752" s="68">
        <v>10.8363</v>
      </c>
      <c r="H752" s="69" t="s">
        <v>1805</v>
      </c>
      <c r="I752" s="66">
        <f t="shared" si="49"/>
        <v>44188</v>
      </c>
      <c r="J752" s="70">
        <f t="shared" si="48"/>
        <v>2020</v>
      </c>
      <c r="K752" s="71">
        <v>20.0562</v>
      </c>
      <c r="L752" s="71">
        <v>20.090499999999999</v>
      </c>
      <c r="M752" s="71">
        <v>19.948699999999999</v>
      </c>
    </row>
    <row r="753" spans="1:13">
      <c r="A753" s="57" t="s">
        <v>1806</v>
      </c>
      <c r="B753" s="58">
        <f t="shared" si="46"/>
        <v>39440</v>
      </c>
      <c r="C753" s="59">
        <f t="shared" si="47"/>
        <v>2007</v>
      </c>
      <c r="D753" s="61">
        <v>10.8132</v>
      </c>
      <c r="E753" s="61">
        <v>10.8203</v>
      </c>
      <c r="F753" s="61">
        <v>10.8363</v>
      </c>
      <c r="H753" s="62" t="s">
        <v>1807</v>
      </c>
      <c r="I753" s="58">
        <f t="shared" si="49"/>
        <v>44189</v>
      </c>
      <c r="J753" s="60">
        <f t="shared" si="48"/>
        <v>2020</v>
      </c>
      <c r="K753" s="64">
        <v>20.1175</v>
      </c>
      <c r="L753" s="64">
        <v>20.0562</v>
      </c>
      <c r="M753" s="64">
        <v>20.090499999999999</v>
      </c>
    </row>
    <row r="754" spans="1:13">
      <c r="A754" s="65" t="s">
        <v>1808</v>
      </c>
      <c r="B754" s="66">
        <f t="shared" si="46"/>
        <v>39441</v>
      </c>
      <c r="C754" s="67">
        <f t="shared" si="47"/>
        <v>2007</v>
      </c>
      <c r="D754" s="70" t="s">
        <v>362</v>
      </c>
      <c r="E754" s="70" t="s">
        <v>362</v>
      </c>
      <c r="F754" s="68">
        <v>10.8203</v>
      </c>
      <c r="H754" s="69" t="s">
        <v>1809</v>
      </c>
      <c r="I754" s="66">
        <f t="shared" si="49"/>
        <v>44190</v>
      </c>
      <c r="J754" s="70">
        <f t="shared" si="48"/>
        <v>2020</v>
      </c>
      <c r="K754" s="71">
        <v>19.851700000000001</v>
      </c>
      <c r="L754" s="71">
        <v>20.1175</v>
      </c>
      <c r="M754" s="71">
        <v>20.0562</v>
      </c>
    </row>
    <row r="755" spans="1:13">
      <c r="A755" s="57" t="s">
        <v>1810</v>
      </c>
      <c r="B755" s="58">
        <f t="shared" si="46"/>
        <v>39442</v>
      </c>
      <c r="C755" s="59">
        <f t="shared" si="47"/>
        <v>2007</v>
      </c>
      <c r="D755" s="61">
        <v>10.810499999999999</v>
      </c>
      <c r="E755" s="61">
        <v>10.8132</v>
      </c>
      <c r="F755" s="61">
        <v>10.8203</v>
      </c>
      <c r="H755" s="62" t="s">
        <v>1811</v>
      </c>
      <c r="I755" s="58">
        <f t="shared" si="49"/>
        <v>44191</v>
      </c>
      <c r="J755" s="60">
        <f t="shared" si="48"/>
        <v>2020</v>
      </c>
      <c r="K755" s="63" t="s">
        <v>362</v>
      </c>
      <c r="L755" s="63" t="s">
        <v>362</v>
      </c>
      <c r="M755" s="64">
        <v>20.1175</v>
      </c>
    </row>
    <row r="756" spans="1:13">
      <c r="A756" s="65" t="s">
        <v>1812</v>
      </c>
      <c r="B756" s="66">
        <f t="shared" si="46"/>
        <v>39443</v>
      </c>
      <c r="C756" s="67">
        <f t="shared" si="47"/>
        <v>2007</v>
      </c>
      <c r="D756" s="68">
        <v>10.866199999999999</v>
      </c>
      <c r="E756" s="68">
        <v>10.810499999999999</v>
      </c>
      <c r="F756" s="68">
        <v>10.8132</v>
      </c>
      <c r="H756" s="69" t="s">
        <v>1813</v>
      </c>
      <c r="I756" s="66">
        <f t="shared" si="49"/>
        <v>44192</v>
      </c>
      <c r="J756" s="70">
        <f t="shared" si="48"/>
        <v>2020</v>
      </c>
      <c r="K756" s="72" t="s">
        <v>362</v>
      </c>
      <c r="L756" s="72" t="s">
        <v>362</v>
      </c>
      <c r="M756" s="71">
        <v>20.1175</v>
      </c>
    </row>
    <row r="757" spans="1:13">
      <c r="A757" s="57" t="s">
        <v>1814</v>
      </c>
      <c r="B757" s="58">
        <f t="shared" si="46"/>
        <v>39444</v>
      </c>
      <c r="C757" s="59">
        <f t="shared" si="47"/>
        <v>2007</v>
      </c>
      <c r="D757" s="61">
        <v>10.904299999999999</v>
      </c>
      <c r="E757" s="61">
        <v>10.866199999999999</v>
      </c>
      <c r="F757" s="61">
        <v>10.810499999999999</v>
      </c>
      <c r="H757" s="62" t="s">
        <v>1815</v>
      </c>
      <c r="I757" s="58">
        <f t="shared" si="49"/>
        <v>44193</v>
      </c>
      <c r="J757" s="60">
        <f t="shared" si="48"/>
        <v>2020</v>
      </c>
      <c r="K757" s="63" t="s">
        <v>362</v>
      </c>
      <c r="L757" s="63" t="s">
        <v>362</v>
      </c>
      <c r="M757" s="64">
        <v>20.1175</v>
      </c>
    </row>
    <row r="758" spans="1:13">
      <c r="A758" s="65" t="s">
        <v>1816</v>
      </c>
      <c r="B758" s="66">
        <f t="shared" si="46"/>
        <v>39445</v>
      </c>
      <c r="C758" s="67">
        <f t="shared" si="47"/>
        <v>2007</v>
      </c>
      <c r="D758" s="70" t="s">
        <v>362</v>
      </c>
      <c r="E758" s="70" t="s">
        <v>362</v>
      </c>
      <c r="F758" s="68">
        <v>10.866199999999999</v>
      </c>
      <c r="H758" s="69" t="s">
        <v>1817</v>
      </c>
      <c r="I758" s="66">
        <f t="shared" si="49"/>
        <v>44194</v>
      </c>
      <c r="J758" s="70">
        <f t="shared" si="48"/>
        <v>2020</v>
      </c>
      <c r="K758" s="71">
        <v>20.047699999999999</v>
      </c>
      <c r="L758" s="71">
        <v>19.851700000000001</v>
      </c>
      <c r="M758" s="71">
        <v>20.1175</v>
      </c>
    </row>
    <row r="759" spans="1:13">
      <c r="A759" s="57" t="s">
        <v>1818</v>
      </c>
      <c r="B759" s="58">
        <f t="shared" si="46"/>
        <v>39446</v>
      </c>
      <c r="C759" s="59">
        <f t="shared" si="47"/>
        <v>2007</v>
      </c>
      <c r="D759" s="60" t="s">
        <v>362</v>
      </c>
      <c r="E759" s="60" t="s">
        <v>362</v>
      </c>
      <c r="F759" s="61">
        <v>10.866199999999999</v>
      </c>
      <c r="H759" s="62" t="s">
        <v>1819</v>
      </c>
      <c r="I759" s="58">
        <f t="shared" si="49"/>
        <v>44195</v>
      </c>
      <c r="J759" s="60">
        <f t="shared" si="48"/>
        <v>2020</v>
      </c>
      <c r="K759" s="64">
        <v>19.948699999999999</v>
      </c>
      <c r="L759" s="64">
        <v>20.047699999999999</v>
      </c>
      <c r="M759" s="64">
        <v>19.851700000000001</v>
      </c>
    </row>
    <row r="760" spans="1:13">
      <c r="A760" s="65" t="s">
        <v>1820</v>
      </c>
      <c r="B760" s="66">
        <f t="shared" si="46"/>
        <v>39447</v>
      </c>
      <c r="C760" s="67">
        <f t="shared" si="47"/>
        <v>2007</v>
      </c>
      <c r="D760" s="68">
        <v>10.915699999999999</v>
      </c>
      <c r="E760" s="68">
        <v>10.904299999999999</v>
      </c>
      <c r="F760" s="68">
        <v>10.866199999999999</v>
      </c>
      <c r="H760" s="69" t="s">
        <v>1821</v>
      </c>
      <c r="I760" s="66">
        <f t="shared" si="49"/>
        <v>44196</v>
      </c>
      <c r="J760" s="70">
        <f t="shared" si="48"/>
        <v>2020</v>
      </c>
      <c r="K760" s="71">
        <v>19.935199999999998</v>
      </c>
      <c r="L760" s="71">
        <v>19.948699999999999</v>
      </c>
      <c r="M760" s="71">
        <v>20.047699999999999</v>
      </c>
    </row>
    <row r="761" spans="1:13">
      <c r="A761" s="57" t="s">
        <v>1822</v>
      </c>
      <c r="B761" s="58">
        <f t="shared" si="46"/>
        <v>39448</v>
      </c>
      <c r="C761" s="59">
        <f t="shared" si="47"/>
        <v>2008</v>
      </c>
      <c r="D761" s="60" t="s">
        <v>362</v>
      </c>
      <c r="E761" s="60" t="s">
        <v>362</v>
      </c>
      <c r="F761" s="61">
        <v>10.904299999999999</v>
      </c>
      <c r="H761" s="62" t="s">
        <v>1823</v>
      </c>
      <c r="I761" s="58">
        <f t="shared" si="49"/>
        <v>43831</v>
      </c>
      <c r="J761" s="60">
        <f t="shared" si="48"/>
        <v>2020</v>
      </c>
      <c r="K761" s="64">
        <v>19.9087</v>
      </c>
      <c r="L761" s="64">
        <v>19.935199999999998</v>
      </c>
      <c r="M761" s="64">
        <v>19.948699999999999</v>
      </c>
    </row>
    <row r="762" spans="1:13">
      <c r="A762" s="65" t="s">
        <v>1824</v>
      </c>
      <c r="B762" s="66">
        <f t="shared" si="46"/>
        <v>39449</v>
      </c>
      <c r="C762" s="67">
        <f t="shared" si="47"/>
        <v>2008</v>
      </c>
      <c r="D762" s="68">
        <v>10.8972</v>
      </c>
      <c r="E762" s="68">
        <v>10.915699999999999</v>
      </c>
      <c r="F762" s="68">
        <v>10.904299999999999</v>
      </c>
      <c r="H762" s="69" t="s">
        <v>1825</v>
      </c>
      <c r="I762" s="66">
        <f t="shared" si="49"/>
        <v>44198</v>
      </c>
      <c r="J762" s="70">
        <f t="shared" si="48"/>
        <v>2021</v>
      </c>
      <c r="K762" s="72" t="s">
        <v>362</v>
      </c>
      <c r="L762" s="72" t="s">
        <v>362</v>
      </c>
      <c r="M762" s="71">
        <v>19.935199999999998</v>
      </c>
    </row>
    <row r="763" spans="1:13">
      <c r="A763" s="57" t="s">
        <v>1826</v>
      </c>
      <c r="B763" s="58">
        <f t="shared" si="46"/>
        <v>39450</v>
      </c>
      <c r="C763" s="59">
        <f t="shared" si="47"/>
        <v>2008</v>
      </c>
      <c r="D763" s="61">
        <v>10.8842</v>
      </c>
      <c r="E763" s="61">
        <v>10.8972</v>
      </c>
      <c r="F763" s="61">
        <v>10.915699999999999</v>
      </c>
      <c r="H763" s="62" t="s">
        <v>1827</v>
      </c>
      <c r="I763" s="58">
        <f t="shared" si="49"/>
        <v>44199</v>
      </c>
      <c r="J763" s="60">
        <f t="shared" si="48"/>
        <v>2021</v>
      </c>
      <c r="K763" s="63" t="s">
        <v>362</v>
      </c>
      <c r="L763" s="63" t="s">
        <v>362</v>
      </c>
      <c r="M763" s="64">
        <v>19.935199999999998</v>
      </c>
    </row>
    <row r="764" spans="1:13">
      <c r="A764" s="65" t="s">
        <v>1828</v>
      </c>
      <c r="B764" s="66">
        <f t="shared" si="46"/>
        <v>39451</v>
      </c>
      <c r="C764" s="67">
        <f t="shared" si="47"/>
        <v>2008</v>
      </c>
      <c r="D764" s="68">
        <v>10.9277</v>
      </c>
      <c r="E764" s="68">
        <v>10.8842</v>
      </c>
      <c r="F764" s="68">
        <v>10.8972</v>
      </c>
      <c r="H764" s="69" t="s">
        <v>1829</v>
      </c>
      <c r="I764" s="66">
        <f t="shared" si="49"/>
        <v>44200</v>
      </c>
      <c r="J764" s="70">
        <f t="shared" si="48"/>
        <v>2021</v>
      </c>
      <c r="K764" s="72" t="s">
        <v>362</v>
      </c>
      <c r="L764" s="72" t="s">
        <v>362</v>
      </c>
      <c r="M764" s="71">
        <v>19.935199999999998</v>
      </c>
    </row>
    <row r="765" spans="1:13">
      <c r="A765" s="57" t="s">
        <v>1830</v>
      </c>
      <c r="B765" s="58">
        <f t="shared" si="46"/>
        <v>39452</v>
      </c>
      <c r="C765" s="59">
        <f t="shared" si="47"/>
        <v>2008</v>
      </c>
      <c r="D765" s="60" t="s">
        <v>362</v>
      </c>
      <c r="E765" s="60" t="s">
        <v>362</v>
      </c>
      <c r="F765" s="61">
        <v>10.8842</v>
      </c>
      <c r="H765" s="62" t="s">
        <v>1831</v>
      </c>
      <c r="I765" s="58">
        <f t="shared" si="49"/>
        <v>44201</v>
      </c>
      <c r="J765" s="60">
        <f t="shared" si="48"/>
        <v>2021</v>
      </c>
      <c r="K765" s="64">
        <v>19.845700000000001</v>
      </c>
      <c r="L765" s="64">
        <v>19.9087</v>
      </c>
      <c r="M765" s="64">
        <v>19.935199999999998</v>
      </c>
    </row>
    <row r="766" spans="1:13">
      <c r="A766" s="65" t="s">
        <v>1832</v>
      </c>
      <c r="B766" s="66">
        <f t="shared" si="46"/>
        <v>39453</v>
      </c>
      <c r="C766" s="67">
        <f t="shared" si="47"/>
        <v>2008</v>
      </c>
      <c r="D766" s="70" t="s">
        <v>362</v>
      </c>
      <c r="E766" s="70" t="s">
        <v>362</v>
      </c>
      <c r="F766" s="68">
        <v>10.8842</v>
      </c>
      <c r="H766" s="69" t="s">
        <v>1833</v>
      </c>
      <c r="I766" s="66">
        <f t="shared" si="49"/>
        <v>44202</v>
      </c>
      <c r="J766" s="70">
        <f t="shared" si="48"/>
        <v>2021</v>
      </c>
      <c r="K766" s="71">
        <v>19.9437</v>
      </c>
      <c r="L766" s="71">
        <v>19.845700000000001</v>
      </c>
      <c r="M766" s="71">
        <v>19.9087</v>
      </c>
    </row>
    <row r="767" spans="1:13">
      <c r="A767" s="57" t="s">
        <v>1834</v>
      </c>
      <c r="B767" s="58">
        <f t="shared" si="46"/>
        <v>39454</v>
      </c>
      <c r="C767" s="59">
        <f t="shared" si="47"/>
        <v>2008</v>
      </c>
      <c r="D767" s="61">
        <v>10.9208</v>
      </c>
      <c r="E767" s="61">
        <v>10.9277</v>
      </c>
      <c r="F767" s="61">
        <v>10.8842</v>
      </c>
      <c r="H767" s="62" t="s">
        <v>1835</v>
      </c>
      <c r="I767" s="58">
        <f t="shared" si="49"/>
        <v>44203</v>
      </c>
      <c r="J767" s="60">
        <f t="shared" si="48"/>
        <v>2021</v>
      </c>
      <c r="K767" s="64">
        <v>19.725000000000001</v>
      </c>
      <c r="L767" s="64">
        <v>19.9437</v>
      </c>
      <c r="M767" s="64">
        <v>19.845700000000001</v>
      </c>
    </row>
    <row r="768" spans="1:13">
      <c r="A768" s="65" t="s">
        <v>1836</v>
      </c>
      <c r="B768" s="66">
        <f t="shared" si="46"/>
        <v>39455</v>
      </c>
      <c r="C768" s="67">
        <f t="shared" si="47"/>
        <v>2008</v>
      </c>
      <c r="D768" s="68">
        <v>10.885</v>
      </c>
      <c r="E768" s="68">
        <v>10.9208</v>
      </c>
      <c r="F768" s="68">
        <v>10.9277</v>
      </c>
      <c r="H768" s="69" t="s">
        <v>1837</v>
      </c>
      <c r="I768" s="66">
        <f t="shared" si="49"/>
        <v>44204</v>
      </c>
      <c r="J768" s="70">
        <f t="shared" si="48"/>
        <v>2021</v>
      </c>
      <c r="K768" s="71">
        <v>19.91</v>
      </c>
      <c r="L768" s="71">
        <v>19.725000000000001</v>
      </c>
      <c r="M768" s="71">
        <v>19.9437</v>
      </c>
    </row>
    <row r="769" spans="1:13">
      <c r="A769" s="57" t="s">
        <v>1838</v>
      </c>
      <c r="B769" s="58">
        <f t="shared" si="46"/>
        <v>39456</v>
      </c>
      <c r="C769" s="59">
        <f t="shared" si="47"/>
        <v>2008</v>
      </c>
      <c r="D769" s="61">
        <v>10.962</v>
      </c>
      <c r="E769" s="61">
        <v>10.885</v>
      </c>
      <c r="F769" s="61">
        <v>10.9208</v>
      </c>
      <c r="H769" s="62" t="s">
        <v>1839</v>
      </c>
      <c r="I769" s="58">
        <f t="shared" si="49"/>
        <v>44205</v>
      </c>
      <c r="J769" s="60">
        <f t="shared" si="48"/>
        <v>2021</v>
      </c>
      <c r="K769" s="64">
        <v>19.970500000000001</v>
      </c>
      <c r="L769" s="64">
        <v>19.91</v>
      </c>
      <c r="M769" s="64">
        <v>19.725000000000001</v>
      </c>
    </row>
    <row r="770" spans="1:13">
      <c r="A770" s="65" t="s">
        <v>1840</v>
      </c>
      <c r="B770" s="66">
        <f t="shared" si="46"/>
        <v>39457</v>
      </c>
      <c r="C770" s="67">
        <f t="shared" si="47"/>
        <v>2008</v>
      </c>
      <c r="D770" s="68">
        <v>10.9572</v>
      </c>
      <c r="E770" s="68">
        <v>10.962</v>
      </c>
      <c r="F770" s="68">
        <v>10.885</v>
      </c>
      <c r="H770" s="69" t="s">
        <v>1841</v>
      </c>
      <c r="I770" s="66">
        <f t="shared" si="49"/>
        <v>44206</v>
      </c>
      <c r="J770" s="70">
        <f t="shared" si="48"/>
        <v>2021</v>
      </c>
      <c r="K770" s="72" t="s">
        <v>362</v>
      </c>
      <c r="L770" s="72" t="s">
        <v>362</v>
      </c>
      <c r="M770" s="71">
        <v>19.91</v>
      </c>
    </row>
    <row r="771" spans="1:13">
      <c r="A771" s="57" t="s">
        <v>1842</v>
      </c>
      <c r="B771" s="58">
        <f t="shared" si="46"/>
        <v>39458</v>
      </c>
      <c r="C771" s="59">
        <f t="shared" si="47"/>
        <v>2008</v>
      </c>
      <c r="D771" s="61">
        <v>10.931800000000001</v>
      </c>
      <c r="E771" s="61">
        <v>10.9572</v>
      </c>
      <c r="F771" s="61">
        <v>10.962</v>
      </c>
      <c r="H771" s="62" t="s">
        <v>1843</v>
      </c>
      <c r="I771" s="58">
        <f t="shared" si="49"/>
        <v>44207</v>
      </c>
      <c r="J771" s="60">
        <f t="shared" si="48"/>
        <v>2021</v>
      </c>
      <c r="K771" s="63" t="s">
        <v>362</v>
      </c>
      <c r="L771" s="63" t="s">
        <v>362</v>
      </c>
      <c r="M771" s="64">
        <v>19.91</v>
      </c>
    </row>
    <row r="772" spans="1:13">
      <c r="A772" s="65" t="s">
        <v>1844</v>
      </c>
      <c r="B772" s="66">
        <f t="shared" si="46"/>
        <v>39459</v>
      </c>
      <c r="C772" s="67">
        <f t="shared" si="47"/>
        <v>2008</v>
      </c>
      <c r="D772" s="70" t="s">
        <v>362</v>
      </c>
      <c r="E772" s="70" t="s">
        <v>362</v>
      </c>
      <c r="F772" s="68">
        <v>10.9572</v>
      </c>
      <c r="H772" s="69" t="s">
        <v>1845</v>
      </c>
      <c r="I772" s="66">
        <f t="shared" si="49"/>
        <v>44208</v>
      </c>
      <c r="J772" s="70">
        <f t="shared" si="48"/>
        <v>2021</v>
      </c>
      <c r="K772" s="71">
        <v>20.113</v>
      </c>
      <c r="L772" s="71">
        <v>19.970500000000001</v>
      </c>
      <c r="M772" s="71">
        <v>19.91</v>
      </c>
    </row>
    <row r="773" spans="1:13">
      <c r="A773" s="57" t="s">
        <v>1846</v>
      </c>
      <c r="B773" s="58">
        <f t="shared" si="46"/>
        <v>39460</v>
      </c>
      <c r="C773" s="59">
        <f t="shared" si="47"/>
        <v>2008</v>
      </c>
      <c r="D773" s="60" t="s">
        <v>362</v>
      </c>
      <c r="E773" s="60" t="s">
        <v>362</v>
      </c>
      <c r="F773" s="61">
        <v>10.9572</v>
      </c>
      <c r="H773" s="62" t="s">
        <v>1847</v>
      </c>
      <c r="I773" s="58">
        <f t="shared" si="49"/>
        <v>44209</v>
      </c>
      <c r="J773" s="60">
        <f t="shared" si="48"/>
        <v>2021</v>
      </c>
      <c r="K773" s="64">
        <v>19.9373</v>
      </c>
      <c r="L773" s="64">
        <v>20.113</v>
      </c>
      <c r="M773" s="64">
        <v>19.970500000000001</v>
      </c>
    </row>
    <row r="774" spans="1:13">
      <c r="A774" s="65" t="s">
        <v>1848</v>
      </c>
      <c r="B774" s="66">
        <f t="shared" si="46"/>
        <v>39461</v>
      </c>
      <c r="C774" s="67">
        <f t="shared" si="47"/>
        <v>2008</v>
      </c>
      <c r="D774" s="68">
        <v>10.914</v>
      </c>
      <c r="E774" s="68">
        <v>10.931800000000001</v>
      </c>
      <c r="F774" s="68">
        <v>10.9572</v>
      </c>
      <c r="H774" s="69" t="s">
        <v>1849</v>
      </c>
      <c r="I774" s="66">
        <f t="shared" si="49"/>
        <v>44210</v>
      </c>
      <c r="J774" s="70">
        <f t="shared" si="48"/>
        <v>2021</v>
      </c>
      <c r="K774" s="71">
        <v>19.793500000000002</v>
      </c>
      <c r="L774" s="71">
        <v>19.9373</v>
      </c>
      <c r="M774" s="71">
        <v>20.113</v>
      </c>
    </row>
    <row r="775" spans="1:13">
      <c r="A775" s="57" t="s">
        <v>1850</v>
      </c>
      <c r="B775" s="58">
        <f t="shared" si="46"/>
        <v>39462</v>
      </c>
      <c r="C775" s="59">
        <f t="shared" si="47"/>
        <v>2008</v>
      </c>
      <c r="D775" s="61">
        <v>10.920299999999999</v>
      </c>
      <c r="E775" s="61">
        <v>10.914</v>
      </c>
      <c r="F775" s="61">
        <v>10.931800000000001</v>
      </c>
      <c r="H775" s="62" t="s">
        <v>1851</v>
      </c>
      <c r="I775" s="58">
        <f t="shared" si="49"/>
        <v>44211</v>
      </c>
      <c r="J775" s="60">
        <f t="shared" si="48"/>
        <v>2021</v>
      </c>
      <c r="K775" s="64">
        <v>19.779299999999999</v>
      </c>
      <c r="L775" s="64">
        <v>19.793500000000002</v>
      </c>
      <c r="M775" s="64">
        <v>19.9373</v>
      </c>
    </row>
    <row r="776" spans="1:13">
      <c r="A776" s="65" t="s">
        <v>1852</v>
      </c>
      <c r="B776" s="66">
        <f t="shared" si="46"/>
        <v>39463</v>
      </c>
      <c r="C776" s="67">
        <f t="shared" si="47"/>
        <v>2008</v>
      </c>
      <c r="D776" s="68">
        <v>10.9458</v>
      </c>
      <c r="E776" s="68">
        <v>10.920299999999999</v>
      </c>
      <c r="F776" s="68">
        <v>10.914</v>
      </c>
      <c r="H776" s="69" t="s">
        <v>1853</v>
      </c>
      <c r="I776" s="66">
        <f t="shared" si="49"/>
        <v>44212</v>
      </c>
      <c r="J776" s="70">
        <f t="shared" si="48"/>
        <v>2021</v>
      </c>
      <c r="K776" s="71">
        <v>19.787500000000001</v>
      </c>
      <c r="L776" s="71">
        <v>19.779299999999999</v>
      </c>
      <c r="M776" s="71">
        <v>19.793500000000002</v>
      </c>
    </row>
    <row r="777" spans="1:13">
      <c r="A777" s="57" t="s">
        <v>1854</v>
      </c>
      <c r="B777" s="58">
        <f t="shared" si="46"/>
        <v>39464</v>
      </c>
      <c r="C777" s="59">
        <f t="shared" si="47"/>
        <v>2008</v>
      </c>
      <c r="D777" s="61">
        <v>10.9445</v>
      </c>
      <c r="E777" s="61">
        <v>10.9458</v>
      </c>
      <c r="F777" s="61">
        <v>10.920299999999999</v>
      </c>
      <c r="H777" s="62" t="s">
        <v>1855</v>
      </c>
      <c r="I777" s="58">
        <f t="shared" si="49"/>
        <v>44213</v>
      </c>
      <c r="J777" s="60">
        <f t="shared" si="48"/>
        <v>2021</v>
      </c>
      <c r="K777" s="63" t="s">
        <v>362</v>
      </c>
      <c r="L777" s="63" t="s">
        <v>362</v>
      </c>
      <c r="M777" s="64">
        <v>19.779299999999999</v>
      </c>
    </row>
    <row r="778" spans="1:13">
      <c r="A778" s="65" t="s">
        <v>1856</v>
      </c>
      <c r="B778" s="66">
        <f t="shared" si="46"/>
        <v>39465</v>
      </c>
      <c r="C778" s="67">
        <f t="shared" si="47"/>
        <v>2008</v>
      </c>
      <c r="D778" s="68">
        <v>10.923500000000001</v>
      </c>
      <c r="E778" s="68">
        <v>10.9445</v>
      </c>
      <c r="F778" s="68">
        <v>10.9458</v>
      </c>
      <c r="H778" s="69" t="s">
        <v>1857</v>
      </c>
      <c r="I778" s="66">
        <f t="shared" si="49"/>
        <v>44214</v>
      </c>
      <c r="J778" s="70">
        <f t="shared" si="48"/>
        <v>2021</v>
      </c>
      <c r="K778" s="72" t="s">
        <v>362</v>
      </c>
      <c r="L778" s="72" t="s">
        <v>362</v>
      </c>
      <c r="M778" s="71">
        <v>19.779299999999999</v>
      </c>
    </row>
    <row r="779" spans="1:13">
      <c r="A779" s="57" t="s">
        <v>1858</v>
      </c>
      <c r="B779" s="58">
        <f t="shared" si="46"/>
        <v>39466</v>
      </c>
      <c r="C779" s="59">
        <f t="shared" si="47"/>
        <v>2008</v>
      </c>
      <c r="D779" s="60" t="s">
        <v>362</v>
      </c>
      <c r="E779" s="60" t="s">
        <v>362</v>
      </c>
      <c r="F779" s="61">
        <v>10.9445</v>
      </c>
      <c r="H779" s="62" t="s">
        <v>1859</v>
      </c>
      <c r="I779" s="58">
        <f t="shared" si="49"/>
        <v>44215</v>
      </c>
      <c r="J779" s="60">
        <f t="shared" si="48"/>
        <v>2021</v>
      </c>
      <c r="K779" s="64">
        <v>19.757000000000001</v>
      </c>
      <c r="L779" s="64">
        <v>19.787500000000001</v>
      </c>
      <c r="M779" s="64">
        <v>19.779299999999999</v>
      </c>
    </row>
    <row r="780" spans="1:13">
      <c r="A780" s="65" t="s">
        <v>1860</v>
      </c>
      <c r="B780" s="66">
        <f t="shared" si="46"/>
        <v>39467</v>
      </c>
      <c r="C780" s="67">
        <f t="shared" si="47"/>
        <v>2008</v>
      </c>
      <c r="D780" s="70" t="s">
        <v>362</v>
      </c>
      <c r="E780" s="70" t="s">
        <v>362</v>
      </c>
      <c r="F780" s="68">
        <v>10.9445</v>
      </c>
      <c r="H780" s="69" t="s">
        <v>1861</v>
      </c>
      <c r="I780" s="66">
        <f t="shared" si="49"/>
        <v>44216</v>
      </c>
      <c r="J780" s="70">
        <f t="shared" si="48"/>
        <v>2021</v>
      </c>
      <c r="K780" s="71">
        <v>19.678799999999999</v>
      </c>
      <c r="L780" s="71">
        <v>19.757000000000001</v>
      </c>
      <c r="M780" s="71">
        <v>19.787500000000001</v>
      </c>
    </row>
    <row r="781" spans="1:13">
      <c r="A781" s="57" t="s">
        <v>1862</v>
      </c>
      <c r="B781" s="58">
        <f t="shared" si="46"/>
        <v>39468</v>
      </c>
      <c r="C781" s="59">
        <f t="shared" si="47"/>
        <v>2008</v>
      </c>
      <c r="D781" s="61">
        <v>10.981299999999999</v>
      </c>
      <c r="E781" s="61">
        <v>10.923500000000001</v>
      </c>
      <c r="F781" s="61">
        <v>10.9445</v>
      </c>
      <c r="H781" s="62" t="s">
        <v>1863</v>
      </c>
      <c r="I781" s="58">
        <f t="shared" si="49"/>
        <v>44217</v>
      </c>
      <c r="J781" s="60">
        <f t="shared" si="48"/>
        <v>2021</v>
      </c>
      <c r="K781" s="64">
        <v>19.5793</v>
      </c>
      <c r="L781" s="64">
        <v>19.678799999999999</v>
      </c>
      <c r="M781" s="64">
        <v>19.757000000000001</v>
      </c>
    </row>
    <row r="782" spans="1:13">
      <c r="A782" s="65" t="s">
        <v>1864</v>
      </c>
      <c r="B782" s="66">
        <f t="shared" si="46"/>
        <v>39469</v>
      </c>
      <c r="C782" s="67">
        <f t="shared" si="47"/>
        <v>2008</v>
      </c>
      <c r="D782" s="68">
        <v>10.9232</v>
      </c>
      <c r="E782" s="68">
        <v>10.981299999999999</v>
      </c>
      <c r="F782" s="68">
        <v>10.923500000000001</v>
      </c>
      <c r="H782" s="69" t="s">
        <v>1865</v>
      </c>
      <c r="I782" s="66">
        <f t="shared" si="49"/>
        <v>44218</v>
      </c>
      <c r="J782" s="70">
        <f t="shared" si="48"/>
        <v>2021</v>
      </c>
      <c r="K782" s="71">
        <v>19.7393</v>
      </c>
      <c r="L782" s="71">
        <v>19.5793</v>
      </c>
      <c r="M782" s="71">
        <v>19.678799999999999</v>
      </c>
    </row>
    <row r="783" spans="1:13">
      <c r="A783" s="57" t="s">
        <v>1866</v>
      </c>
      <c r="B783" s="58">
        <f t="shared" si="46"/>
        <v>39470</v>
      </c>
      <c r="C783" s="59">
        <f t="shared" si="47"/>
        <v>2008</v>
      </c>
      <c r="D783" s="61">
        <v>10.952199999999999</v>
      </c>
      <c r="E783" s="61">
        <v>10.9232</v>
      </c>
      <c r="F783" s="61">
        <v>10.981299999999999</v>
      </c>
      <c r="H783" s="62" t="s">
        <v>1867</v>
      </c>
      <c r="I783" s="58">
        <f t="shared" si="49"/>
        <v>44219</v>
      </c>
      <c r="J783" s="60">
        <f t="shared" si="48"/>
        <v>2021</v>
      </c>
      <c r="K783" s="64">
        <v>19.9833</v>
      </c>
      <c r="L783" s="64">
        <v>19.7393</v>
      </c>
      <c r="M783" s="64">
        <v>19.5793</v>
      </c>
    </row>
    <row r="784" spans="1:13">
      <c r="A784" s="65" t="s">
        <v>1868</v>
      </c>
      <c r="B784" s="66">
        <f t="shared" si="46"/>
        <v>39471</v>
      </c>
      <c r="C784" s="67">
        <f t="shared" si="47"/>
        <v>2008</v>
      </c>
      <c r="D784" s="68">
        <v>10.8934</v>
      </c>
      <c r="E784" s="68">
        <v>10.952199999999999</v>
      </c>
      <c r="F784" s="68">
        <v>10.9232</v>
      </c>
      <c r="H784" s="69" t="s">
        <v>1869</v>
      </c>
      <c r="I784" s="66">
        <f t="shared" si="49"/>
        <v>44220</v>
      </c>
      <c r="J784" s="70">
        <f t="shared" si="48"/>
        <v>2021</v>
      </c>
      <c r="K784" s="72" t="s">
        <v>362</v>
      </c>
      <c r="L784" s="72" t="s">
        <v>362</v>
      </c>
      <c r="M784" s="71">
        <v>19.7393</v>
      </c>
    </row>
    <row r="785" spans="1:13">
      <c r="A785" s="57" t="s">
        <v>1870</v>
      </c>
      <c r="B785" s="58">
        <f t="shared" si="46"/>
        <v>39472</v>
      </c>
      <c r="C785" s="59">
        <f t="shared" si="47"/>
        <v>2008</v>
      </c>
      <c r="D785" s="61">
        <v>10.8698</v>
      </c>
      <c r="E785" s="61">
        <v>10.8934</v>
      </c>
      <c r="F785" s="61">
        <v>10.952199999999999</v>
      </c>
      <c r="H785" s="62" t="s">
        <v>1871</v>
      </c>
      <c r="I785" s="58">
        <f t="shared" si="49"/>
        <v>44221</v>
      </c>
      <c r="J785" s="60">
        <f t="shared" si="48"/>
        <v>2021</v>
      </c>
      <c r="K785" s="63" t="s">
        <v>362</v>
      </c>
      <c r="L785" s="63" t="s">
        <v>362</v>
      </c>
      <c r="M785" s="64">
        <v>19.7393</v>
      </c>
    </row>
    <row r="786" spans="1:13">
      <c r="A786" s="65" t="s">
        <v>1872</v>
      </c>
      <c r="B786" s="66">
        <f t="shared" si="46"/>
        <v>39473</v>
      </c>
      <c r="C786" s="67">
        <f t="shared" si="47"/>
        <v>2008</v>
      </c>
      <c r="D786" s="70" t="s">
        <v>362</v>
      </c>
      <c r="E786" s="70" t="s">
        <v>362</v>
      </c>
      <c r="F786" s="68">
        <v>10.8934</v>
      </c>
      <c r="H786" s="69" t="s">
        <v>1873</v>
      </c>
      <c r="I786" s="66">
        <f t="shared" si="49"/>
        <v>44222</v>
      </c>
      <c r="J786" s="70">
        <f t="shared" si="48"/>
        <v>2021</v>
      </c>
      <c r="K786" s="71">
        <v>20.159800000000001</v>
      </c>
      <c r="L786" s="71">
        <v>19.9833</v>
      </c>
      <c r="M786" s="71">
        <v>19.7393</v>
      </c>
    </row>
    <row r="787" spans="1:13">
      <c r="A787" s="57" t="s">
        <v>1874</v>
      </c>
      <c r="B787" s="58">
        <f t="shared" si="46"/>
        <v>39474</v>
      </c>
      <c r="C787" s="59">
        <f t="shared" si="47"/>
        <v>2008</v>
      </c>
      <c r="D787" s="60" t="s">
        <v>362</v>
      </c>
      <c r="E787" s="60" t="s">
        <v>362</v>
      </c>
      <c r="F787" s="61">
        <v>10.8934</v>
      </c>
      <c r="H787" s="62" t="s">
        <v>1875</v>
      </c>
      <c r="I787" s="58">
        <f t="shared" si="49"/>
        <v>44223</v>
      </c>
      <c r="J787" s="60">
        <f t="shared" si="48"/>
        <v>2021</v>
      </c>
      <c r="K787" s="64">
        <v>20.0152</v>
      </c>
      <c r="L787" s="64">
        <v>20.159800000000001</v>
      </c>
      <c r="M787" s="64">
        <v>19.9833</v>
      </c>
    </row>
    <row r="788" spans="1:13">
      <c r="A788" s="65" t="s">
        <v>1876</v>
      </c>
      <c r="B788" s="66">
        <f t="shared" si="46"/>
        <v>39475</v>
      </c>
      <c r="C788" s="67">
        <f t="shared" si="47"/>
        <v>2008</v>
      </c>
      <c r="D788" s="68">
        <v>10.878399999999999</v>
      </c>
      <c r="E788" s="68">
        <v>10.8698</v>
      </c>
      <c r="F788" s="68">
        <v>10.8934</v>
      </c>
      <c r="H788" s="69" t="s">
        <v>1877</v>
      </c>
      <c r="I788" s="66">
        <f t="shared" si="49"/>
        <v>44224</v>
      </c>
      <c r="J788" s="70">
        <f t="shared" si="48"/>
        <v>2021</v>
      </c>
      <c r="K788" s="71">
        <v>20.216799999999999</v>
      </c>
      <c r="L788" s="71">
        <v>20.0152</v>
      </c>
      <c r="M788" s="71">
        <v>20.159800000000001</v>
      </c>
    </row>
    <row r="789" spans="1:13">
      <c r="A789" s="57" t="s">
        <v>1878</v>
      </c>
      <c r="B789" s="58">
        <f t="shared" si="46"/>
        <v>39476</v>
      </c>
      <c r="C789" s="59">
        <f t="shared" si="47"/>
        <v>2008</v>
      </c>
      <c r="D789" s="61">
        <v>10.8444</v>
      </c>
      <c r="E789" s="61">
        <v>10.878399999999999</v>
      </c>
      <c r="F789" s="61">
        <v>10.8698</v>
      </c>
      <c r="H789" s="62" t="s">
        <v>1879</v>
      </c>
      <c r="I789" s="58">
        <f t="shared" si="49"/>
        <v>44225</v>
      </c>
      <c r="J789" s="60">
        <f t="shared" si="48"/>
        <v>2021</v>
      </c>
      <c r="K789" s="64">
        <v>20.2697</v>
      </c>
      <c r="L789" s="64">
        <v>20.216799999999999</v>
      </c>
      <c r="M789" s="64">
        <v>20.0152</v>
      </c>
    </row>
    <row r="790" spans="1:13">
      <c r="A790" s="65" t="s">
        <v>1880</v>
      </c>
      <c r="B790" s="66">
        <f t="shared" si="46"/>
        <v>39477</v>
      </c>
      <c r="C790" s="67">
        <f t="shared" si="47"/>
        <v>2008</v>
      </c>
      <c r="D790" s="68">
        <v>10.837400000000001</v>
      </c>
      <c r="E790" s="68">
        <v>10.8444</v>
      </c>
      <c r="F790" s="68">
        <v>10.878399999999999</v>
      </c>
      <c r="H790" s="69" t="s">
        <v>1881</v>
      </c>
      <c r="I790" s="66">
        <f t="shared" si="49"/>
        <v>44226</v>
      </c>
      <c r="J790" s="70">
        <f t="shared" si="48"/>
        <v>2021</v>
      </c>
      <c r="K790" s="71">
        <v>20.224799999999998</v>
      </c>
      <c r="L790" s="71">
        <v>20.2697</v>
      </c>
      <c r="M790" s="71">
        <v>20.216799999999999</v>
      </c>
    </row>
    <row r="791" spans="1:13">
      <c r="A791" s="57" t="s">
        <v>1882</v>
      </c>
      <c r="B791" s="58">
        <f t="shared" si="46"/>
        <v>39478</v>
      </c>
      <c r="C791" s="59">
        <f t="shared" si="47"/>
        <v>2008</v>
      </c>
      <c r="D791" s="61">
        <v>10.8262</v>
      </c>
      <c r="E791" s="61">
        <v>10.837400000000001</v>
      </c>
      <c r="F791" s="61">
        <v>10.8444</v>
      </c>
      <c r="H791" s="62" t="s">
        <v>1883</v>
      </c>
      <c r="I791" s="58">
        <f t="shared" si="49"/>
        <v>44227</v>
      </c>
      <c r="J791" s="60">
        <f t="shared" si="48"/>
        <v>2021</v>
      </c>
      <c r="K791" s="63" t="s">
        <v>362</v>
      </c>
      <c r="L791" s="63" t="s">
        <v>362</v>
      </c>
      <c r="M791" s="64">
        <v>20.2697</v>
      </c>
    </row>
    <row r="792" spans="1:13">
      <c r="A792" s="65" t="s">
        <v>1884</v>
      </c>
      <c r="B792" s="66">
        <f t="shared" si="46"/>
        <v>39479</v>
      </c>
      <c r="C792" s="67">
        <f t="shared" si="47"/>
        <v>2008</v>
      </c>
      <c r="D792" s="68">
        <v>10.813800000000001</v>
      </c>
      <c r="E792" s="68">
        <v>10.8262</v>
      </c>
      <c r="F792" s="68">
        <v>10.837400000000001</v>
      </c>
      <c r="H792" s="69" t="s">
        <v>1885</v>
      </c>
      <c r="I792" s="66">
        <f t="shared" si="49"/>
        <v>44228</v>
      </c>
      <c r="J792" s="70">
        <f t="shared" si="48"/>
        <v>2021</v>
      </c>
      <c r="K792" s="72" t="s">
        <v>362</v>
      </c>
      <c r="L792" s="72" t="s">
        <v>362</v>
      </c>
      <c r="M792" s="71">
        <v>20.2697</v>
      </c>
    </row>
    <row r="793" spans="1:13">
      <c r="A793" s="57" t="s">
        <v>1886</v>
      </c>
      <c r="B793" s="58">
        <f t="shared" si="46"/>
        <v>39480</v>
      </c>
      <c r="C793" s="59">
        <f t="shared" si="47"/>
        <v>2008</v>
      </c>
      <c r="D793" s="60" t="s">
        <v>362</v>
      </c>
      <c r="E793" s="60" t="s">
        <v>362</v>
      </c>
      <c r="F793" s="61">
        <v>10.8262</v>
      </c>
      <c r="H793" s="62" t="s">
        <v>1887</v>
      </c>
      <c r="I793" s="58">
        <f t="shared" si="49"/>
        <v>44229</v>
      </c>
      <c r="J793" s="60">
        <f t="shared" si="48"/>
        <v>2021</v>
      </c>
      <c r="K793" s="63" t="s">
        <v>362</v>
      </c>
      <c r="L793" s="63" t="s">
        <v>362</v>
      </c>
      <c r="M793" s="64">
        <v>20.2697</v>
      </c>
    </row>
    <row r="794" spans="1:13">
      <c r="A794" s="65" t="s">
        <v>1888</v>
      </c>
      <c r="B794" s="66">
        <f t="shared" si="46"/>
        <v>39481</v>
      </c>
      <c r="C794" s="67">
        <f t="shared" si="47"/>
        <v>2008</v>
      </c>
      <c r="D794" s="70" t="s">
        <v>362</v>
      </c>
      <c r="E794" s="70" t="s">
        <v>362</v>
      </c>
      <c r="F794" s="68">
        <v>10.8262</v>
      </c>
      <c r="H794" s="69" t="s">
        <v>1889</v>
      </c>
      <c r="I794" s="66">
        <f t="shared" si="49"/>
        <v>44230</v>
      </c>
      <c r="J794" s="70">
        <f t="shared" si="48"/>
        <v>2021</v>
      </c>
      <c r="K794" s="71">
        <v>20.1722</v>
      </c>
      <c r="L794" s="71">
        <v>20.224799999999998</v>
      </c>
      <c r="M794" s="71">
        <v>20.2697</v>
      </c>
    </row>
    <row r="795" spans="1:13">
      <c r="A795" s="57" t="s">
        <v>1890</v>
      </c>
      <c r="B795" s="58">
        <f t="shared" si="46"/>
        <v>39482</v>
      </c>
      <c r="C795" s="59">
        <f t="shared" si="47"/>
        <v>2008</v>
      </c>
      <c r="D795" s="60" t="s">
        <v>362</v>
      </c>
      <c r="E795" s="60" t="s">
        <v>362</v>
      </c>
      <c r="F795" s="61">
        <v>10.8262</v>
      </c>
      <c r="H795" s="62" t="s">
        <v>1891</v>
      </c>
      <c r="I795" s="58">
        <f t="shared" si="49"/>
        <v>44231</v>
      </c>
      <c r="J795" s="60">
        <f t="shared" si="48"/>
        <v>2021</v>
      </c>
      <c r="K795" s="64">
        <v>20.1953</v>
      </c>
      <c r="L795" s="64">
        <v>20.1722</v>
      </c>
      <c r="M795" s="64">
        <v>20.224799999999998</v>
      </c>
    </row>
    <row r="796" spans="1:13">
      <c r="A796" s="65" t="s">
        <v>1892</v>
      </c>
      <c r="B796" s="66">
        <f t="shared" si="46"/>
        <v>39483</v>
      </c>
      <c r="C796" s="67">
        <f t="shared" si="47"/>
        <v>2008</v>
      </c>
      <c r="D796" s="68">
        <v>10.828900000000001</v>
      </c>
      <c r="E796" s="68">
        <v>10.813800000000001</v>
      </c>
      <c r="F796" s="68">
        <v>10.8262</v>
      </c>
      <c r="H796" s="69" t="s">
        <v>1893</v>
      </c>
      <c r="I796" s="66">
        <f t="shared" si="49"/>
        <v>44232</v>
      </c>
      <c r="J796" s="70">
        <f t="shared" si="48"/>
        <v>2021</v>
      </c>
      <c r="K796" s="71">
        <v>20.4435</v>
      </c>
      <c r="L796" s="71">
        <v>20.1953</v>
      </c>
      <c r="M796" s="71">
        <v>20.1722</v>
      </c>
    </row>
    <row r="797" spans="1:13">
      <c r="A797" s="57" t="s">
        <v>1894</v>
      </c>
      <c r="B797" s="58">
        <f t="shared" si="46"/>
        <v>39484</v>
      </c>
      <c r="C797" s="59">
        <f t="shared" si="47"/>
        <v>2008</v>
      </c>
      <c r="D797" s="61">
        <v>10.822699999999999</v>
      </c>
      <c r="E797" s="61">
        <v>10.828900000000001</v>
      </c>
      <c r="F797" s="61">
        <v>10.813800000000001</v>
      </c>
      <c r="H797" s="62" t="s">
        <v>1895</v>
      </c>
      <c r="I797" s="58">
        <f t="shared" si="49"/>
        <v>44233</v>
      </c>
      <c r="J797" s="60">
        <f t="shared" si="48"/>
        <v>2021</v>
      </c>
      <c r="K797" s="64">
        <v>20.1388</v>
      </c>
      <c r="L797" s="64">
        <v>20.4435</v>
      </c>
      <c r="M797" s="64">
        <v>20.1953</v>
      </c>
    </row>
    <row r="798" spans="1:13">
      <c r="A798" s="65" t="s">
        <v>1896</v>
      </c>
      <c r="B798" s="66">
        <f t="shared" si="46"/>
        <v>39485</v>
      </c>
      <c r="C798" s="67">
        <f t="shared" si="47"/>
        <v>2008</v>
      </c>
      <c r="D798" s="68">
        <v>10.804</v>
      </c>
      <c r="E798" s="68">
        <v>10.822699999999999</v>
      </c>
      <c r="F798" s="68">
        <v>10.828900000000001</v>
      </c>
      <c r="H798" s="69" t="s">
        <v>1897</v>
      </c>
      <c r="I798" s="66">
        <f t="shared" si="49"/>
        <v>44234</v>
      </c>
      <c r="J798" s="70">
        <f t="shared" si="48"/>
        <v>2021</v>
      </c>
      <c r="K798" s="72" t="s">
        <v>362</v>
      </c>
      <c r="L798" s="72" t="s">
        <v>362</v>
      </c>
      <c r="M798" s="71">
        <v>20.4435</v>
      </c>
    </row>
    <row r="799" spans="1:13">
      <c r="A799" s="57" t="s">
        <v>1898</v>
      </c>
      <c r="B799" s="58">
        <f t="shared" ref="B799:B862" si="50">DATE(RIGHT(A799,4),LEFT(RIGHT(A799,7),2),LEFT(A799,2))</f>
        <v>39486</v>
      </c>
      <c r="C799" s="59">
        <f t="shared" ref="C799:C862" si="51">YEAR(B799)</f>
        <v>2008</v>
      </c>
      <c r="D799" s="61">
        <v>10.7575</v>
      </c>
      <c r="E799" s="61">
        <v>10.804</v>
      </c>
      <c r="F799" s="61">
        <v>10.822699999999999</v>
      </c>
      <c r="H799" s="62" t="s">
        <v>1899</v>
      </c>
      <c r="I799" s="58">
        <f t="shared" si="49"/>
        <v>44235</v>
      </c>
      <c r="J799" s="60">
        <f t="shared" ref="J799:J862" si="52">YEAR(I799)</f>
        <v>2021</v>
      </c>
      <c r="K799" s="63" t="s">
        <v>362</v>
      </c>
      <c r="L799" s="63" t="s">
        <v>362</v>
      </c>
      <c r="M799" s="64">
        <v>20.4435</v>
      </c>
    </row>
    <row r="800" spans="1:13">
      <c r="A800" s="65" t="s">
        <v>1900</v>
      </c>
      <c r="B800" s="66">
        <f t="shared" si="50"/>
        <v>39487</v>
      </c>
      <c r="C800" s="67">
        <f t="shared" si="51"/>
        <v>2008</v>
      </c>
      <c r="D800" s="70" t="s">
        <v>362</v>
      </c>
      <c r="E800" s="70" t="s">
        <v>362</v>
      </c>
      <c r="F800" s="68">
        <v>10.804</v>
      </c>
      <c r="H800" s="69" t="s">
        <v>1901</v>
      </c>
      <c r="I800" s="66">
        <f t="shared" ref="I800:I863" si="53">DATE(RIGHT(H800,4),LEFT(RIGHT(A800,7),2),LEFT(A800,2))</f>
        <v>44236</v>
      </c>
      <c r="J800" s="70">
        <f t="shared" si="52"/>
        <v>2021</v>
      </c>
      <c r="K800" s="71">
        <v>20.122699999999998</v>
      </c>
      <c r="L800" s="71">
        <v>20.1388</v>
      </c>
      <c r="M800" s="71">
        <v>20.4435</v>
      </c>
    </row>
    <row r="801" spans="1:13">
      <c r="A801" s="57" t="s">
        <v>1902</v>
      </c>
      <c r="B801" s="58">
        <f t="shared" si="50"/>
        <v>39488</v>
      </c>
      <c r="C801" s="59">
        <f t="shared" si="51"/>
        <v>2008</v>
      </c>
      <c r="D801" s="60" t="s">
        <v>362</v>
      </c>
      <c r="E801" s="60" t="s">
        <v>362</v>
      </c>
      <c r="F801" s="61">
        <v>10.804</v>
      </c>
      <c r="H801" s="62" t="s">
        <v>1903</v>
      </c>
      <c r="I801" s="58">
        <f t="shared" si="53"/>
        <v>44237</v>
      </c>
      <c r="J801" s="60">
        <f t="shared" si="52"/>
        <v>2021</v>
      </c>
      <c r="K801" s="64">
        <v>20.0913</v>
      </c>
      <c r="L801" s="64">
        <v>20.122699999999998</v>
      </c>
      <c r="M801" s="64">
        <v>20.1388</v>
      </c>
    </row>
    <row r="802" spans="1:13">
      <c r="A802" s="65" t="s">
        <v>1904</v>
      </c>
      <c r="B802" s="66">
        <f t="shared" si="50"/>
        <v>39489</v>
      </c>
      <c r="C802" s="67">
        <f t="shared" si="51"/>
        <v>2008</v>
      </c>
      <c r="D802" s="68">
        <v>10.7736</v>
      </c>
      <c r="E802" s="68">
        <v>10.7575</v>
      </c>
      <c r="F802" s="68">
        <v>10.804</v>
      </c>
      <c r="H802" s="69" t="s">
        <v>1905</v>
      </c>
      <c r="I802" s="66">
        <f t="shared" si="53"/>
        <v>44238</v>
      </c>
      <c r="J802" s="70">
        <f t="shared" si="52"/>
        <v>2021</v>
      </c>
      <c r="K802" s="71">
        <v>20.058800000000002</v>
      </c>
      <c r="L802" s="71">
        <v>20.0913</v>
      </c>
      <c r="M802" s="71">
        <v>20.122699999999998</v>
      </c>
    </row>
    <row r="803" spans="1:13">
      <c r="A803" s="57" t="s">
        <v>1906</v>
      </c>
      <c r="B803" s="58">
        <f t="shared" si="50"/>
        <v>39490</v>
      </c>
      <c r="C803" s="59">
        <f t="shared" si="51"/>
        <v>2008</v>
      </c>
      <c r="D803" s="61">
        <v>10.746499999999999</v>
      </c>
      <c r="E803" s="61">
        <v>10.7736</v>
      </c>
      <c r="F803" s="61">
        <v>10.7575</v>
      </c>
      <c r="H803" s="62" t="s">
        <v>1907</v>
      </c>
      <c r="I803" s="58">
        <f t="shared" si="53"/>
        <v>44239</v>
      </c>
      <c r="J803" s="60">
        <f t="shared" si="52"/>
        <v>2021</v>
      </c>
      <c r="K803" s="64">
        <v>19.953499999999998</v>
      </c>
      <c r="L803" s="64">
        <v>20.058800000000002</v>
      </c>
      <c r="M803" s="64">
        <v>20.0913</v>
      </c>
    </row>
    <row r="804" spans="1:13">
      <c r="A804" s="65" t="s">
        <v>1908</v>
      </c>
      <c r="B804" s="66">
        <f t="shared" si="50"/>
        <v>39491</v>
      </c>
      <c r="C804" s="67">
        <f t="shared" si="51"/>
        <v>2008</v>
      </c>
      <c r="D804" s="68">
        <v>10.7509</v>
      </c>
      <c r="E804" s="68">
        <v>10.746499999999999</v>
      </c>
      <c r="F804" s="68">
        <v>10.7736</v>
      </c>
      <c r="H804" s="69" t="s">
        <v>1909</v>
      </c>
      <c r="I804" s="66">
        <f t="shared" si="53"/>
        <v>44240</v>
      </c>
      <c r="J804" s="70">
        <f t="shared" si="52"/>
        <v>2021</v>
      </c>
      <c r="K804" s="71">
        <v>19.962199999999999</v>
      </c>
      <c r="L804" s="71">
        <v>19.953499999999998</v>
      </c>
      <c r="M804" s="71">
        <v>20.058800000000002</v>
      </c>
    </row>
    <row r="805" spans="1:13">
      <c r="A805" s="57" t="s">
        <v>1910</v>
      </c>
      <c r="B805" s="58">
        <f t="shared" si="50"/>
        <v>39492</v>
      </c>
      <c r="C805" s="59">
        <f t="shared" si="51"/>
        <v>2008</v>
      </c>
      <c r="D805" s="61">
        <v>10.741300000000001</v>
      </c>
      <c r="E805" s="61">
        <v>10.7509</v>
      </c>
      <c r="F805" s="61">
        <v>10.746499999999999</v>
      </c>
      <c r="H805" s="62" t="s">
        <v>1911</v>
      </c>
      <c r="I805" s="58">
        <f t="shared" si="53"/>
        <v>44241</v>
      </c>
      <c r="J805" s="60">
        <f t="shared" si="52"/>
        <v>2021</v>
      </c>
      <c r="K805" s="63" t="s">
        <v>362</v>
      </c>
      <c r="L805" s="63" t="s">
        <v>362</v>
      </c>
      <c r="M805" s="64">
        <v>19.953499999999998</v>
      </c>
    </row>
    <row r="806" spans="1:13">
      <c r="A806" s="65" t="s">
        <v>1912</v>
      </c>
      <c r="B806" s="66">
        <f t="shared" si="50"/>
        <v>39493</v>
      </c>
      <c r="C806" s="67">
        <f t="shared" si="51"/>
        <v>2008</v>
      </c>
      <c r="D806" s="68">
        <v>10.7653</v>
      </c>
      <c r="E806" s="68">
        <v>10.741300000000001</v>
      </c>
      <c r="F806" s="68">
        <v>10.7509</v>
      </c>
      <c r="H806" s="69" t="s">
        <v>1913</v>
      </c>
      <c r="I806" s="66">
        <f t="shared" si="53"/>
        <v>44242</v>
      </c>
      <c r="J806" s="70">
        <f t="shared" si="52"/>
        <v>2021</v>
      </c>
      <c r="K806" s="72" t="s">
        <v>362</v>
      </c>
      <c r="L806" s="72" t="s">
        <v>362</v>
      </c>
      <c r="M806" s="71">
        <v>19.953499999999998</v>
      </c>
    </row>
    <row r="807" spans="1:13">
      <c r="A807" s="57" t="s">
        <v>1914</v>
      </c>
      <c r="B807" s="58">
        <f t="shared" si="50"/>
        <v>39494</v>
      </c>
      <c r="C807" s="59">
        <f t="shared" si="51"/>
        <v>2008</v>
      </c>
      <c r="D807" s="60" t="s">
        <v>362</v>
      </c>
      <c r="E807" s="60" t="s">
        <v>362</v>
      </c>
      <c r="F807" s="61">
        <v>10.741300000000001</v>
      </c>
      <c r="H807" s="62" t="s">
        <v>1915</v>
      </c>
      <c r="I807" s="58">
        <f t="shared" si="53"/>
        <v>44243</v>
      </c>
      <c r="J807" s="60">
        <f t="shared" si="52"/>
        <v>2021</v>
      </c>
      <c r="K807" s="64">
        <v>19.951799999999999</v>
      </c>
      <c r="L807" s="64">
        <v>19.962199999999999</v>
      </c>
      <c r="M807" s="64">
        <v>19.953499999999998</v>
      </c>
    </row>
    <row r="808" spans="1:13">
      <c r="A808" s="65" t="s">
        <v>1916</v>
      </c>
      <c r="B808" s="66">
        <f t="shared" si="50"/>
        <v>39495</v>
      </c>
      <c r="C808" s="67">
        <f t="shared" si="51"/>
        <v>2008</v>
      </c>
      <c r="D808" s="70" t="s">
        <v>362</v>
      </c>
      <c r="E808" s="70" t="s">
        <v>362</v>
      </c>
      <c r="F808" s="68">
        <v>10.741300000000001</v>
      </c>
      <c r="H808" s="69" t="s">
        <v>1917</v>
      </c>
      <c r="I808" s="66">
        <f t="shared" si="53"/>
        <v>44244</v>
      </c>
      <c r="J808" s="70">
        <f t="shared" si="52"/>
        <v>2021</v>
      </c>
      <c r="K808" s="71">
        <v>20.202300000000001</v>
      </c>
      <c r="L808" s="71">
        <v>19.951799999999999</v>
      </c>
      <c r="M808" s="71">
        <v>19.962199999999999</v>
      </c>
    </row>
    <row r="809" spans="1:13">
      <c r="A809" s="57" t="s">
        <v>1918</v>
      </c>
      <c r="B809" s="58">
        <f t="shared" si="50"/>
        <v>39496</v>
      </c>
      <c r="C809" s="59">
        <f t="shared" si="51"/>
        <v>2008</v>
      </c>
      <c r="D809" s="61">
        <v>10.734999999999999</v>
      </c>
      <c r="E809" s="61">
        <v>10.7653</v>
      </c>
      <c r="F809" s="61">
        <v>10.741300000000001</v>
      </c>
      <c r="H809" s="62" t="s">
        <v>1919</v>
      </c>
      <c r="I809" s="58">
        <f t="shared" si="53"/>
        <v>44245</v>
      </c>
      <c r="J809" s="60">
        <f t="shared" si="52"/>
        <v>2021</v>
      </c>
      <c r="K809" s="64">
        <v>20.2257</v>
      </c>
      <c r="L809" s="64">
        <v>20.202300000000001</v>
      </c>
      <c r="M809" s="64">
        <v>19.951799999999999</v>
      </c>
    </row>
    <row r="810" spans="1:13">
      <c r="A810" s="65" t="s">
        <v>1920</v>
      </c>
      <c r="B810" s="66">
        <f t="shared" si="50"/>
        <v>39497</v>
      </c>
      <c r="C810" s="67">
        <f t="shared" si="51"/>
        <v>2008</v>
      </c>
      <c r="D810" s="68">
        <v>10.748900000000001</v>
      </c>
      <c r="E810" s="68">
        <v>10.734999999999999</v>
      </c>
      <c r="F810" s="68">
        <v>10.7653</v>
      </c>
      <c r="H810" s="69" t="s">
        <v>1921</v>
      </c>
      <c r="I810" s="66">
        <f t="shared" si="53"/>
        <v>44246</v>
      </c>
      <c r="J810" s="70">
        <f t="shared" si="52"/>
        <v>2021</v>
      </c>
      <c r="K810" s="71">
        <v>20.416499999999999</v>
      </c>
      <c r="L810" s="71">
        <v>20.2257</v>
      </c>
      <c r="M810" s="71">
        <v>20.202300000000001</v>
      </c>
    </row>
    <row r="811" spans="1:13">
      <c r="A811" s="57" t="s">
        <v>1922</v>
      </c>
      <c r="B811" s="58">
        <f t="shared" si="50"/>
        <v>39498</v>
      </c>
      <c r="C811" s="59">
        <f t="shared" si="51"/>
        <v>2008</v>
      </c>
      <c r="D811" s="61">
        <v>10.793900000000001</v>
      </c>
      <c r="E811" s="61">
        <v>10.748900000000001</v>
      </c>
      <c r="F811" s="61">
        <v>10.734999999999999</v>
      </c>
      <c r="H811" s="62" t="s">
        <v>1923</v>
      </c>
      <c r="I811" s="58">
        <f t="shared" si="53"/>
        <v>44247</v>
      </c>
      <c r="J811" s="60">
        <f t="shared" si="52"/>
        <v>2021</v>
      </c>
      <c r="K811" s="64">
        <v>20.4222</v>
      </c>
      <c r="L811" s="64">
        <v>20.416499999999999</v>
      </c>
      <c r="M811" s="64">
        <v>20.2257</v>
      </c>
    </row>
    <row r="812" spans="1:13">
      <c r="A812" s="65" t="s">
        <v>1924</v>
      </c>
      <c r="B812" s="66">
        <f t="shared" si="50"/>
        <v>39499</v>
      </c>
      <c r="C812" s="67">
        <f t="shared" si="51"/>
        <v>2008</v>
      </c>
      <c r="D812" s="68">
        <v>10.798</v>
      </c>
      <c r="E812" s="68">
        <v>10.793900000000001</v>
      </c>
      <c r="F812" s="68">
        <v>10.748900000000001</v>
      </c>
      <c r="H812" s="69" t="s">
        <v>1925</v>
      </c>
      <c r="I812" s="66">
        <f t="shared" si="53"/>
        <v>44248</v>
      </c>
      <c r="J812" s="70">
        <f t="shared" si="52"/>
        <v>2021</v>
      </c>
      <c r="K812" s="72" t="s">
        <v>362</v>
      </c>
      <c r="L812" s="72" t="s">
        <v>362</v>
      </c>
      <c r="M812" s="71">
        <v>20.416499999999999</v>
      </c>
    </row>
    <row r="813" spans="1:13">
      <c r="A813" s="57" t="s">
        <v>1926</v>
      </c>
      <c r="B813" s="58">
        <f t="shared" si="50"/>
        <v>39500</v>
      </c>
      <c r="C813" s="59">
        <f t="shared" si="51"/>
        <v>2008</v>
      </c>
      <c r="D813" s="61">
        <v>10.7818</v>
      </c>
      <c r="E813" s="61">
        <v>10.798</v>
      </c>
      <c r="F813" s="61">
        <v>10.793900000000001</v>
      </c>
      <c r="H813" s="62" t="s">
        <v>1927</v>
      </c>
      <c r="I813" s="58">
        <f t="shared" si="53"/>
        <v>44249</v>
      </c>
      <c r="J813" s="60">
        <f t="shared" si="52"/>
        <v>2021</v>
      </c>
      <c r="K813" s="63" t="s">
        <v>362</v>
      </c>
      <c r="L813" s="63" t="s">
        <v>362</v>
      </c>
      <c r="M813" s="64">
        <v>20.416499999999999</v>
      </c>
    </row>
    <row r="814" spans="1:13">
      <c r="A814" s="65" t="s">
        <v>1928</v>
      </c>
      <c r="B814" s="66">
        <f t="shared" si="50"/>
        <v>39501</v>
      </c>
      <c r="C814" s="67">
        <f t="shared" si="51"/>
        <v>2008</v>
      </c>
      <c r="D814" s="70" t="s">
        <v>362</v>
      </c>
      <c r="E814" s="70" t="s">
        <v>362</v>
      </c>
      <c r="F814" s="68">
        <v>10.798</v>
      </c>
      <c r="H814" s="69" t="s">
        <v>1929</v>
      </c>
      <c r="I814" s="66">
        <f t="shared" si="53"/>
        <v>44250</v>
      </c>
      <c r="J814" s="70">
        <f t="shared" si="52"/>
        <v>2021</v>
      </c>
      <c r="K814" s="71">
        <v>20.6783</v>
      </c>
      <c r="L814" s="71">
        <v>20.4222</v>
      </c>
      <c r="M814" s="71">
        <v>20.416499999999999</v>
      </c>
    </row>
    <row r="815" spans="1:13">
      <c r="A815" s="57" t="s">
        <v>1930</v>
      </c>
      <c r="B815" s="58">
        <f t="shared" si="50"/>
        <v>39502</v>
      </c>
      <c r="C815" s="59">
        <f t="shared" si="51"/>
        <v>2008</v>
      </c>
      <c r="D815" s="60" t="s">
        <v>362</v>
      </c>
      <c r="E815" s="60" t="s">
        <v>362</v>
      </c>
      <c r="F815" s="61">
        <v>10.798</v>
      </c>
      <c r="H815" s="62" t="s">
        <v>1931</v>
      </c>
      <c r="I815" s="58">
        <f t="shared" si="53"/>
        <v>44251</v>
      </c>
      <c r="J815" s="60">
        <f t="shared" si="52"/>
        <v>2021</v>
      </c>
      <c r="K815" s="64">
        <v>20.583300000000001</v>
      </c>
      <c r="L815" s="64">
        <v>20.6783</v>
      </c>
      <c r="M815" s="64">
        <v>20.4222</v>
      </c>
    </row>
    <row r="816" spans="1:13">
      <c r="A816" s="65" t="s">
        <v>1932</v>
      </c>
      <c r="B816" s="66">
        <f t="shared" si="50"/>
        <v>39503</v>
      </c>
      <c r="C816" s="67">
        <f t="shared" si="51"/>
        <v>2008</v>
      </c>
      <c r="D816" s="68">
        <v>10.785500000000001</v>
      </c>
      <c r="E816" s="68">
        <v>10.7818</v>
      </c>
      <c r="F816" s="68">
        <v>10.798</v>
      </c>
      <c r="H816" s="69" t="s">
        <v>1933</v>
      </c>
      <c r="I816" s="66">
        <f t="shared" si="53"/>
        <v>44252</v>
      </c>
      <c r="J816" s="70">
        <f t="shared" si="52"/>
        <v>2021</v>
      </c>
      <c r="K816" s="71">
        <v>20.475200000000001</v>
      </c>
      <c r="L816" s="71">
        <v>20.583300000000001</v>
      </c>
      <c r="M816" s="71">
        <v>20.6783</v>
      </c>
    </row>
    <row r="817" spans="1:13">
      <c r="A817" s="57" t="s">
        <v>1934</v>
      </c>
      <c r="B817" s="58">
        <f t="shared" si="50"/>
        <v>39504</v>
      </c>
      <c r="C817" s="59">
        <f t="shared" si="51"/>
        <v>2008</v>
      </c>
      <c r="D817" s="61">
        <v>10.743</v>
      </c>
      <c r="E817" s="61">
        <v>10.785500000000001</v>
      </c>
      <c r="F817" s="61">
        <v>10.7818</v>
      </c>
      <c r="H817" s="62" t="s">
        <v>1935</v>
      </c>
      <c r="I817" s="58">
        <f t="shared" si="53"/>
        <v>44253</v>
      </c>
      <c r="J817" s="60">
        <f t="shared" si="52"/>
        <v>2021</v>
      </c>
      <c r="K817" s="64">
        <v>20.8523</v>
      </c>
      <c r="L817" s="64">
        <v>20.475200000000001</v>
      </c>
      <c r="M817" s="64">
        <v>20.583300000000001</v>
      </c>
    </row>
    <row r="818" spans="1:13">
      <c r="A818" s="65" t="s">
        <v>1936</v>
      </c>
      <c r="B818" s="66">
        <f t="shared" si="50"/>
        <v>39505</v>
      </c>
      <c r="C818" s="67">
        <f t="shared" si="51"/>
        <v>2008</v>
      </c>
      <c r="D818" s="68">
        <v>10.734400000000001</v>
      </c>
      <c r="E818" s="68">
        <v>10.743</v>
      </c>
      <c r="F818" s="68">
        <v>10.785500000000001</v>
      </c>
      <c r="H818" s="69" t="s">
        <v>1937</v>
      </c>
      <c r="I818" s="66">
        <f t="shared" si="53"/>
        <v>44254</v>
      </c>
      <c r="J818" s="70">
        <f t="shared" si="52"/>
        <v>2021</v>
      </c>
      <c r="K818" s="71">
        <v>20.939</v>
      </c>
      <c r="L818" s="71">
        <v>20.8523</v>
      </c>
      <c r="M818" s="71">
        <v>20.475200000000001</v>
      </c>
    </row>
    <row r="819" spans="1:13">
      <c r="A819" s="57" t="s">
        <v>1938</v>
      </c>
      <c r="B819" s="58">
        <f t="shared" si="50"/>
        <v>39506</v>
      </c>
      <c r="C819" s="59">
        <f t="shared" si="51"/>
        <v>2008</v>
      </c>
      <c r="D819" s="61">
        <v>10.6813</v>
      </c>
      <c r="E819" s="61">
        <v>10.734400000000001</v>
      </c>
      <c r="F819" s="61">
        <v>10.743</v>
      </c>
      <c r="H819" s="62" t="s">
        <v>1939</v>
      </c>
      <c r="I819" s="58">
        <f t="shared" si="53"/>
        <v>44255</v>
      </c>
      <c r="J819" s="60">
        <f t="shared" si="52"/>
        <v>2021</v>
      </c>
      <c r="K819" s="63" t="s">
        <v>362</v>
      </c>
      <c r="L819" s="63" t="s">
        <v>362</v>
      </c>
      <c r="M819" s="64">
        <v>20.8523</v>
      </c>
    </row>
    <row r="820" spans="1:13">
      <c r="A820" s="65" t="s">
        <v>1940</v>
      </c>
      <c r="B820" s="66">
        <f t="shared" si="50"/>
        <v>39507</v>
      </c>
      <c r="C820" s="67">
        <f t="shared" si="51"/>
        <v>2008</v>
      </c>
      <c r="D820" s="68">
        <v>10.724299999999999</v>
      </c>
      <c r="E820" s="68">
        <v>10.6813</v>
      </c>
      <c r="F820" s="68">
        <v>10.734400000000001</v>
      </c>
      <c r="H820" s="69" t="s">
        <v>1941</v>
      </c>
      <c r="I820" s="66">
        <f t="shared" si="53"/>
        <v>44256</v>
      </c>
      <c r="J820" s="70">
        <f t="shared" si="52"/>
        <v>2021</v>
      </c>
      <c r="K820" s="72" t="s">
        <v>362</v>
      </c>
      <c r="L820" s="72" t="s">
        <v>362</v>
      </c>
      <c r="M820" s="71">
        <v>20.8523</v>
      </c>
    </row>
    <row r="821" spans="1:13">
      <c r="A821" s="57" t="s">
        <v>1942</v>
      </c>
      <c r="B821" s="58">
        <f t="shared" si="50"/>
        <v>39508</v>
      </c>
      <c r="C821" s="59">
        <f t="shared" si="51"/>
        <v>2008</v>
      </c>
      <c r="D821" s="60" t="s">
        <v>362</v>
      </c>
      <c r="E821" s="60" t="s">
        <v>362</v>
      </c>
      <c r="F821" s="61">
        <v>10.6813</v>
      </c>
      <c r="H821" s="62" t="s">
        <v>1943</v>
      </c>
      <c r="I821" s="58">
        <f t="shared" si="53"/>
        <v>44256</v>
      </c>
      <c r="J821" s="60">
        <f t="shared" si="52"/>
        <v>2021</v>
      </c>
      <c r="K821" s="64">
        <v>20.612300000000001</v>
      </c>
      <c r="L821" s="64">
        <v>20.939</v>
      </c>
      <c r="M821" s="64">
        <v>20.8523</v>
      </c>
    </row>
    <row r="822" spans="1:13">
      <c r="A822" s="65" t="s">
        <v>1944</v>
      </c>
      <c r="B822" s="66">
        <f t="shared" si="50"/>
        <v>39509</v>
      </c>
      <c r="C822" s="67">
        <f t="shared" si="51"/>
        <v>2008</v>
      </c>
      <c r="D822" s="70" t="s">
        <v>362</v>
      </c>
      <c r="E822" s="70" t="s">
        <v>362</v>
      </c>
      <c r="F822" s="68">
        <v>10.6813</v>
      </c>
      <c r="H822" s="69" t="s">
        <v>1945</v>
      </c>
      <c r="I822" s="66">
        <f t="shared" si="53"/>
        <v>44257</v>
      </c>
      <c r="J822" s="70">
        <f t="shared" si="52"/>
        <v>2021</v>
      </c>
      <c r="K822" s="71">
        <v>20.690300000000001</v>
      </c>
      <c r="L822" s="71">
        <v>20.612300000000001</v>
      </c>
      <c r="M822" s="71">
        <v>20.939</v>
      </c>
    </row>
    <row r="823" spans="1:13">
      <c r="A823" s="57" t="s">
        <v>1946</v>
      </c>
      <c r="B823" s="58">
        <f t="shared" si="50"/>
        <v>39510</v>
      </c>
      <c r="C823" s="59">
        <f t="shared" si="51"/>
        <v>2008</v>
      </c>
      <c r="D823" s="61">
        <v>10.704599999999999</v>
      </c>
      <c r="E823" s="61">
        <v>10.724299999999999</v>
      </c>
      <c r="F823" s="61">
        <v>10.6813</v>
      </c>
      <c r="H823" s="62" t="s">
        <v>1947</v>
      </c>
      <c r="I823" s="58">
        <f t="shared" si="53"/>
        <v>44258</v>
      </c>
      <c r="J823" s="60">
        <f t="shared" si="52"/>
        <v>2021</v>
      </c>
      <c r="K823" s="64">
        <v>20.895700000000001</v>
      </c>
      <c r="L823" s="64">
        <v>20.690300000000001</v>
      </c>
      <c r="M823" s="64">
        <v>20.612300000000001</v>
      </c>
    </row>
    <row r="824" spans="1:13">
      <c r="A824" s="65" t="s">
        <v>1948</v>
      </c>
      <c r="B824" s="66">
        <f t="shared" si="50"/>
        <v>39511</v>
      </c>
      <c r="C824" s="67">
        <f t="shared" si="51"/>
        <v>2008</v>
      </c>
      <c r="D824" s="68">
        <v>10.7098</v>
      </c>
      <c r="E824" s="68">
        <v>10.704599999999999</v>
      </c>
      <c r="F824" s="68">
        <v>10.724299999999999</v>
      </c>
      <c r="H824" s="69" t="s">
        <v>1949</v>
      </c>
      <c r="I824" s="66">
        <f t="shared" si="53"/>
        <v>44259</v>
      </c>
      <c r="J824" s="70">
        <f t="shared" si="52"/>
        <v>2021</v>
      </c>
      <c r="K824" s="71">
        <v>20.849799999999998</v>
      </c>
      <c r="L824" s="71">
        <v>20.895700000000001</v>
      </c>
      <c r="M824" s="71">
        <v>20.690300000000001</v>
      </c>
    </row>
    <row r="825" spans="1:13">
      <c r="A825" s="57" t="s">
        <v>1950</v>
      </c>
      <c r="B825" s="58">
        <f t="shared" si="50"/>
        <v>39512</v>
      </c>
      <c r="C825" s="59">
        <f t="shared" si="51"/>
        <v>2008</v>
      </c>
      <c r="D825" s="61">
        <v>10.697800000000001</v>
      </c>
      <c r="E825" s="61">
        <v>10.7098</v>
      </c>
      <c r="F825" s="61">
        <v>10.704599999999999</v>
      </c>
      <c r="H825" s="62" t="s">
        <v>1951</v>
      </c>
      <c r="I825" s="58">
        <f t="shared" si="53"/>
        <v>44260</v>
      </c>
      <c r="J825" s="60">
        <f t="shared" si="52"/>
        <v>2021</v>
      </c>
      <c r="K825" s="64">
        <v>21.263500000000001</v>
      </c>
      <c r="L825" s="64">
        <v>20.849799999999998</v>
      </c>
      <c r="M825" s="64">
        <v>20.895700000000001</v>
      </c>
    </row>
    <row r="826" spans="1:13">
      <c r="A826" s="65" t="s">
        <v>1952</v>
      </c>
      <c r="B826" s="66">
        <f t="shared" si="50"/>
        <v>39513</v>
      </c>
      <c r="C826" s="67">
        <f t="shared" si="51"/>
        <v>2008</v>
      </c>
      <c r="D826" s="68">
        <v>10.764900000000001</v>
      </c>
      <c r="E826" s="68">
        <v>10.697800000000001</v>
      </c>
      <c r="F826" s="68">
        <v>10.7098</v>
      </c>
      <c r="H826" s="69" t="s">
        <v>1953</v>
      </c>
      <c r="I826" s="66">
        <f t="shared" si="53"/>
        <v>44261</v>
      </c>
      <c r="J826" s="70">
        <f t="shared" si="52"/>
        <v>2021</v>
      </c>
      <c r="K826" s="72" t="s">
        <v>362</v>
      </c>
      <c r="L826" s="72" t="s">
        <v>362</v>
      </c>
      <c r="M826" s="71">
        <v>20.849799999999998</v>
      </c>
    </row>
    <row r="827" spans="1:13">
      <c r="A827" s="57" t="s">
        <v>1954</v>
      </c>
      <c r="B827" s="58">
        <f t="shared" si="50"/>
        <v>39514</v>
      </c>
      <c r="C827" s="59">
        <f t="shared" si="51"/>
        <v>2008</v>
      </c>
      <c r="D827" s="61">
        <v>10.8383</v>
      </c>
      <c r="E827" s="61">
        <v>10.764900000000001</v>
      </c>
      <c r="F827" s="61">
        <v>10.697800000000001</v>
      </c>
      <c r="H827" s="62" t="s">
        <v>1955</v>
      </c>
      <c r="I827" s="58">
        <f t="shared" si="53"/>
        <v>44262</v>
      </c>
      <c r="J827" s="60">
        <f t="shared" si="52"/>
        <v>2021</v>
      </c>
      <c r="K827" s="63" t="s">
        <v>362</v>
      </c>
      <c r="L827" s="63" t="s">
        <v>362</v>
      </c>
      <c r="M827" s="64">
        <v>20.849799999999998</v>
      </c>
    </row>
    <row r="828" spans="1:13">
      <c r="A828" s="65" t="s">
        <v>1956</v>
      </c>
      <c r="B828" s="66">
        <f t="shared" si="50"/>
        <v>39515</v>
      </c>
      <c r="C828" s="67">
        <f t="shared" si="51"/>
        <v>2008</v>
      </c>
      <c r="D828" s="70" t="s">
        <v>362</v>
      </c>
      <c r="E828" s="70" t="s">
        <v>362</v>
      </c>
      <c r="F828" s="68">
        <v>10.764900000000001</v>
      </c>
      <c r="H828" s="69" t="s">
        <v>1957</v>
      </c>
      <c r="I828" s="66">
        <f t="shared" si="53"/>
        <v>44263</v>
      </c>
      <c r="J828" s="70">
        <f t="shared" si="52"/>
        <v>2021</v>
      </c>
      <c r="K828" s="71">
        <v>21.4177</v>
      </c>
      <c r="L828" s="71">
        <v>21.263500000000001</v>
      </c>
      <c r="M828" s="71">
        <v>20.849799999999998</v>
      </c>
    </row>
    <row r="829" spans="1:13">
      <c r="A829" s="57" t="s">
        <v>1958</v>
      </c>
      <c r="B829" s="58">
        <f t="shared" si="50"/>
        <v>39516</v>
      </c>
      <c r="C829" s="59">
        <f t="shared" si="51"/>
        <v>2008</v>
      </c>
      <c r="D829" s="60" t="s">
        <v>362</v>
      </c>
      <c r="E829" s="60" t="s">
        <v>362</v>
      </c>
      <c r="F829" s="61">
        <v>10.764900000000001</v>
      </c>
      <c r="H829" s="62" t="s">
        <v>1959</v>
      </c>
      <c r="I829" s="58">
        <f t="shared" si="53"/>
        <v>44264</v>
      </c>
      <c r="J829" s="60">
        <f t="shared" si="52"/>
        <v>2021</v>
      </c>
      <c r="K829" s="64">
        <v>21.2575</v>
      </c>
      <c r="L829" s="64">
        <v>21.4177</v>
      </c>
      <c r="M829" s="64">
        <v>21.263500000000001</v>
      </c>
    </row>
    <row r="830" spans="1:13">
      <c r="A830" s="65" t="s">
        <v>1960</v>
      </c>
      <c r="B830" s="66">
        <f t="shared" si="50"/>
        <v>39517</v>
      </c>
      <c r="C830" s="67">
        <f t="shared" si="51"/>
        <v>2008</v>
      </c>
      <c r="D830" s="68">
        <v>10.847799999999999</v>
      </c>
      <c r="E830" s="68">
        <v>10.8383</v>
      </c>
      <c r="F830" s="68">
        <v>10.764900000000001</v>
      </c>
      <c r="H830" s="69" t="s">
        <v>1961</v>
      </c>
      <c r="I830" s="66">
        <f t="shared" si="53"/>
        <v>44265</v>
      </c>
      <c r="J830" s="70">
        <f t="shared" si="52"/>
        <v>2021</v>
      </c>
      <c r="K830" s="71">
        <v>20.985299999999999</v>
      </c>
      <c r="L830" s="71">
        <v>21.2575</v>
      </c>
      <c r="M830" s="71">
        <v>21.4177</v>
      </c>
    </row>
    <row r="831" spans="1:13">
      <c r="A831" s="57" t="s">
        <v>1962</v>
      </c>
      <c r="B831" s="58">
        <f t="shared" si="50"/>
        <v>39518</v>
      </c>
      <c r="C831" s="59">
        <f t="shared" si="51"/>
        <v>2008</v>
      </c>
      <c r="D831" s="61">
        <v>10.7965</v>
      </c>
      <c r="E831" s="61">
        <v>10.847799999999999</v>
      </c>
      <c r="F831" s="61">
        <v>10.8383</v>
      </c>
      <c r="H831" s="62" t="s">
        <v>1963</v>
      </c>
      <c r="I831" s="58">
        <f t="shared" si="53"/>
        <v>44266</v>
      </c>
      <c r="J831" s="60">
        <f t="shared" si="52"/>
        <v>2021</v>
      </c>
      <c r="K831" s="64">
        <v>20.7133</v>
      </c>
      <c r="L831" s="64">
        <v>20.985299999999999</v>
      </c>
      <c r="M831" s="64">
        <v>21.2575</v>
      </c>
    </row>
    <row r="832" spans="1:13">
      <c r="A832" s="65" t="s">
        <v>1964</v>
      </c>
      <c r="B832" s="66">
        <f t="shared" si="50"/>
        <v>39519</v>
      </c>
      <c r="C832" s="67">
        <f t="shared" si="51"/>
        <v>2008</v>
      </c>
      <c r="D832" s="68">
        <v>10.7735</v>
      </c>
      <c r="E832" s="68">
        <v>10.7965</v>
      </c>
      <c r="F832" s="68">
        <v>10.847799999999999</v>
      </c>
      <c r="H832" s="69" t="s">
        <v>1965</v>
      </c>
      <c r="I832" s="66">
        <f t="shared" si="53"/>
        <v>44267</v>
      </c>
      <c r="J832" s="70">
        <f t="shared" si="52"/>
        <v>2021</v>
      </c>
      <c r="K832" s="71">
        <v>20.7637</v>
      </c>
      <c r="L832" s="71">
        <v>20.7133</v>
      </c>
      <c r="M832" s="71">
        <v>20.985299999999999</v>
      </c>
    </row>
    <row r="833" spans="1:13">
      <c r="A833" s="57" t="s">
        <v>1966</v>
      </c>
      <c r="B833" s="58">
        <f t="shared" si="50"/>
        <v>39520</v>
      </c>
      <c r="C833" s="59">
        <f t="shared" si="51"/>
        <v>2008</v>
      </c>
      <c r="D833" s="61">
        <v>10.777799999999999</v>
      </c>
      <c r="E833" s="61">
        <v>10.7735</v>
      </c>
      <c r="F833" s="61">
        <v>10.7965</v>
      </c>
      <c r="H833" s="62" t="s">
        <v>1967</v>
      </c>
      <c r="I833" s="58">
        <f t="shared" si="53"/>
        <v>44268</v>
      </c>
      <c r="J833" s="60">
        <f t="shared" si="52"/>
        <v>2021</v>
      </c>
      <c r="K833" s="63" t="s">
        <v>362</v>
      </c>
      <c r="L833" s="63" t="s">
        <v>362</v>
      </c>
      <c r="M833" s="64">
        <v>20.7133</v>
      </c>
    </row>
    <row r="834" spans="1:13">
      <c r="A834" s="65" t="s">
        <v>1968</v>
      </c>
      <c r="B834" s="66">
        <f t="shared" si="50"/>
        <v>39521</v>
      </c>
      <c r="C834" s="67">
        <f t="shared" si="51"/>
        <v>2008</v>
      </c>
      <c r="D834" s="68">
        <v>10.7613</v>
      </c>
      <c r="E834" s="68">
        <v>10.777799999999999</v>
      </c>
      <c r="F834" s="68">
        <v>10.7735</v>
      </c>
      <c r="H834" s="69" t="s">
        <v>1969</v>
      </c>
      <c r="I834" s="66">
        <f t="shared" si="53"/>
        <v>44269</v>
      </c>
      <c r="J834" s="70">
        <f t="shared" si="52"/>
        <v>2021</v>
      </c>
      <c r="K834" s="72" t="s">
        <v>362</v>
      </c>
      <c r="L834" s="72" t="s">
        <v>362</v>
      </c>
      <c r="M834" s="71">
        <v>20.7133</v>
      </c>
    </row>
    <row r="835" spans="1:13">
      <c r="A835" s="57" t="s">
        <v>1970</v>
      </c>
      <c r="B835" s="58">
        <f t="shared" si="50"/>
        <v>39522</v>
      </c>
      <c r="C835" s="59">
        <f t="shared" si="51"/>
        <v>2008</v>
      </c>
      <c r="D835" s="60" t="s">
        <v>362</v>
      </c>
      <c r="E835" s="60" t="s">
        <v>362</v>
      </c>
      <c r="F835" s="61">
        <v>10.777799999999999</v>
      </c>
      <c r="H835" s="62" t="s">
        <v>1971</v>
      </c>
      <c r="I835" s="58">
        <f t="shared" si="53"/>
        <v>44270</v>
      </c>
      <c r="J835" s="60">
        <f t="shared" si="52"/>
        <v>2021</v>
      </c>
      <c r="K835" s="63" t="s">
        <v>362</v>
      </c>
      <c r="L835" s="63" t="s">
        <v>362</v>
      </c>
      <c r="M835" s="64">
        <v>20.7133</v>
      </c>
    </row>
    <row r="836" spans="1:13">
      <c r="A836" s="65" t="s">
        <v>1972</v>
      </c>
      <c r="B836" s="66">
        <f t="shared" si="50"/>
        <v>39523</v>
      </c>
      <c r="C836" s="67">
        <f t="shared" si="51"/>
        <v>2008</v>
      </c>
      <c r="D836" s="70" t="s">
        <v>362</v>
      </c>
      <c r="E836" s="70" t="s">
        <v>362</v>
      </c>
      <c r="F836" s="68">
        <v>10.777799999999999</v>
      </c>
      <c r="H836" s="69" t="s">
        <v>1973</v>
      </c>
      <c r="I836" s="66">
        <f t="shared" si="53"/>
        <v>44271</v>
      </c>
      <c r="J836" s="70">
        <f t="shared" si="52"/>
        <v>2021</v>
      </c>
      <c r="K836" s="71">
        <v>20.575299999999999</v>
      </c>
      <c r="L836" s="71">
        <v>20.7637</v>
      </c>
      <c r="M836" s="71">
        <v>20.7133</v>
      </c>
    </row>
    <row r="837" spans="1:13">
      <c r="A837" s="57" t="s">
        <v>1974</v>
      </c>
      <c r="B837" s="58">
        <f t="shared" si="50"/>
        <v>39524</v>
      </c>
      <c r="C837" s="59">
        <f t="shared" si="51"/>
        <v>2008</v>
      </c>
      <c r="D837" s="60" t="s">
        <v>362</v>
      </c>
      <c r="E837" s="60" t="s">
        <v>362</v>
      </c>
      <c r="F837" s="61">
        <v>10.777799999999999</v>
      </c>
      <c r="H837" s="62" t="s">
        <v>1975</v>
      </c>
      <c r="I837" s="58">
        <f t="shared" si="53"/>
        <v>44272</v>
      </c>
      <c r="J837" s="60">
        <f t="shared" si="52"/>
        <v>2021</v>
      </c>
      <c r="K837" s="64">
        <v>20.6828</v>
      </c>
      <c r="L837" s="64">
        <v>20.575299999999999</v>
      </c>
      <c r="M837" s="64">
        <v>20.7637</v>
      </c>
    </row>
    <row r="838" spans="1:13">
      <c r="A838" s="65" t="s">
        <v>1976</v>
      </c>
      <c r="B838" s="66">
        <f t="shared" si="50"/>
        <v>39525</v>
      </c>
      <c r="C838" s="67">
        <f t="shared" si="51"/>
        <v>2008</v>
      </c>
      <c r="D838" s="68">
        <v>10.704000000000001</v>
      </c>
      <c r="E838" s="68">
        <v>10.7613</v>
      </c>
      <c r="F838" s="68">
        <v>10.777799999999999</v>
      </c>
      <c r="H838" s="69" t="s">
        <v>1977</v>
      </c>
      <c r="I838" s="66">
        <f t="shared" si="53"/>
        <v>44273</v>
      </c>
      <c r="J838" s="70">
        <f t="shared" si="52"/>
        <v>2021</v>
      </c>
      <c r="K838" s="71">
        <v>20.441500000000001</v>
      </c>
      <c r="L838" s="71">
        <v>20.6828</v>
      </c>
      <c r="M838" s="71">
        <v>20.575299999999999</v>
      </c>
    </row>
    <row r="839" spans="1:13">
      <c r="A839" s="57" t="s">
        <v>1978</v>
      </c>
      <c r="B839" s="58">
        <f t="shared" si="50"/>
        <v>39526</v>
      </c>
      <c r="C839" s="59">
        <f t="shared" si="51"/>
        <v>2008</v>
      </c>
      <c r="D839" s="61">
        <v>10.6944</v>
      </c>
      <c r="E839" s="61">
        <v>10.704000000000001</v>
      </c>
      <c r="F839" s="61">
        <v>10.7613</v>
      </c>
      <c r="H839" s="62" t="s">
        <v>1979</v>
      </c>
      <c r="I839" s="58">
        <f t="shared" si="53"/>
        <v>44274</v>
      </c>
      <c r="J839" s="60">
        <f t="shared" si="52"/>
        <v>2021</v>
      </c>
      <c r="K839" s="64">
        <v>20.482299999999999</v>
      </c>
      <c r="L839" s="64">
        <v>20.441500000000001</v>
      </c>
      <c r="M839" s="64">
        <v>20.6828</v>
      </c>
    </row>
    <row r="840" spans="1:13">
      <c r="A840" s="65" t="s">
        <v>1980</v>
      </c>
      <c r="B840" s="66">
        <f t="shared" si="50"/>
        <v>39527</v>
      </c>
      <c r="C840" s="67">
        <f t="shared" si="51"/>
        <v>2008</v>
      </c>
      <c r="D840" s="70" t="s">
        <v>362</v>
      </c>
      <c r="E840" s="70" t="s">
        <v>362</v>
      </c>
      <c r="F840" s="68">
        <v>10.704000000000001</v>
      </c>
      <c r="H840" s="69" t="s">
        <v>1981</v>
      </c>
      <c r="I840" s="66">
        <f t="shared" si="53"/>
        <v>44275</v>
      </c>
      <c r="J840" s="70">
        <f t="shared" si="52"/>
        <v>2021</v>
      </c>
      <c r="K840" s="72" t="s">
        <v>362</v>
      </c>
      <c r="L840" s="72" t="s">
        <v>362</v>
      </c>
      <c r="M840" s="71">
        <v>20.441500000000001</v>
      </c>
    </row>
    <row r="841" spans="1:13">
      <c r="A841" s="57" t="s">
        <v>1982</v>
      </c>
      <c r="B841" s="58">
        <f t="shared" si="50"/>
        <v>39528</v>
      </c>
      <c r="C841" s="59">
        <f t="shared" si="51"/>
        <v>2008</v>
      </c>
      <c r="D841" s="60" t="s">
        <v>362</v>
      </c>
      <c r="E841" s="60" t="s">
        <v>362</v>
      </c>
      <c r="F841" s="61">
        <v>10.704000000000001</v>
      </c>
      <c r="H841" s="62" t="s">
        <v>1983</v>
      </c>
      <c r="I841" s="58">
        <f t="shared" si="53"/>
        <v>44276</v>
      </c>
      <c r="J841" s="60">
        <f t="shared" si="52"/>
        <v>2021</v>
      </c>
      <c r="K841" s="63" t="s">
        <v>362</v>
      </c>
      <c r="L841" s="63" t="s">
        <v>362</v>
      </c>
      <c r="M841" s="64">
        <v>20.441500000000001</v>
      </c>
    </row>
    <row r="842" spans="1:13">
      <c r="A842" s="65" t="s">
        <v>1984</v>
      </c>
      <c r="B842" s="66">
        <f t="shared" si="50"/>
        <v>39529</v>
      </c>
      <c r="C842" s="67">
        <f t="shared" si="51"/>
        <v>2008</v>
      </c>
      <c r="D842" s="70" t="s">
        <v>362</v>
      </c>
      <c r="E842" s="70" t="s">
        <v>362</v>
      </c>
      <c r="F842" s="68">
        <v>10.704000000000001</v>
      </c>
      <c r="H842" s="69" t="s">
        <v>1985</v>
      </c>
      <c r="I842" s="66">
        <f t="shared" si="53"/>
        <v>44277</v>
      </c>
      <c r="J842" s="70">
        <f t="shared" si="52"/>
        <v>2021</v>
      </c>
      <c r="K842" s="71">
        <v>20.578800000000001</v>
      </c>
      <c r="L842" s="71">
        <v>20.482299999999999</v>
      </c>
      <c r="M842" s="71">
        <v>20.441500000000001</v>
      </c>
    </row>
    <row r="843" spans="1:13">
      <c r="A843" s="57" t="s">
        <v>1986</v>
      </c>
      <c r="B843" s="58">
        <f t="shared" si="50"/>
        <v>39530</v>
      </c>
      <c r="C843" s="59">
        <f t="shared" si="51"/>
        <v>2008</v>
      </c>
      <c r="D843" s="60" t="s">
        <v>362</v>
      </c>
      <c r="E843" s="60" t="s">
        <v>362</v>
      </c>
      <c r="F843" s="61">
        <v>10.704000000000001</v>
      </c>
      <c r="H843" s="62" t="s">
        <v>1987</v>
      </c>
      <c r="I843" s="58">
        <f t="shared" si="53"/>
        <v>44278</v>
      </c>
      <c r="J843" s="60">
        <f t="shared" si="52"/>
        <v>2021</v>
      </c>
      <c r="K843" s="64">
        <v>20.640799999999999</v>
      </c>
      <c r="L843" s="64">
        <v>20.578800000000001</v>
      </c>
      <c r="M843" s="64">
        <v>20.482299999999999</v>
      </c>
    </row>
    <row r="844" spans="1:13">
      <c r="A844" s="65" t="s">
        <v>1988</v>
      </c>
      <c r="B844" s="66">
        <f t="shared" si="50"/>
        <v>39531</v>
      </c>
      <c r="C844" s="67">
        <f t="shared" si="51"/>
        <v>2008</v>
      </c>
      <c r="D844" s="68">
        <v>10.674799999999999</v>
      </c>
      <c r="E844" s="68">
        <v>10.6944</v>
      </c>
      <c r="F844" s="68">
        <v>10.704000000000001</v>
      </c>
      <c r="H844" s="69" t="s">
        <v>1989</v>
      </c>
      <c r="I844" s="66">
        <f t="shared" si="53"/>
        <v>44279</v>
      </c>
      <c r="J844" s="70">
        <f t="shared" si="52"/>
        <v>2021</v>
      </c>
      <c r="K844" s="71">
        <v>20.7882</v>
      </c>
      <c r="L844" s="71">
        <v>20.640799999999999</v>
      </c>
      <c r="M844" s="71">
        <v>20.578800000000001</v>
      </c>
    </row>
    <row r="845" spans="1:13">
      <c r="A845" s="57" t="s">
        <v>1990</v>
      </c>
      <c r="B845" s="58">
        <f t="shared" si="50"/>
        <v>39532</v>
      </c>
      <c r="C845" s="59">
        <f t="shared" si="51"/>
        <v>2008</v>
      </c>
      <c r="D845" s="61">
        <v>10.6793</v>
      </c>
      <c r="E845" s="61">
        <v>10.674799999999999</v>
      </c>
      <c r="F845" s="61">
        <v>10.6944</v>
      </c>
      <c r="H845" s="62" t="s">
        <v>1991</v>
      </c>
      <c r="I845" s="58">
        <f t="shared" si="53"/>
        <v>44280</v>
      </c>
      <c r="J845" s="60">
        <f t="shared" si="52"/>
        <v>2021</v>
      </c>
      <c r="K845" s="64">
        <v>20.766200000000001</v>
      </c>
      <c r="L845" s="64">
        <v>20.7882</v>
      </c>
      <c r="M845" s="64">
        <v>20.640799999999999</v>
      </c>
    </row>
    <row r="846" spans="1:13">
      <c r="A846" s="65" t="s">
        <v>1992</v>
      </c>
      <c r="B846" s="66">
        <f t="shared" si="50"/>
        <v>39533</v>
      </c>
      <c r="C846" s="67">
        <f t="shared" si="51"/>
        <v>2008</v>
      </c>
      <c r="D846" s="68">
        <v>10.6957</v>
      </c>
      <c r="E846" s="68">
        <v>10.6793</v>
      </c>
      <c r="F846" s="68">
        <v>10.674799999999999</v>
      </c>
      <c r="H846" s="69" t="s">
        <v>1993</v>
      </c>
      <c r="I846" s="66">
        <f t="shared" si="53"/>
        <v>44281</v>
      </c>
      <c r="J846" s="70">
        <f t="shared" si="52"/>
        <v>2021</v>
      </c>
      <c r="K846" s="71">
        <v>20.567699999999999</v>
      </c>
      <c r="L846" s="71">
        <v>20.766200000000001</v>
      </c>
      <c r="M846" s="71">
        <v>20.7882</v>
      </c>
    </row>
    <row r="847" spans="1:13">
      <c r="A847" s="57" t="s">
        <v>1994</v>
      </c>
      <c r="B847" s="58">
        <f t="shared" si="50"/>
        <v>39534</v>
      </c>
      <c r="C847" s="59">
        <f t="shared" si="51"/>
        <v>2008</v>
      </c>
      <c r="D847" s="61">
        <v>10.696199999999999</v>
      </c>
      <c r="E847" s="61">
        <v>10.6957</v>
      </c>
      <c r="F847" s="61">
        <v>10.6793</v>
      </c>
      <c r="H847" s="62" t="s">
        <v>1995</v>
      </c>
      <c r="I847" s="58">
        <f t="shared" si="53"/>
        <v>44282</v>
      </c>
      <c r="J847" s="60">
        <f t="shared" si="52"/>
        <v>2021</v>
      </c>
      <c r="K847" s="63" t="s">
        <v>362</v>
      </c>
      <c r="L847" s="63" t="s">
        <v>362</v>
      </c>
      <c r="M847" s="64">
        <v>20.766200000000001</v>
      </c>
    </row>
    <row r="848" spans="1:13">
      <c r="A848" s="65" t="s">
        <v>1996</v>
      </c>
      <c r="B848" s="66">
        <f t="shared" si="50"/>
        <v>39535</v>
      </c>
      <c r="C848" s="67">
        <f t="shared" si="51"/>
        <v>2008</v>
      </c>
      <c r="D848" s="68">
        <v>10.698700000000001</v>
      </c>
      <c r="E848" s="68">
        <v>10.696199999999999</v>
      </c>
      <c r="F848" s="68">
        <v>10.6957</v>
      </c>
      <c r="H848" s="69" t="s">
        <v>1997</v>
      </c>
      <c r="I848" s="66">
        <f t="shared" si="53"/>
        <v>44283</v>
      </c>
      <c r="J848" s="70">
        <f t="shared" si="52"/>
        <v>2021</v>
      </c>
      <c r="K848" s="72" t="s">
        <v>362</v>
      </c>
      <c r="L848" s="72" t="s">
        <v>362</v>
      </c>
      <c r="M848" s="71">
        <v>20.766200000000001</v>
      </c>
    </row>
    <row r="849" spans="1:13">
      <c r="A849" s="57" t="s">
        <v>1998</v>
      </c>
      <c r="B849" s="58">
        <f t="shared" si="50"/>
        <v>39536</v>
      </c>
      <c r="C849" s="59">
        <f t="shared" si="51"/>
        <v>2008</v>
      </c>
      <c r="D849" s="60" t="s">
        <v>362</v>
      </c>
      <c r="E849" s="60" t="s">
        <v>362</v>
      </c>
      <c r="F849" s="61">
        <v>10.696199999999999</v>
      </c>
      <c r="H849" s="62" t="s">
        <v>1999</v>
      </c>
      <c r="I849" s="58">
        <f t="shared" si="53"/>
        <v>44284</v>
      </c>
      <c r="J849" s="60">
        <f t="shared" si="52"/>
        <v>2021</v>
      </c>
      <c r="K849" s="64">
        <v>20.604700000000001</v>
      </c>
      <c r="L849" s="64">
        <v>20.567699999999999</v>
      </c>
      <c r="M849" s="64">
        <v>20.766200000000001</v>
      </c>
    </row>
    <row r="850" spans="1:13">
      <c r="A850" s="65" t="s">
        <v>2000</v>
      </c>
      <c r="B850" s="66">
        <f t="shared" si="50"/>
        <v>39537</v>
      </c>
      <c r="C850" s="67">
        <f t="shared" si="51"/>
        <v>2008</v>
      </c>
      <c r="D850" s="70" t="s">
        <v>362</v>
      </c>
      <c r="E850" s="70" t="s">
        <v>362</v>
      </c>
      <c r="F850" s="68">
        <v>10.696199999999999</v>
      </c>
      <c r="H850" s="69" t="s">
        <v>2001</v>
      </c>
      <c r="I850" s="66">
        <f t="shared" si="53"/>
        <v>44285</v>
      </c>
      <c r="J850" s="70">
        <f t="shared" si="52"/>
        <v>2021</v>
      </c>
      <c r="K850" s="71">
        <v>20.602499999999999</v>
      </c>
      <c r="L850" s="71">
        <v>20.604700000000001</v>
      </c>
      <c r="M850" s="71">
        <v>20.567699999999999</v>
      </c>
    </row>
    <row r="851" spans="1:13">
      <c r="A851" s="57" t="s">
        <v>2002</v>
      </c>
      <c r="B851" s="58">
        <f t="shared" si="50"/>
        <v>39538</v>
      </c>
      <c r="C851" s="59">
        <f t="shared" si="51"/>
        <v>2008</v>
      </c>
      <c r="D851" s="61">
        <v>10.648199999999999</v>
      </c>
      <c r="E851" s="61">
        <v>10.698700000000001</v>
      </c>
      <c r="F851" s="61">
        <v>10.696199999999999</v>
      </c>
      <c r="H851" s="62" t="s">
        <v>2003</v>
      </c>
      <c r="I851" s="58">
        <f t="shared" si="53"/>
        <v>44286</v>
      </c>
      <c r="J851" s="60">
        <f t="shared" si="52"/>
        <v>2021</v>
      </c>
      <c r="K851" s="64">
        <v>20.440000000000001</v>
      </c>
      <c r="L851" s="64">
        <v>20.602499999999999</v>
      </c>
      <c r="M851" s="64">
        <v>20.604700000000001</v>
      </c>
    </row>
    <row r="852" spans="1:13">
      <c r="A852" s="65" t="s">
        <v>2004</v>
      </c>
      <c r="B852" s="66">
        <f t="shared" si="50"/>
        <v>39539</v>
      </c>
      <c r="C852" s="67">
        <f t="shared" si="51"/>
        <v>2008</v>
      </c>
      <c r="D852" s="68">
        <v>10.5985</v>
      </c>
      <c r="E852" s="68">
        <v>10.648199999999999</v>
      </c>
      <c r="F852" s="68">
        <v>10.698700000000001</v>
      </c>
      <c r="H852" s="69" t="s">
        <v>2005</v>
      </c>
      <c r="I852" s="66">
        <f t="shared" si="53"/>
        <v>44287</v>
      </c>
      <c r="J852" s="70">
        <f t="shared" si="52"/>
        <v>2021</v>
      </c>
      <c r="K852" s="72" t="s">
        <v>362</v>
      </c>
      <c r="L852" s="72" t="s">
        <v>362</v>
      </c>
      <c r="M852" s="71">
        <v>20.602499999999999</v>
      </c>
    </row>
    <row r="853" spans="1:13">
      <c r="A853" s="57" t="s">
        <v>2006</v>
      </c>
      <c r="B853" s="58">
        <f t="shared" si="50"/>
        <v>39540</v>
      </c>
      <c r="C853" s="59">
        <f t="shared" si="51"/>
        <v>2008</v>
      </c>
      <c r="D853" s="61">
        <v>10.5557</v>
      </c>
      <c r="E853" s="61">
        <v>10.5985</v>
      </c>
      <c r="F853" s="61">
        <v>10.648199999999999</v>
      </c>
      <c r="H853" s="62" t="s">
        <v>2007</v>
      </c>
      <c r="I853" s="58">
        <f t="shared" si="53"/>
        <v>44288</v>
      </c>
      <c r="J853" s="60">
        <f t="shared" si="52"/>
        <v>2021</v>
      </c>
      <c r="K853" s="63" t="s">
        <v>362</v>
      </c>
      <c r="L853" s="63" t="s">
        <v>362</v>
      </c>
      <c r="M853" s="64">
        <v>20.602499999999999</v>
      </c>
    </row>
    <row r="854" spans="1:13">
      <c r="A854" s="65" t="s">
        <v>2008</v>
      </c>
      <c r="B854" s="66">
        <f t="shared" si="50"/>
        <v>39541</v>
      </c>
      <c r="C854" s="67">
        <f t="shared" si="51"/>
        <v>2008</v>
      </c>
      <c r="D854" s="68">
        <v>10.564399999999999</v>
      </c>
      <c r="E854" s="68">
        <v>10.5557</v>
      </c>
      <c r="F854" s="68">
        <v>10.5985</v>
      </c>
      <c r="H854" s="69" t="s">
        <v>2009</v>
      </c>
      <c r="I854" s="66">
        <f t="shared" si="53"/>
        <v>44289</v>
      </c>
      <c r="J854" s="70">
        <f t="shared" si="52"/>
        <v>2021</v>
      </c>
      <c r="K854" s="72" t="s">
        <v>362</v>
      </c>
      <c r="L854" s="72" t="s">
        <v>362</v>
      </c>
      <c r="M854" s="71">
        <v>20.602499999999999</v>
      </c>
    </row>
    <row r="855" spans="1:13">
      <c r="A855" s="57" t="s">
        <v>2010</v>
      </c>
      <c r="B855" s="58">
        <f t="shared" si="50"/>
        <v>39542</v>
      </c>
      <c r="C855" s="59">
        <f t="shared" si="51"/>
        <v>2008</v>
      </c>
      <c r="D855" s="61">
        <v>10.558999999999999</v>
      </c>
      <c r="E855" s="61">
        <v>10.564399999999999</v>
      </c>
      <c r="F855" s="61">
        <v>10.5557</v>
      </c>
      <c r="H855" s="62" t="s">
        <v>2011</v>
      </c>
      <c r="I855" s="58">
        <f t="shared" si="53"/>
        <v>44290</v>
      </c>
      <c r="J855" s="60">
        <f t="shared" si="52"/>
        <v>2021</v>
      </c>
      <c r="K855" s="63" t="s">
        <v>362</v>
      </c>
      <c r="L855" s="63" t="s">
        <v>362</v>
      </c>
      <c r="M855" s="64">
        <v>20.602499999999999</v>
      </c>
    </row>
    <row r="856" spans="1:13">
      <c r="A856" s="65" t="s">
        <v>2012</v>
      </c>
      <c r="B856" s="66">
        <f t="shared" si="50"/>
        <v>39543</v>
      </c>
      <c r="C856" s="67">
        <f t="shared" si="51"/>
        <v>2008</v>
      </c>
      <c r="D856" s="70" t="s">
        <v>362</v>
      </c>
      <c r="E856" s="70" t="s">
        <v>362</v>
      </c>
      <c r="F856" s="68">
        <v>10.564399999999999</v>
      </c>
      <c r="H856" s="69" t="s">
        <v>2013</v>
      </c>
      <c r="I856" s="66">
        <f t="shared" si="53"/>
        <v>44291</v>
      </c>
      <c r="J856" s="70">
        <f t="shared" si="52"/>
        <v>2021</v>
      </c>
      <c r="K856" s="71">
        <v>20.2483</v>
      </c>
      <c r="L856" s="71">
        <v>20.440000000000001</v>
      </c>
      <c r="M856" s="71">
        <v>20.602499999999999</v>
      </c>
    </row>
    <row r="857" spans="1:13">
      <c r="A857" s="57" t="s">
        <v>2014</v>
      </c>
      <c r="B857" s="58">
        <f t="shared" si="50"/>
        <v>39544</v>
      </c>
      <c r="C857" s="59">
        <f t="shared" si="51"/>
        <v>2008</v>
      </c>
      <c r="D857" s="60" t="s">
        <v>362</v>
      </c>
      <c r="E857" s="60" t="s">
        <v>362</v>
      </c>
      <c r="F857" s="61">
        <v>10.564399999999999</v>
      </c>
      <c r="H857" s="62" t="s">
        <v>2015</v>
      </c>
      <c r="I857" s="58">
        <f t="shared" si="53"/>
        <v>44292</v>
      </c>
      <c r="J857" s="60">
        <f t="shared" si="52"/>
        <v>2021</v>
      </c>
      <c r="K857" s="64">
        <v>20.161200000000001</v>
      </c>
      <c r="L857" s="64">
        <v>20.2483</v>
      </c>
      <c r="M857" s="64">
        <v>20.440000000000001</v>
      </c>
    </row>
    <row r="858" spans="1:13">
      <c r="A858" s="65" t="s">
        <v>2016</v>
      </c>
      <c r="B858" s="66">
        <f t="shared" si="50"/>
        <v>39545</v>
      </c>
      <c r="C858" s="67">
        <f t="shared" si="51"/>
        <v>2008</v>
      </c>
      <c r="D858" s="68">
        <v>10.5395</v>
      </c>
      <c r="E858" s="68">
        <v>10.558999999999999</v>
      </c>
      <c r="F858" s="68">
        <v>10.564399999999999</v>
      </c>
      <c r="H858" s="69" t="s">
        <v>2017</v>
      </c>
      <c r="I858" s="66">
        <f t="shared" si="53"/>
        <v>44293</v>
      </c>
      <c r="J858" s="70">
        <f t="shared" si="52"/>
        <v>2021</v>
      </c>
      <c r="K858" s="71">
        <v>20.176500000000001</v>
      </c>
      <c r="L858" s="71">
        <v>20.161200000000001</v>
      </c>
      <c r="M858" s="71">
        <v>20.2483</v>
      </c>
    </row>
    <row r="859" spans="1:13">
      <c r="A859" s="57" t="s">
        <v>2018</v>
      </c>
      <c r="B859" s="58">
        <f t="shared" si="50"/>
        <v>39546</v>
      </c>
      <c r="C859" s="59">
        <f t="shared" si="51"/>
        <v>2008</v>
      </c>
      <c r="D859" s="61">
        <v>10.561</v>
      </c>
      <c r="E859" s="61">
        <v>10.5395</v>
      </c>
      <c r="F859" s="61">
        <v>10.558999999999999</v>
      </c>
      <c r="H859" s="62" t="s">
        <v>2019</v>
      </c>
      <c r="I859" s="58">
        <f t="shared" si="53"/>
        <v>44294</v>
      </c>
      <c r="J859" s="60">
        <f t="shared" si="52"/>
        <v>2021</v>
      </c>
      <c r="K859" s="64">
        <v>20.088999999999999</v>
      </c>
      <c r="L859" s="64">
        <v>20.176500000000001</v>
      </c>
      <c r="M859" s="64">
        <v>20.161200000000001</v>
      </c>
    </row>
    <row r="860" spans="1:13">
      <c r="A860" s="65" t="s">
        <v>2020</v>
      </c>
      <c r="B860" s="66">
        <f t="shared" si="50"/>
        <v>39547</v>
      </c>
      <c r="C860" s="67">
        <f t="shared" si="51"/>
        <v>2008</v>
      </c>
      <c r="D860" s="68">
        <v>10.555199999999999</v>
      </c>
      <c r="E860" s="68">
        <v>10.561</v>
      </c>
      <c r="F860" s="68">
        <v>10.5395</v>
      </c>
      <c r="H860" s="69" t="s">
        <v>2021</v>
      </c>
      <c r="I860" s="66">
        <f t="shared" si="53"/>
        <v>44295</v>
      </c>
      <c r="J860" s="70">
        <f t="shared" si="52"/>
        <v>2021</v>
      </c>
      <c r="K860" s="71">
        <v>20.163</v>
      </c>
      <c r="L860" s="71">
        <v>20.088999999999999</v>
      </c>
      <c r="M860" s="71">
        <v>20.176500000000001</v>
      </c>
    </row>
    <row r="861" spans="1:13">
      <c r="A861" s="57" t="s">
        <v>2022</v>
      </c>
      <c r="B861" s="58">
        <f t="shared" si="50"/>
        <v>39548</v>
      </c>
      <c r="C861" s="59">
        <f t="shared" si="51"/>
        <v>2008</v>
      </c>
      <c r="D861" s="61">
        <v>10.5503</v>
      </c>
      <c r="E861" s="61">
        <v>10.555199999999999</v>
      </c>
      <c r="F861" s="61">
        <v>10.561</v>
      </c>
      <c r="H861" s="62" t="s">
        <v>2023</v>
      </c>
      <c r="I861" s="58">
        <f t="shared" si="53"/>
        <v>44296</v>
      </c>
      <c r="J861" s="60">
        <f t="shared" si="52"/>
        <v>2021</v>
      </c>
      <c r="K861" s="63" t="s">
        <v>362</v>
      </c>
      <c r="L861" s="63" t="s">
        <v>362</v>
      </c>
      <c r="M861" s="64">
        <v>20.088999999999999</v>
      </c>
    </row>
    <row r="862" spans="1:13">
      <c r="A862" s="65" t="s">
        <v>2024</v>
      </c>
      <c r="B862" s="66">
        <f t="shared" si="50"/>
        <v>39549</v>
      </c>
      <c r="C862" s="67">
        <f t="shared" si="51"/>
        <v>2008</v>
      </c>
      <c r="D862" s="68">
        <v>10.5337</v>
      </c>
      <c r="E862" s="68">
        <v>10.5503</v>
      </c>
      <c r="F862" s="68">
        <v>10.555199999999999</v>
      </c>
      <c r="H862" s="69" t="s">
        <v>2025</v>
      </c>
      <c r="I862" s="66">
        <f t="shared" si="53"/>
        <v>44297</v>
      </c>
      <c r="J862" s="70">
        <f t="shared" si="52"/>
        <v>2021</v>
      </c>
      <c r="K862" s="72" t="s">
        <v>362</v>
      </c>
      <c r="L862" s="72" t="s">
        <v>362</v>
      </c>
      <c r="M862" s="71">
        <v>20.088999999999999</v>
      </c>
    </row>
    <row r="863" spans="1:13">
      <c r="A863" s="57" t="s">
        <v>2026</v>
      </c>
      <c r="B863" s="58">
        <f t="shared" ref="B863:B926" si="54">DATE(RIGHT(A863,4),LEFT(RIGHT(A863,7),2),LEFT(A863,2))</f>
        <v>39550</v>
      </c>
      <c r="C863" s="59">
        <f t="shared" ref="C863:C926" si="55">YEAR(B863)</f>
        <v>2008</v>
      </c>
      <c r="D863" s="60" t="s">
        <v>362</v>
      </c>
      <c r="E863" s="60" t="s">
        <v>362</v>
      </c>
      <c r="F863" s="61">
        <v>10.5503</v>
      </c>
      <c r="H863" s="62" t="s">
        <v>2027</v>
      </c>
      <c r="I863" s="58">
        <f t="shared" si="53"/>
        <v>44298</v>
      </c>
      <c r="J863" s="60">
        <f t="shared" ref="J863:J926" si="56">YEAR(I863)</f>
        <v>2021</v>
      </c>
      <c r="K863" s="64">
        <v>20.094999999999999</v>
      </c>
      <c r="L863" s="64">
        <v>20.163</v>
      </c>
      <c r="M863" s="64">
        <v>20.088999999999999</v>
      </c>
    </row>
    <row r="864" spans="1:13">
      <c r="A864" s="65" t="s">
        <v>2028</v>
      </c>
      <c r="B864" s="66">
        <f t="shared" si="54"/>
        <v>39551</v>
      </c>
      <c r="C864" s="67">
        <f t="shared" si="55"/>
        <v>2008</v>
      </c>
      <c r="D864" s="70" t="s">
        <v>362</v>
      </c>
      <c r="E864" s="70" t="s">
        <v>362</v>
      </c>
      <c r="F864" s="68">
        <v>10.5503</v>
      </c>
      <c r="H864" s="69" t="s">
        <v>2029</v>
      </c>
      <c r="I864" s="66">
        <f t="shared" ref="I864:I927" si="57">DATE(RIGHT(H864,4),LEFT(RIGHT(A864,7),2),LEFT(A864,2))</f>
        <v>44299</v>
      </c>
      <c r="J864" s="70">
        <f t="shared" si="56"/>
        <v>2021</v>
      </c>
      <c r="K864" s="71">
        <v>20.073499999999999</v>
      </c>
      <c r="L864" s="71">
        <v>20.094999999999999</v>
      </c>
      <c r="M864" s="71">
        <v>20.163</v>
      </c>
    </row>
    <row r="865" spans="1:13">
      <c r="A865" s="57" t="s">
        <v>2030</v>
      </c>
      <c r="B865" s="58">
        <f t="shared" si="54"/>
        <v>39552</v>
      </c>
      <c r="C865" s="59">
        <f t="shared" si="55"/>
        <v>2008</v>
      </c>
      <c r="D865" s="61">
        <v>10.491899999999999</v>
      </c>
      <c r="E865" s="61">
        <v>10.5337</v>
      </c>
      <c r="F865" s="61">
        <v>10.5503</v>
      </c>
      <c r="H865" s="62" t="s">
        <v>2031</v>
      </c>
      <c r="I865" s="58">
        <f t="shared" si="57"/>
        <v>44300</v>
      </c>
      <c r="J865" s="60">
        <f t="shared" si="56"/>
        <v>2021</v>
      </c>
      <c r="K865" s="64">
        <v>20.058299999999999</v>
      </c>
      <c r="L865" s="64">
        <v>20.073499999999999</v>
      </c>
      <c r="M865" s="64">
        <v>20.094999999999999</v>
      </c>
    </row>
    <row r="866" spans="1:13">
      <c r="A866" s="65" t="s">
        <v>2032</v>
      </c>
      <c r="B866" s="66">
        <f t="shared" si="54"/>
        <v>39553</v>
      </c>
      <c r="C866" s="67">
        <f t="shared" si="55"/>
        <v>2008</v>
      </c>
      <c r="D866" s="68">
        <v>10.484299999999999</v>
      </c>
      <c r="E866" s="68">
        <v>10.491899999999999</v>
      </c>
      <c r="F866" s="68">
        <v>10.5337</v>
      </c>
      <c r="H866" s="69" t="s">
        <v>2033</v>
      </c>
      <c r="I866" s="66">
        <f t="shared" si="57"/>
        <v>44301</v>
      </c>
      <c r="J866" s="70">
        <f t="shared" si="56"/>
        <v>2021</v>
      </c>
      <c r="K866" s="71">
        <v>19.927</v>
      </c>
      <c r="L866" s="71">
        <v>20.058299999999999</v>
      </c>
      <c r="M866" s="71">
        <v>20.073499999999999</v>
      </c>
    </row>
    <row r="867" spans="1:13">
      <c r="A867" s="57" t="s">
        <v>2034</v>
      </c>
      <c r="B867" s="58">
        <f t="shared" si="54"/>
        <v>39554</v>
      </c>
      <c r="C867" s="59">
        <f t="shared" si="55"/>
        <v>2008</v>
      </c>
      <c r="D867" s="61">
        <v>10.4579</v>
      </c>
      <c r="E867" s="61">
        <v>10.484299999999999</v>
      </c>
      <c r="F867" s="61">
        <v>10.491899999999999</v>
      </c>
      <c r="H867" s="62" t="s">
        <v>2035</v>
      </c>
      <c r="I867" s="58">
        <f t="shared" si="57"/>
        <v>44302</v>
      </c>
      <c r="J867" s="60">
        <f t="shared" si="56"/>
        <v>2021</v>
      </c>
      <c r="K867" s="64">
        <v>19.915800000000001</v>
      </c>
      <c r="L867" s="64">
        <v>19.927</v>
      </c>
      <c r="M867" s="64">
        <v>20.058299999999999</v>
      </c>
    </row>
    <row r="868" spans="1:13">
      <c r="A868" s="65" t="s">
        <v>2036</v>
      </c>
      <c r="B868" s="66">
        <f t="shared" si="54"/>
        <v>39555</v>
      </c>
      <c r="C868" s="67">
        <f t="shared" si="55"/>
        <v>2008</v>
      </c>
      <c r="D868" s="68">
        <v>10.482799999999999</v>
      </c>
      <c r="E868" s="68">
        <v>10.4579</v>
      </c>
      <c r="F868" s="68">
        <v>10.484299999999999</v>
      </c>
      <c r="H868" s="69" t="s">
        <v>2037</v>
      </c>
      <c r="I868" s="66">
        <f t="shared" si="57"/>
        <v>44303</v>
      </c>
      <c r="J868" s="70">
        <f t="shared" si="56"/>
        <v>2021</v>
      </c>
      <c r="K868" s="72" t="s">
        <v>362</v>
      </c>
      <c r="L868" s="72" t="s">
        <v>362</v>
      </c>
      <c r="M868" s="71">
        <v>19.927</v>
      </c>
    </row>
    <row r="869" spans="1:13">
      <c r="A869" s="57" t="s">
        <v>2038</v>
      </c>
      <c r="B869" s="58">
        <f t="shared" si="54"/>
        <v>39556</v>
      </c>
      <c r="C869" s="59">
        <f t="shared" si="55"/>
        <v>2008</v>
      </c>
      <c r="D869" s="61">
        <v>10.461</v>
      </c>
      <c r="E869" s="61">
        <v>10.482799999999999</v>
      </c>
      <c r="F869" s="61">
        <v>10.4579</v>
      </c>
      <c r="H869" s="62" t="s">
        <v>2039</v>
      </c>
      <c r="I869" s="58">
        <f t="shared" si="57"/>
        <v>44304</v>
      </c>
      <c r="J869" s="60">
        <f t="shared" si="56"/>
        <v>2021</v>
      </c>
      <c r="K869" s="63" t="s">
        <v>362</v>
      </c>
      <c r="L869" s="63" t="s">
        <v>362</v>
      </c>
      <c r="M869" s="64">
        <v>19.927</v>
      </c>
    </row>
    <row r="870" spans="1:13">
      <c r="A870" s="65" t="s">
        <v>2040</v>
      </c>
      <c r="B870" s="66">
        <f t="shared" si="54"/>
        <v>39557</v>
      </c>
      <c r="C870" s="67">
        <f t="shared" si="55"/>
        <v>2008</v>
      </c>
      <c r="D870" s="70" t="s">
        <v>362</v>
      </c>
      <c r="E870" s="70" t="s">
        <v>362</v>
      </c>
      <c r="F870" s="68">
        <v>10.482799999999999</v>
      </c>
      <c r="H870" s="69" t="s">
        <v>2041</v>
      </c>
      <c r="I870" s="66">
        <f t="shared" si="57"/>
        <v>44305</v>
      </c>
      <c r="J870" s="70">
        <f t="shared" si="56"/>
        <v>2021</v>
      </c>
      <c r="K870" s="71">
        <v>19.814499999999999</v>
      </c>
      <c r="L870" s="71">
        <v>19.915800000000001</v>
      </c>
      <c r="M870" s="71">
        <v>19.927</v>
      </c>
    </row>
    <row r="871" spans="1:13">
      <c r="A871" s="57" t="s">
        <v>2042</v>
      </c>
      <c r="B871" s="58">
        <f t="shared" si="54"/>
        <v>39558</v>
      </c>
      <c r="C871" s="59">
        <f t="shared" si="55"/>
        <v>2008</v>
      </c>
      <c r="D871" s="60" t="s">
        <v>362</v>
      </c>
      <c r="E871" s="60" t="s">
        <v>362</v>
      </c>
      <c r="F871" s="61">
        <v>10.482799999999999</v>
      </c>
      <c r="H871" s="62" t="s">
        <v>2043</v>
      </c>
      <c r="I871" s="58">
        <f t="shared" si="57"/>
        <v>44306</v>
      </c>
      <c r="J871" s="60">
        <f t="shared" si="56"/>
        <v>2021</v>
      </c>
      <c r="K871" s="64">
        <v>19.887699999999999</v>
      </c>
      <c r="L871" s="64">
        <v>19.814499999999999</v>
      </c>
      <c r="M871" s="64">
        <v>19.915800000000001</v>
      </c>
    </row>
    <row r="872" spans="1:13">
      <c r="A872" s="65" t="s">
        <v>2044</v>
      </c>
      <c r="B872" s="66">
        <f t="shared" si="54"/>
        <v>39559</v>
      </c>
      <c r="C872" s="67">
        <f t="shared" si="55"/>
        <v>2008</v>
      </c>
      <c r="D872" s="68">
        <v>10.5223</v>
      </c>
      <c r="E872" s="68">
        <v>10.461</v>
      </c>
      <c r="F872" s="68">
        <v>10.482799999999999</v>
      </c>
      <c r="H872" s="69" t="s">
        <v>2045</v>
      </c>
      <c r="I872" s="66">
        <f t="shared" si="57"/>
        <v>44307</v>
      </c>
      <c r="J872" s="70">
        <f t="shared" si="56"/>
        <v>2021</v>
      </c>
      <c r="K872" s="71">
        <v>19.873999999999999</v>
      </c>
      <c r="L872" s="71">
        <v>19.887699999999999</v>
      </c>
      <c r="M872" s="71">
        <v>19.814499999999999</v>
      </c>
    </row>
    <row r="873" spans="1:13">
      <c r="A873" s="57" t="s">
        <v>2046</v>
      </c>
      <c r="B873" s="58">
        <f t="shared" si="54"/>
        <v>39560</v>
      </c>
      <c r="C873" s="59">
        <f t="shared" si="55"/>
        <v>2008</v>
      </c>
      <c r="D873" s="61">
        <v>10.5181</v>
      </c>
      <c r="E873" s="61">
        <v>10.5223</v>
      </c>
      <c r="F873" s="61">
        <v>10.461</v>
      </c>
      <c r="H873" s="62" t="s">
        <v>2047</v>
      </c>
      <c r="I873" s="58">
        <f t="shared" si="57"/>
        <v>44308</v>
      </c>
      <c r="J873" s="60">
        <f t="shared" si="56"/>
        <v>2021</v>
      </c>
      <c r="K873" s="64">
        <v>19.886500000000002</v>
      </c>
      <c r="L873" s="64">
        <v>19.873999999999999</v>
      </c>
      <c r="M873" s="64">
        <v>19.887699999999999</v>
      </c>
    </row>
    <row r="874" spans="1:13">
      <c r="A874" s="65" t="s">
        <v>2048</v>
      </c>
      <c r="B874" s="66">
        <f t="shared" si="54"/>
        <v>39561</v>
      </c>
      <c r="C874" s="67">
        <f t="shared" si="55"/>
        <v>2008</v>
      </c>
      <c r="D874" s="68">
        <v>10.486800000000001</v>
      </c>
      <c r="E874" s="68">
        <v>10.5181</v>
      </c>
      <c r="F874" s="68">
        <v>10.5223</v>
      </c>
      <c r="H874" s="69" t="s">
        <v>2049</v>
      </c>
      <c r="I874" s="66">
        <f t="shared" si="57"/>
        <v>44309</v>
      </c>
      <c r="J874" s="70">
        <f t="shared" si="56"/>
        <v>2021</v>
      </c>
      <c r="K874" s="71">
        <v>19.869499999999999</v>
      </c>
      <c r="L874" s="71">
        <v>19.886500000000002</v>
      </c>
      <c r="M874" s="71">
        <v>19.873999999999999</v>
      </c>
    </row>
    <row r="875" spans="1:13">
      <c r="A875" s="57" t="s">
        <v>2050</v>
      </c>
      <c r="B875" s="58">
        <f t="shared" si="54"/>
        <v>39562</v>
      </c>
      <c r="C875" s="59">
        <f t="shared" si="55"/>
        <v>2008</v>
      </c>
      <c r="D875" s="61">
        <v>10.462</v>
      </c>
      <c r="E875" s="61">
        <v>10.486800000000001</v>
      </c>
      <c r="F875" s="61">
        <v>10.5181</v>
      </c>
      <c r="H875" s="62" t="s">
        <v>2051</v>
      </c>
      <c r="I875" s="58">
        <f t="shared" si="57"/>
        <v>44310</v>
      </c>
      <c r="J875" s="60">
        <f t="shared" si="56"/>
        <v>2021</v>
      </c>
      <c r="K875" s="63" t="s">
        <v>362</v>
      </c>
      <c r="L875" s="63" t="s">
        <v>362</v>
      </c>
      <c r="M875" s="64">
        <v>19.886500000000002</v>
      </c>
    </row>
    <row r="876" spans="1:13">
      <c r="A876" s="65" t="s">
        <v>2052</v>
      </c>
      <c r="B876" s="66">
        <f t="shared" si="54"/>
        <v>39563</v>
      </c>
      <c r="C876" s="67">
        <f t="shared" si="55"/>
        <v>2008</v>
      </c>
      <c r="D876" s="68">
        <v>10.4702</v>
      </c>
      <c r="E876" s="68">
        <v>10.462</v>
      </c>
      <c r="F876" s="68">
        <v>10.486800000000001</v>
      </c>
      <c r="H876" s="69" t="s">
        <v>2053</v>
      </c>
      <c r="I876" s="66">
        <f t="shared" si="57"/>
        <v>44311</v>
      </c>
      <c r="J876" s="70">
        <f t="shared" si="56"/>
        <v>2021</v>
      </c>
      <c r="K876" s="72" t="s">
        <v>362</v>
      </c>
      <c r="L876" s="72" t="s">
        <v>362</v>
      </c>
      <c r="M876" s="71">
        <v>19.886500000000002</v>
      </c>
    </row>
    <row r="877" spans="1:13">
      <c r="A877" s="57" t="s">
        <v>2054</v>
      </c>
      <c r="B877" s="58">
        <f t="shared" si="54"/>
        <v>39564</v>
      </c>
      <c r="C877" s="59">
        <f t="shared" si="55"/>
        <v>2008</v>
      </c>
      <c r="D877" s="60" t="s">
        <v>362</v>
      </c>
      <c r="E877" s="60" t="s">
        <v>362</v>
      </c>
      <c r="F877" s="61">
        <v>10.462</v>
      </c>
      <c r="H877" s="62" t="s">
        <v>2055</v>
      </c>
      <c r="I877" s="58">
        <f t="shared" si="57"/>
        <v>44312</v>
      </c>
      <c r="J877" s="60">
        <f t="shared" si="56"/>
        <v>2021</v>
      </c>
      <c r="K877" s="64">
        <v>19.836200000000002</v>
      </c>
      <c r="L877" s="64">
        <v>19.869499999999999</v>
      </c>
      <c r="M877" s="64">
        <v>19.886500000000002</v>
      </c>
    </row>
    <row r="878" spans="1:13">
      <c r="A878" s="65" t="s">
        <v>2056</v>
      </c>
      <c r="B878" s="66">
        <f t="shared" si="54"/>
        <v>39565</v>
      </c>
      <c r="C878" s="67">
        <f t="shared" si="55"/>
        <v>2008</v>
      </c>
      <c r="D878" s="70" t="s">
        <v>362</v>
      </c>
      <c r="E878" s="70" t="s">
        <v>362</v>
      </c>
      <c r="F878" s="68">
        <v>10.462</v>
      </c>
      <c r="H878" s="69" t="s">
        <v>2057</v>
      </c>
      <c r="I878" s="66">
        <f t="shared" si="57"/>
        <v>44313</v>
      </c>
      <c r="J878" s="70">
        <f t="shared" si="56"/>
        <v>2021</v>
      </c>
      <c r="K878" s="71">
        <v>19.9785</v>
      </c>
      <c r="L878" s="71">
        <v>19.836200000000002</v>
      </c>
      <c r="M878" s="71">
        <v>19.869499999999999</v>
      </c>
    </row>
    <row r="879" spans="1:13">
      <c r="A879" s="57" t="s">
        <v>2058</v>
      </c>
      <c r="B879" s="58">
        <f t="shared" si="54"/>
        <v>39566</v>
      </c>
      <c r="C879" s="59">
        <f t="shared" si="55"/>
        <v>2008</v>
      </c>
      <c r="D879" s="61">
        <v>10.446400000000001</v>
      </c>
      <c r="E879" s="61">
        <v>10.4702</v>
      </c>
      <c r="F879" s="61">
        <v>10.462</v>
      </c>
      <c r="H879" s="62" t="s">
        <v>2059</v>
      </c>
      <c r="I879" s="58">
        <f t="shared" si="57"/>
        <v>44314</v>
      </c>
      <c r="J879" s="60">
        <f t="shared" si="56"/>
        <v>2021</v>
      </c>
      <c r="K879" s="64">
        <v>19.9712</v>
      </c>
      <c r="L879" s="64">
        <v>19.9785</v>
      </c>
      <c r="M879" s="64">
        <v>19.836200000000002</v>
      </c>
    </row>
    <row r="880" spans="1:13">
      <c r="A880" s="65" t="s">
        <v>2060</v>
      </c>
      <c r="B880" s="66">
        <f t="shared" si="54"/>
        <v>39567</v>
      </c>
      <c r="C880" s="67">
        <f t="shared" si="55"/>
        <v>2008</v>
      </c>
      <c r="D880" s="68">
        <v>10.527200000000001</v>
      </c>
      <c r="E880" s="68">
        <v>10.446400000000001</v>
      </c>
      <c r="F880" s="68">
        <v>10.4702</v>
      </c>
      <c r="H880" s="69" t="s">
        <v>2061</v>
      </c>
      <c r="I880" s="66">
        <f t="shared" si="57"/>
        <v>44315</v>
      </c>
      <c r="J880" s="70">
        <f t="shared" si="56"/>
        <v>2021</v>
      </c>
      <c r="K880" s="71">
        <v>20.097799999999999</v>
      </c>
      <c r="L880" s="71">
        <v>19.9712</v>
      </c>
      <c r="M880" s="71">
        <v>19.9785</v>
      </c>
    </row>
    <row r="881" spans="1:13">
      <c r="A881" s="57" t="s">
        <v>2062</v>
      </c>
      <c r="B881" s="58">
        <f t="shared" si="54"/>
        <v>39568</v>
      </c>
      <c r="C881" s="59">
        <f t="shared" si="55"/>
        <v>2008</v>
      </c>
      <c r="D881" s="61">
        <v>10.509499999999999</v>
      </c>
      <c r="E881" s="61">
        <v>10.527200000000001</v>
      </c>
      <c r="F881" s="61">
        <v>10.446400000000001</v>
      </c>
      <c r="H881" s="62" t="s">
        <v>2063</v>
      </c>
      <c r="I881" s="58">
        <f t="shared" si="57"/>
        <v>44316</v>
      </c>
      <c r="J881" s="60">
        <f t="shared" si="56"/>
        <v>2021</v>
      </c>
      <c r="K881" s="64">
        <v>20.182200000000002</v>
      </c>
      <c r="L881" s="64">
        <v>20.097799999999999</v>
      </c>
      <c r="M881" s="64">
        <v>19.9712</v>
      </c>
    </row>
    <row r="882" spans="1:13">
      <c r="A882" s="65" t="s">
        <v>2064</v>
      </c>
      <c r="B882" s="66">
        <f t="shared" si="54"/>
        <v>39569</v>
      </c>
      <c r="C882" s="67">
        <f t="shared" si="55"/>
        <v>2008</v>
      </c>
      <c r="D882" s="70" t="s">
        <v>362</v>
      </c>
      <c r="E882" s="70" t="s">
        <v>362</v>
      </c>
      <c r="F882" s="68">
        <v>10.527200000000001</v>
      </c>
      <c r="H882" s="69" t="s">
        <v>2065</v>
      </c>
      <c r="I882" s="66">
        <f t="shared" si="57"/>
        <v>44317</v>
      </c>
      <c r="J882" s="70">
        <f t="shared" si="56"/>
        <v>2021</v>
      </c>
      <c r="K882" s="72" t="s">
        <v>362</v>
      </c>
      <c r="L882" s="72" t="s">
        <v>362</v>
      </c>
      <c r="M882" s="71">
        <v>20.097799999999999</v>
      </c>
    </row>
    <row r="883" spans="1:13">
      <c r="A883" s="57" t="s">
        <v>2066</v>
      </c>
      <c r="B883" s="58">
        <f t="shared" si="54"/>
        <v>39570</v>
      </c>
      <c r="C883" s="59">
        <f t="shared" si="55"/>
        <v>2008</v>
      </c>
      <c r="D883" s="61">
        <v>10.458500000000001</v>
      </c>
      <c r="E883" s="61">
        <v>10.509499999999999</v>
      </c>
      <c r="F883" s="61">
        <v>10.527200000000001</v>
      </c>
      <c r="H883" s="62" t="s">
        <v>2067</v>
      </c>
      <c r="I883" s="58">
        <f t="shared" si="57"/>
        <v>44318</v>
      </c>
      <c r="J883" s="60">
        <f t="shared" si="56"/>
        <v>2021</v>
      </c>
      <c r="K883" s="63" t="s">
        <v>362</v>
      </c>
      <c r="L883" s="63" t="s">
        <v>362</v>
      </c>
      <c r="M883" s="64">
        <v>20.097799999999999</v>
      </c>
    </row>
    <row r="884" spans="1:13">
      <c r="A884" s="65" t="s">
        <v>2068</v>
      </c>
      <c r="B884" s="66">
        <f t="shared" si="54"/>
        <v>39571</v>
      </c>
      <c r="C884" s="67">
        <f t="shared" si="55"/>
        <v>2008</v>
      </c>
      <c r="D884" s="70" t="s">
        <v>362</v>
      </c>
      <c r="E884" s="70" t="s">
        <v>362</v>
      </c>
      <c r="F884" s="68">
        <v>10.509499999999999</v>
      </c>
      <c r="H884" s="69" t="s">
        <v>2069</v>
      </c>
      <c r="I884" s="66">
        <f t="shared" si="57"/>
        <v>44319</v>
      </c>
      <c r="J884" s="70">
        <f t="shared" si="56"/>
        <v>2021</v>
      </c>
      <c r="K884" s="71">
        <v>20.190200000000001</v>
      </c>
      <c r="L884" s="71">
        <v>20.182200000000002</v>
      </c>
      <c r="M884" s="71">
        <v>20.097799999999999</v>
      </c>
    </row>
    <row r="885" spans="1:13">
      <c r="A885" s="57" t="s">
        <v>2070</v>
      </c>
      <c r="B885" s="58">
        <f t="shared" si="54"/>
        <v>39572</v>
      </c>
      <c r="C885" s="59">
        <f t="shared" si="55"/>
        <v>2008</v>
      </c>
      <c r="D885" s="60" t="s">
        <v>362</v>
      </c>
      <c r="E885" s="60" t="s">
        <v>362</v>
      </c>
      <c r="F885" s="61">
        <v>10.509499999999999</v>
      </c>
      <c r="H885" s="62" t="s">
        <v>2071</v>
      </c>
      <c r="I885" s="58">
        <f t="shared" si="57"/>
        <v>44320</v>
      </c>
      <c r="J885" s="60">
        <f t="shared" si="56"/>
        <v>2021</v>
      </c>
      <c r="K885" s="64">
        <v>20.223500000000001</v>
      </c>
      <c r="L885" s="64">
        <v>20.190200000000001</v>
      </c>
      <c r="M885" s="64">
        <v>20.182200000000002</v>
      </c>
    </row>
    <row r="886" spans="1:13">
      <c r="A886" s="65" t="s">
        <v>2072</v>
      </c>
      <c r="B886" s="66">
        <f t="shared" si="54"/>
        <v>39573</v>
      </c>
      <c r="C886" s="67">
        <f t="shared" si="55"/>
        <v>2008</v>
      </c>
      <c r="D886" s="68">
        <v>10.4687</v>
      </c>
      <c r="E886" s="68">
        <v>10.458500000000001</v>
      </c>
      <c r="F886" s="68">
        <v>10.509499999999999</v>
      </c>
      <c r="H886" s="69" t="s">
        <v>2073</v>
      </c>
      <c r="I886" s="66">
        <f t="shared" si="57"/>
        <v>44321</v>
      </c>
      <c r="J886" s="70">
        <f t="shared" si="56"/>
        <v>2021</v>
      </c>
      <c r="K886" s="71">
        <v>20.207699999999999</v>
      </c>
      <c r="L886" s="71">
        <v>20.223500000000001</v>
      </c>
      <c r="M886" s="71">
        <v>20.190200000000001</v>
      </c>
    </row>
    <row r="887" spans="1:13">
      <c r="A887" s="57" t="s">
        <v>2074</v>
      </c>
      <c r="B887" s="58">
        <f t="shared" si="54"/>
        <v>39574</v>
      </c>
      <c r="C887" s="59">
        <f t="shared" si="55"/>
        <v>2008</v>
      </c>
      <c r="D887" s="61">
        <v>10.4937</v>
      </c>
      <c r="E887" s="61">
        <v>10.4687</v>
      </c>
      <c r="F887" s="61">
        <v>10.458500000000001</v>
      </c>
      <c r="H887" s="62" t="s">
        <v>2075</v>
      </c>
      <c r="I887" s="58">
        <f t="shared" si="57"/>
        <v>44322</v>
      </c>
      <c r="J887" s="60">
        <f t="shared" si="56"/>
        <v>2021</v>
      </c>
      <c r="K887" s="64">
        <v>20.183800000000002</v>
      </c>
      <c r="L887" s="64">
        <v>20.207699999999999</v>
      </c>
      <c r="M887" s="64">
        <v>20.223500000000001</v>
      </c>
    </row>
    <row r="888" spans="1:13">
      <c r="A888" s="65" t="s">
        <v>2076</v>
      </c>
      <c r="B888" s="66">
        <f t="shared" si="54"/>
        <v>39575</v>
      </c>
      <c r="C888" s="67">
        <f t="shared" si="55"/>
        <v>2008</v>
      </c>
      <c r="D888" s="68">
        <v>10.539</v>
      </c>
      <c r="E888" s="68">
        <v>10.4937</v>
      </c>
      <c r="F888" s="68">
        <v>10.4687</v>
      </c>
      <c r="H888" s="69" t="s">
        <v>2077</v>
      </c>
      <c r="I888" s="66">
        <f t="shared" si="57"/>
        <v>44323</v>
      </c>
      <c r="J888" s="70">
        <f t="shared" si="56"/>
        <v>2021</v>
      </c>
      <c r="K888" s="71">
        <v>19.9223</v>
      </c>
      <c r="L888" s="71">
        <v>20.183800000000002</v>
      </c>
      <c r="M888" s="71">
        <v>20.207699999999999</v>
      </c>
    </row>
    <row r="889" spans="1:13">
      <c r="A889" s="57" t="s">
        <v>2078</v>
      </c>
      <c r="B889" s="58">
        <f t="shared" si="54"/>
        <v>39576</v>
      </c>
      <c r="C889" s="59">
        <f t="shared" si="55"/>
        <v>2008</v>
      </c>
      <c r="D889" s="61">
        <v>10.5465</v>
      </c>
      <c r="E889" s="61">
        <v>10.539</v>
      </c>
      <c r="F889" s="61">
        <v>10.4937</v>
      </c>
      <c r="H889" s="62" t="s">
        <v>2079</v>
      </c>
      <c r="I889" s="58">
        <f t="shared" si="57"/>
        <v>44324</v>
      </c>
      <c r="J889" s="60">
        <f t="shared" si="56"/>
        <v>2021</v>
      </c>
      <c r="K889" s="63" t="s">
        <v>362</v>
      </c>
      <c r="L889" s="63" t="s">
        <v>362</v>
      </c>
      <c r="M889" s="64">
        <v>20.183800000000002</v>
      </c>
    </row>
    <row r="890" spans="1:13">
      <c r="A890" s="65" t="s">
        <v>2080</v>
      </c>
      <c r="B890" s="66">
        <f t="shared" si="54"/>
        <v>39577</v>
      </c>
      <c r="C890" s="67">
        <f t="shared" si="55"/>
        <v>2008</v>
      </c>
      <c r="D890" s="68">
        <v>10.566599999999999</v>
      </c>
      <c r="E890" s="68">
        <v>10.5465</v>
      </c>
      <c r="F890" s="68">
        <v>10.539</v>
      </c>
      <c r="H890" s="69" t="s">
        <v>2081</v>
      </c>
      <c r="I890" s="66">
        <f t="shared" si="57"/>
        <v>44325</v>
      </c>
      <c r="J890" s="70">
        <f t="shared" si="56"/>
        <v>2021</v>
      </c>
      <c r="K890" s="72" t="s">
        <v>362</v>
      </c>
      <c r="L890" s="72" t="s">
        <v>362</v>
      </c>
      <c r="M890" s="71">
        <v>20.183800000000002</v>
      </c>
    </row>
    <row r="891" spans="1:13">
      <c r="A891" s="57" t="s">
        <v>2082</v>
      </c>
      <c r="B891" s="58">
        <f t="shared" si="54"/>
        <v>39578</v>
      </c>
      <c r="C891" s="59">
        <f t="shared" si="55"/>
        <v>2008</v>
      </c>
      <c r="D891" s="60" t="s">
        <v>362</v>
      </c>
      <c r="E891" s="60" t="s">
        <v>362</v>
      </c>
      <c r="F891" s="61">
        <v>10.5465</v>
      </c>
      <c r="H891" s="62" t="s">
        <v>2083</v>
      </c>
      <c r="I891" s="58">
        <f t="shared" si="57"/>
        <v>44326</v>
      </c>
      <c r="J891" s="60">
        <f t="shared" si="56"/>
        <v>2021</v>
      </c>
      <c r="K891" s="64">
        <v>19.885999999999999</v>
      </c>
      <c r="L891" s="64">
        <v>19.9223</v>
      </c>
      <c r="M891" s="64">
        <v>20.183800000000002</v>
      </c>
    </row>
    <row r="892" spans="1:13">
      <c r="A892" s="65" t="s">
        <v>2084</v>
      </c>
      <c r="B892" s="66">
        <f t="shared" si="54"/>
        <v>39579</v>
      </c>
      <c r="C892" s="67">
        <f t="shared" si="55"/>
        <v>2008</v>
      </c>
      <c r="D892" s="70" t="s">
        <v>362</v>
      </c>
      <c r="E892" s="70" t="s">
        <v>362</v>
      </c>
      <c r="F892" s="68">
        <v>10.5465</v>
      </c>
      <c r="H892" s="69" t="s">
        <v>2085</v>
      </c>
      <c r="I892" s="66">
        <f t="shared" si="57"/>
        <v>44327</v>
      </c>
      <c r="J892" s="70">
        <f t="shared" si="56"/>
        <v>2021</v>
      </c>
      <c r="K892" s="71">
        <v>19.884799999999998</v>
      </c>
      <c r="L892" s="71">
        <v>19.885999999999999</v>
      </c>
      <c r="M892" s="71">
        <v>19.9223</v>
      </c>
    </row>
    <row r="893" spans="1:13">
      <c r="A893" s="57" t="s">
        <v>2086</v>
      </c>
      <c r="B893" s="58">
        <f t="shared" si="54"/>
        <v>39580</v>
      </c>
      <c r="C893" s="59">
        <f t="shared" si="55"/>
        <v>2008</v>
      </c>
      <c r="D893" s="61">
        <v>10.505800000000001</v>
      </c>
      <c r="E893" s="61">
        <v>10.566599999999999</v>
      </c>
      <c r="F893" s="61">
        <v>10.5465</v>
      </c>
      <c r="H893" s="62" t="s">
        <v>2087</v>
      </c>
      <c r="I893" s="58">
        <f t="shared" si="57"/>
        <v>44328</v>
      </c>
      <c r="J893" s="60">
        <f t="shared" si="56"/>
        <v>2021</v>
      </c>
      <c r="K893" s="64">
        <v>20.094000000000001</v>
      </c>
      <c r="L893" s="64">
        <v>19.884799999999998</v>
      </c>
      <c r="M893" s="64">
        <v>19.885999999999999</v>
      </c>
    </row>
    <row r="894" spans="1:13">
      <c r="A894" s="65" t="s">
        <v>2088</v>
      </c>
      <c r="B894" s="66">
        <f t="shared" si="54"/>
        <v>39581</v>
      </c>
      <c r="C894" s="67">
        <f t="shared" si="55"/>
        <v>2008</v>
      </c>
      <c r="D894" s="68">
        <v>10.483499999999999</v>
      </c>
      <c r="E894" s="68">
        <v>10.505800000000001</v>
      </c>
      <c r="F894" s="68">
        <v>10.566599999999999</v>
      </c>
      <c r="H894" s="69" t="s">
        <v>2089</v>
      </c>
      <c r="I894" s="66">
        <f t="shared" si="57"/>
        <v>44329</v>
      </c>
      <c r="J894" s="70">
        <f t="shared" si="56"/>
        <v>2021</v>
      </c>
      <c r="K894" s="71">
        <v>20.049499999999998</v>
      </c>
      <c r="L894" s="71">
        <v>20.094000000000001</v>
      </c>
      <c r="M894" s="71">
        <v>19.884799999999998</v>
      </c>
    </row>
    <row r="895" spans="1:13">
      <c r="A895" s="57" t="s">
        <v>2090</v>
      </c>
      <c r="B895" s="58">
        <f t="shared" si="54"/>
        <v>39582</v>
      </c>
      <c r="C895" s="59">
        <f t="shared" si="55"/>
        <v>2008</v>
      </c>
      <c r="D895" s="61">
        <v>10.4884</v>
      </c>
      <c r="E895" s="61">
        <v>10.483499999999999</v>
      </c>
      <c r="F895" s="61">
        <v>10.505800000000001</v>
      </c>
      <c r="H895" s="62" t="s">
        <v>2091</v>
      </c>
      <c r="I895" s="58">
        <f t="shared" si="57"/>
        <v>44330</v>
      </c>
      <c r="J895" s="60">
        <f t="shared" si="56"/>
        <v>2021</v>
      </c>
      <c r="K895" s="64">
        <v>19.848700000000001</v>
      </c>
      <c r="L895" s="64">
        <v>20.049499999999998</v>
      </c>
      <c r="M895" s="64">
        <v>20.094000000000001</v>
      </c>
    </row>
    <row r="896" spans="1:13">
      <c r="A896" s="65" t="s">
        <v>2092</v>
      </c>
      <c r="B896" s="66">
        <f t="shared" si="54"/>
        <v>39583</v>
      </c>
      <c r="C896" s="67">
        <f t="shared" si="55"/>
        <v>2008</v>
      </c>
      <c r="D896" s="68">
        <v>10.476900000000001</v>
      </c>
      <c r="E896" s="68">
        <v>10.4884</v>
      </c>
      <c r="F896" s="68">
        <v>10.483499999999999</v>
      </c>
      <c r="H896" s="69" t="s">
        <v>2093</v>
      </c>
      <c r="I896" s="66">
        <f t="shared" si="57"/>
        <v>44331</v>
      </c>
      <c r="J896" s="70">
        <f t="shared" si="56"/>
        <v>2021</v>
      </c>
      <c r="K896" s="72" t="s">
        <v>362</v>
      </c>
      <c r="L896" s="72" t="s">
        <v>362</v>
      </c>
      <c r="M896" s="71">
        <v>20.049499999999998</v>
      </c>
    </row>
    <row r="897" spans="1:13">
      <c r="A897" s="57" t="s">
        <v>2094</v>
      </c>
      <c r="B897" s="58">
        <f t="shared" si="54"/>
        <v>39584</v>
      </c>
      <c r="C897" s="59">
        <f t="shared" si="55"/>
        <v>2008</v>
      </c>
      <c r="D897" s="61">
        <v>10.426600000000001</v>
      </c>
      <c r="E897" s="61">
        <v>10.476900000000001</v>
      </c>
      <c r="F897" s="61">
        <v>10.4884</v>
      </c>
      <c r="H897" s="62" t="s">
        <v>2095</v>
      </c>
      <c r="I897" s="58">
        <f t="shared" si="57"/>
        <v>44332</v>
      </c>
      <c r="J897" s="60">
        <f t="shared" si="56"/>
        <v>2021</v>
      </c>
      <c r="K897" s="63" t="s">
        <v>362</v>
      </c>
      <c r="L897" s="63" t="s">
        <v>362</v>
      </c>
      <c r="M897" s="64">
        <v>20.049499999999998</v>
      </c>
    </row>
    <row r="898" spans="1:13">
      <c r="A898" s="65" t="s">
        <v>2096</v>
      </c>
      <c r="B898" s="66">
        <f t="shared" si="54"/>
        <v>39585</v>
      </c>
      <c r="C898" s="67">
        <f t="shared" si="55"/>
        <v>2008</v>
      </c>
      <c r="D898" s="70" t="s">
        <v>362</v>
      </c>
      <c r="E898" s="70" t="s">
        <v>362</v>
      </c>
      <c r="F898" s="68">
        <v>10.476900000000001</v>
      </c>
      <c r="H898" s="69" t="s">
        <v>2097</v>
      </c>
      <c r="I898" s="66">
        <f t="shared" si="57"/>
        <v>44333</v>
      </c>
      <c r="J898" s="70">
        <f t="shared" si="56"/>
        <v>2021</v>
      </c>
      <c r="K898" s="71">
        <v>19.802800000000001</v>
      </c>
      <c r="L898" s="71">
        <v>19.848700000000001</v>
      </c>
      <c r="M898" s="71">
        <v>20.049499999999998</v>
      </c>
    </row>
    <row r="899" spans="1:13">
      <c r="A899" s="57" t="s">
        <v>2098</v>
      </c>
      <c r="B899" s="58">
        <f t="shared" si="54"/>
        <v>39586</v>
      </c>
      <c r="C899" s="59">
        <f t="shared" si="55"/>
        <v>2008</v>
      </c>
      <c r="D899" s="60" t="s">
        <v>362</v>
      </c>
      <c r="E899" s="60" t="s">
        <v>362</v>
      </c>
      <c r="F899" s="61">
        <v>10.476900000000001</v>
      </c>
      <c r="H899" s="62" t="s">
        <v>2099</v>
      </c>
      <c r="I899" s="58">
        <f t="shared" si="57"/>
        <v>44334</v>
      </c>
      <c r="J899" s="60">
        <f t="shared" si="56"/>
        <v>2021</v>
      </c>
      <c r="K899" s="64">
        <v>19.831299999999999</v>
      </c>
      <c r="L899" s="64">
        <v>19.802800000000001</v>
      </c>
      <c r="M899" s="64">
        <v>19.848700000000001</v>
      </c>
    </row>
    <row r="900" spans="1:13">
      <c r="A900" s="65" t="s">
        <v>2100</v>
      </c>
      <c r="B900" s="66">
        <f t="shared" si="54"/>
        <v>39587</v>
      </c>
      <c r="C900" s="67">
        <f t="shared" si="55"/>
        <v>2008</v>
      </c>
      <c r="D900" s="68">
        <v>10.379200000000001</v>
      </c>
      <c r="E900" s="68">
        <v>10.426600000000001</v>
      </c>
      <c r="F900" s="68">
        <v>10.476900000000001</v>
      </c>
      <c r="H900" s="69" t="s">
        <v>2101</v>
      </c>
      <c r="I900" s="66">
        <f t="shared" si="57"/>
        <v>44335</v>
      </c>
      <c r="J900" s="70">
        <f t="shared" si="56"/>
        <v>2021</v>
      </c>
      <c r="K900" s="71">
        <v>19.814299999999999</v>
      </c>
      <c r="L900" s="71">
        <v>19.831299999999999</v>
      </c>
      <c r="M900" s="71">
        <v>19.802800000000001</v>
      </c>
    </row>
    <row r="901" spans="1:13">
      <c r="A901" s="57" t="s">
        <v>2102</v>
      </c>
      <c r="B901" s="58">
        <f t="shared" si="54"/>
        <v>39588</v>
      </c>
      <c r="C901" s="59">
        <f t="shared" si="55"/>
        <v>2008</v>
      </c>
      <c r="D901" s="61">
        <v>10.4002</v>
      </c>
      <c r="E901" s="61">
        <v>10.379200000000001</v>
      </c>
      <c r="F901" s="61">
        <v>10.426600000000001</v>
      </c>
      <c r="H901" s="62" t="s">
        <v>2103</v>
      </c>
      <c r="I901" s="58">
        <f t="shared" si="57"/>
        <v>44336</v>
      </c>
      <c r="J901" s="60">
        <f t="shared" si="56"/>
        <v>2021</v>
      </c>
      <c r="K901" s="64">
        <v>19.881</v>
      </c>
      <c r="L901" s="64">
        <v>19.814299999999999</v>
      </c>
      <c r="M901" s="64">
        <v>19.831299999999999</v>
      </c>
    </row>
    <row r="902" spans="1:13">
      <c r="A902" s="65" t="s">
        <v>2104</v>
      </c>
      <c r="B902" s="66">
        <f t="shared" si="54"/>
        <v>39589</v>
      </c>
      <c r="C902" s="67">
        <f t="shared" si="55"/>
        <v>2008</v>
      </c>
      <c r="D902" s="68">
        <v>10.3644</v>
      </c>
      <c r="E902" s="68">
        <v>10.4002</v>
      </c>
      <c r="F902" s="68">
        <v>10.379200000000001</v>
      </c>
      <c r="H902" s="69" t="s">
        <v>2105</v>
      </c>
      <c r="I902" s="66">
        <f t="shared" si="57"/>
        <v>44337</v>
      </c>
      <c r="J902" s="70">
        <f t="shared" si="56"/>
        <v>2021</v>
      </c>
      <c r="K902" s="71">
        <v>19.951000000000001</v>
      </c>
      <c r="L902" s="71">
        <v>19.881</v>
      </c>
      <c r="M902" s="71">
        <v>19.814299999999999</v>
      </c>
    </row>
    <row r="903" spans="1:13">
      <c r="A903" s="57" t="s">
        <v>2106</v>
      </c>
      <c r="B903" s="58">
        <f t="shared" si="54"/>
        <v>39590</v>
      </c>
      <c r="C903" s="59">
        <f t="shared" si="55"/>
        <v>2008</v>
      </c>
      <c r="D903" s="61">
        <v>10.381</v>
      </c>
      <c r="E903" s="61">
        <v>10.3644</v>
      </c>
      <c r="F903" s="61">
        <v>10.4002</v>
      </c>
      <c r="H903" s="62" t="s">
        <v>2107</v>
      </c>
      <c r="I903" s="58">
        <f t="shared" si="57"/>
        <v>44338</v>
      </c>
      <c r="J903" s="60">
        <f t="shared" si="56"/>
        <v>2021</v>
      </c>
      <c r="K903" s="63" t="s">
        <v>362</v>
      </c>
      <c r="L903" s="63" t="s">
        <v>362</v>
      </c>
      <c r="M903" s="64">
        <v>19.881</v>
      </c>
    </row>
    <row r="904" spans="1:13">
      <c r="A904" s="65" t="s">
        <v>2108</v>
      </c>
      <c r="B904" s="66">
        <f t="shared" si="54"/>
        <v>39591</v>
      </c>
      <c r="C904" s="67">
        <f t="shared" si="55"/>
        <v>2008</v>
      </c>
      <c r="D904" s="68">
        <v>10.4</v>
      </c>
      <c r="E904" s="68">
        <v>10.381</v>
      </c>
      <c r="F904" s="68">
        <v>10.3644</v>
      </c>
      <c r="H904" s="69" t="s">
        <v>2109</v>
      </c>
      <c r="I904" s="66">
        <f t="shared" si="57"/>
        <v>44339</v>
      </c>
      <c r="J904" s="70">
        <f t="shared" si="56"/>
        <v>2021</v>
      </c>
      <c r="K904" s="72" t="s">
        <v>362</v>
      </c>
      <c r="L904" s="72" t="s">
        <v>362</v>
      </c>
      <c r="M904" s="71">
        <v>19.881</v>
      </c>
    </row>
    <row r="905" spans="1:13">
      <c r="A905" s="57" t="s">
        <v>2110</v>
      </c>
      <c r="B905" s="58">
        <f t="shared" si="54"/>
        <v>39592</v>
      </c>
      <c r="C905" s="59">
        <f t="shared" si="55"/>
        <v>2008</v>
      </c>
      <c r="D905" s="60" t="s">
        <v>362</v>
      </c>
      <c r="E905" s="60" t="s">
        <v>362</v>
      </c>
      <c r="F905" s="61">
        <v>10.381</v>
      </c>
      <c r="H905" s="62" t="s">
        <v>2111</v>
      </c>
      <c r="I905" s="58">
        <f t="shared" si="57"/>
        <v>44340</v>
      </c>
      <c r="J905" s="60">
        <f t="shared" si="56"/>
        <v>2021</v>
      </c>
      <c r="K905" s="64">
        <v>19.872</v>
      </c>
      <c r="L905" s="64">
        <v>19.951000000000001</v>
      </c>
      <c r="M905" s="64">
        <v>19.881</v>
      </c>
    </row>
    <row r="906" spans="1:13">
      <c r="A906" s="65" t="s">
        <v>2112</v>
      </c>
      <c r="B906" s="66">
        <f t="shared" si="54"/>
        <v>39593</v>
      </c>
      <c r="C906" s="67">
        <f t="shared" si="55"/>
        <v>2008</v>
      </c>
      <c r="D906" s="70" t="s">
        <v>362</v>
      </c>
      <c r="E906" s="70" t="s">
        <v>362</v>
      </c>
      <c r="F906" s="68">
        <v>10.381</v>
      </c>
      <c r="H906" s="69" t="s">
        <v>2113</v>
      </c>
      <c r="I906" s="66">
        <f t="shared" si="57"/>
        <v>44341</v>
      </c>
      <c r="J906" s="70">
        <f t="shared" si="56"/>
        <v>2021</v>
      </c>
      <c r="K906" s="71">
        <v>19.8903</v>
      </c>
      <c r="L906" s="71">
        <v>19.872</v>
      </c>
      <c r="M906" s="71">
        <v>19.951000000000001</v>
      </c>
    </row>
    <row r="907" spans="1:13">
      <c r="A907" s="57" t="s">
        <v>2114</v>
      </c>
      <c r="B907" s="58">
        <f t="shared" si="54"/>
        <v>39594</v>
      </c>
      <c r="C907" s="59">
        <f t="shared" si="55"/>
        <v>2008</v>
      </c>
      <c r="D907" s="61">
        <v>10.3848</v>
      </c>
      <c r="E907" s="61">
        <v>10.4</v>
      </c>
      <c r="F907" s="61">
        <v>10.381</v>
      </c>
      <c r="H907" s="62" t="s">
        <v>2115</v>
      </c>
      <c r="I907" s="58">
        <f t="shared" si="57"/>
        <v>44342</v>
      </c>
      <c r="J907" s="60">
        <f t="shared" si="56"/>
        <v>2021</v>
      </c>
      <c r="K907" s="64">
        <v>19.878299999999999</v>
      </c>
      <c r="L907" s="64">
        <v>19.8903</v>
      </c>
      <c r="M907" s="64">
        <v>19.872</v>
      </c>
    </row>
    <row r="908" spans="1:13">
      <c r="A908" s="65" t="s">
        <v>2116</v>
      </c>
      <c r="B908" s="66">
        <f t="shared" si="54"/>
        <v>39595</v>
      </c>
      <c r="C908" s="67">
        <f t="shared" si="55"/>
        <v>2008</v>
      </c>
      <c r="D908" s="68">
        <v>10.3925</v>
      </c>
      <c r="E908" s="68">
        <v>10.3848</v>
      </c>
      <c r="F908" s="68">
        <v>10.4</v>
      </c>
      <c r="H908" s="69" t="s">
        <v>2117</v>
      </c>
      <c r="I908" s="66">
        <f t="shared" si="57"/>
        <v>44343</v>
      </c>
      <c r="J908" s="70">
        <f t="shared" si="56"/>
        <v>2021</v>
      </c>
      <c r="K908" s="71">
        <v>19.948699999999999</v>
      </c>
      <c r="L908" s="71">
        <v>19.878299999999999</v>
      </c>
      <c r="M908" s="71">
        <v>19.8903</v>
      </c>
    </row>
    <row r="909" spans="1:13">
      <c r="A909" s="57" t="s">
        <v>2118</v>
      </c>
      <c r="B909" s="58">
        <f t="shared" si="54"/>
        <v>39596</v>
      </c>
      <c r="C909" s="59">
        <f t="shared" si="55"/>
        <v>2008</v>
      </c>
      <c r="D909" s="61">
        <v>10.3447</v>
      </c>
      <c r="E909" s="61">
        <v>10.3925</v>
      </c>
      <c r="F909" s="61">
        <v>10.3848</v>
      </c>
      <c r="H909" s="62" t="s">
        <v>2119</v>
      </c>
      <c r="I909" s="58">
        <f t="shared" si="57"/>
        <v>44344</v>
      </c>
      <c r="J909" s="60">
        <f t="shared" si="56"/>
        <v>2021</v>
      </c>
      <c r="K909" s="64">
        <v>19.944199999999999</v>
      </c>
      <c r="L909" s="64">
        <v>19.948699999999999</v>
      </c>
      <c r="M909" s="64">
        <v>19.878299999999999</v>
      </c>
    </row>
    <row r="910" spans="1:13">
      <c r="A910" s="65" t="s">
        <v>2120</v>
      </c>
      <c r="B910" s="66">
        <f t="shared" si="54"/>
        <v>39597</v>
      </c>
      <c r="C910" s="67">
        <f t="shared" si="55"/>
        <v>2008</v>
      </c>
      <c r="D910" s="68">
        <v>10.3066</v>
      </c>
      <c r="E910" s="68">
        <v>10.3447</v>
      </c>
      <c r="F910" s="68">
        <v>10.3925</v>
      </c>
      <c r="H910" s="69" t="s">
        <v>2121</v>
      </c>
      <c r="I910" s="66">
        <f t="shared" si="57"/>
        <v>44345</v>
      </c>
      <c r="J910" s="70">
        <f t="shared" si="56"/>
        <v>2021</v>
      </c>
      <c r="K910" s="72" t="s">
        <v>362</v>
      </c>
      <c r="L910" s="72" t="s">
        <v>362</v>
      </c>
      <c r="M910" s="71">
        <v>19.948699999999999</v>
      </c>
    </row>
    <row r="911" spans="1:13">
      <c r="A911" s="57" t="s">
        <v>2122</v>
      </c>
      <c r="B911" s="58">
        <f t="shared" si="54"/>
        <v>39598</v>
      </c>
      <c r="C911" s="59">
        <f t="shared" si="55"/>
        <v>2008</v>
      </c>
      <c r="D911" s="61">
        <v>10.3306</v>
      </c>
      <c r="E911" s="61">
        <v>10.3066</v>
      </c>
      <c r="F911" s="61">
        <v>10.3447</v>
      </c>
      <c r="H911" s="62" t="s">
        <v>2123</v>
      </c>
      <c r="I911" s="58">
        <f t="shared" si="57"/>
        <v>44346</v>
      </c>
      <c r="J911" s="60">
        <f t="shared" si="56"/>
        <v>2021</v>
      </c>
      <c r="K911" s="63" t="s">
        <v>362</v>
      </c>
      <c r="L911" s="63" t="s">
        <v>362</v>
      </c>
      <c r="M911" s="64">
        <v>19.948699999999999</v>
      </c>
    </row>
    <row r="912" spans="1:13">
      <c r="A912" s="65" t="s">
        <v>2124</v>
      </c>
      <c r="B912" s="66">
        <f t="shared" si="54"/>
        <v>39599</v>
      </c>
      <c r="C912" s="67">
        <f t="shared" si="55"/>
        <v>2008</v>
      </c>
      <c r="D912" s="70" t="s">
        <v>362</v>
      </c>
      <c r="E912" s="70" t="s">
        <v>362</v>
      </c>
      <c r="F912" s="68">
        <v>10.3066</v>
      </c>
      <c r="H912" s="69" t="s">
        <v>2125</v>
      </c>
      <c r="I912" s="66">
        <f t="shared" si="57"/>
        <v>44347</v>
      </c>
      <c r="J912" s="70">
        <f t="shared" si="56"/>
        <v>2021</v>
      </c>
      <c r="K912" s="71">
        <v>19.921299999999999</v>
      </c>
      <c r="L912" s="71">
        <v>19.944199999999999</v>
      </c>
      <c r="M912" s="71">
        <v>19.948699999999999</v>
      </c>
    </row>
    <row r="913" spans="1:13">
      <c r="A913" s="57" t="s">
        <v>2126</v>
      </c>
      <c r="B913" s="58">
        <f t="shared" si="54"/>
        <v>39600</v>
      </c>
      <c r="C913" s="59">
        <f t="shared" si="55"/>
        <v>2008</v>
      </c>
      <c r="D913" s="60" t="s">
        <v>362</v>
      </c>
      <c r="E913" s="60" t="s">
        <v>362</v>
      </c>
      <c r="F913" s="61">
        <v>10.3066</v>
      </c>
      <c r="H913" s="62" t="s">
        <v>2127</v>
      </c>
      <c r="I913" s="58">
        <f t="shared" si="57"/>
        <v>44348</v>
      </c>
      <c r="J913" s="60">
        <f t="shared" si="56"/>
        <v>2021</v>
      </c>
      <c r="K913" s="64">
        <v>19.892700000000001</v>
      </c>
      <c r="L913" s="64">
        <v>19.921299999999999</v>
      </c>
      <c r="M913" s="64">
        <v>19.944199999999999</v>
      </c>
    </row>
    <row r="914" spans="1:13">
      <c r="A914" s="65" t="s">
        <v>2128</v>
      </c>
      <c r="B914" s="66">
        <f t="shared" si="54"/>
        <v>39601</v>
      </c>
      <c r="C914" s="67">
        <f t="shared" si="55"/>
        <v>2008</v>
      </c>
      <c r="D914" s="68">
        <v>10.341699999999999</v>
      </c>
      <c r="E914" s="68">
        <v>10.3306</v>
      </c>
      <c r="F914" s="68">
        <v>10.3066</v>
      </c>
      <c r="H914" s="69" t="s">
        <v>2129</v>
      </c>
      <c r="I914" s="66">
        <f t="shared" si="57"/>
        <v>44349</v>
      </c>
      <c r="J914" s="70">
        <f t="shared" si="56"/>
        <v>2021</v>
      </c>
      <c r="K914" s="71">
        <v>19.927700000000002</v>
      </c>
      <c r="L914" s="71">
        <v>19.892700000000001</v>
      </c>
      <c r="M914" s="71">
        <v>19.921299999999999</v>
      </c>
    </row>
    <row r="915" spans="1:13">
      <c r="A915" s="57" t="s">
        <v>2130</v>
      </c>
      <c r="B915" s="58">
        <f t="shared" si="54"/>
        <v>39602</v>
      </c>
      <c r="C915" s="59">
        <f t="shared" si="55"/>
        <v>2008</v>
      </c>
      <c r="D915" s="61">
        <v>10.299200000000001</v>
      </c>
      <c r="E915" s="61">
        <v>10.341699999999999</v>
      </c>
      <c r="F915" s="61">
        <v>10.3306</v>
      </c>
      <c r="H915" s="62" t="s">
        <v>2131</v>
      </c>
      <c r="I915" s="58">
        <f t="shared" si="57"/>
        <v>44350</v>
      </c>
      <c r="J915" s="60">
        <f t="shared" si="56"/>
        <v>2021</v>
      </c>
      <c r="K915" s="64">
        <v>20.060500000000001</v>
      </c>
      <c r="L915" s="64">
        <v>19.927700000000002</v>
      </c>
      <c r="M915" s="64">
        <v>19.892700000000001</v>
      </c>
    </row>
    <row r="916" spans="1:13">
      <c r="A916" s="65" t="s">
        <v>2132</v>
      </c>
      <c r="B916" s="66">
        <f t="shared" si="54"/>
        <v>39603</v>
      </c>
      <c r="C916" s="67">
        <f t="shared" si="55"/>
        <v>2008</v>
      </c>
      <c r="D916" s="68">
        <v>10.321099999999999</v>
      </c>
      <c r="E916" s="68">
        <v>10.299200000000001</v>
      </c>
      <c r="F916" s="68">
        <v>10.341699999999999</v>
      </c>
      <c r="H916" s="69" t="s">
        <v>2133</v>
      </c>
      <c r="I916" s="66">
        <f t="shared" si="57"/>
        <v>44351</v>
      </c>
      <c r="J916" s="70">
        <f t="shared" si="56"/>
        <v>2021</v>
      </c>
      <c r="K916" s="71">
        <v>19.9328</v>
      </c>
      <c r="L916" s="71">
        <v>20.060500000000001</v>
      </c>
      <c r="M916" s="71">
        <v>19.927700000000002</v>
      </c>
    </row>
    <row r="917" spans="1:13">
      <c r="A917" s="57" t="s">
        <v>2134</v>
      </c>
      <c r="B917" s="58">
        <f t="shared" si="54"/>
        <v>39604</v>
      </c>
      <c r="C917" s="59">
        <f t="shared" si="55"/>
        <v>2008</v>
      </c>
      <c r="D917" s="61">
        <v>10.3108</v>
      </c>
      <c r="E917" s="61">
        <v>10.321099999999999</v>
      </c>
      <c r="F917" s="61">
        <v>10.299200000000001</v>
      </c>
      <c r="H917" s="62" t="s">
        <v>2135</v>
      </c>
      <c r="I917" s="58">
        <f t="shared" si="57"/>
        <v>44352</v>
      </c>
      <c r="J917" s="60">
        <f t="shared" si="56"/>
        <v>2021</v>
      </c>
      <c r="K917" s="63" t="s">
        <v>362</v>
      </c>
      <c r="L917" s="63" t="s">
        <v>362</v>
      </c>
      <c r="M917" s="64">
        <v>20.060500000000001</v>
      </c>
    </row>
    <row r="918" spans="1:13">
      <c r="A918" s="65" t="s">
        <v>2136</v>
      </c>
      <c r="B918" s="66">
        <f t="shared" si="54"/>
        <v>39605</v>
      </c>
      <c r="C918" s="67">
        <f t="shared" si="55"/>
        <v>2008</v>
      </c>
      <c r="D918" s="68">
        <v>10.3582</v>
      </c>
      <c r="E918" s="68">
        <v>10.3108</v>
      </c>
      <c r="F918" s="68">
        <v>10.321099999999999</v>
      </c>
      <c r="H918" s="69" t="s">
        <v>2137</v>
      </c>
      <c r="I918" s="66">
        <f t="shared" si="57"/>
        <v>44353</v>
      </c>
      <c r="J918" s="70">
        <f t="shared" si="56"/>
        <v>2021</v>
      </c>
      <c r="K918" s="72" t="s">
        <v>362</v>
      </c>
      <c r="L918" s="72" t="s">
        <v>362</v>
      </c>
      <c r="M918" s="71">
        <v>20.060500000000001</v>
      </c>
    </row>
    <row r="919" spans="1:13">
      <c r="A919" s="57" t="s">
        <v>2138</v>
      </c>
      <c r="B919" s="58">
        <f t="shared" si="54"/>
        <v>39606</v>
      </c>
      <c r="C919" s="59">
        <f t="shared" si="55"/>
        <v>2008</v>
      </c>
      <c r="D919" s="60" t="s">
        <v>362</v>
      </c>
      <c r="E919" s="60" t="s">
        <v>362</v>
      </c>
      <c r="F919" s="61">
        <v>10.3108</v>
      </c>
      <c r="H919" s="62" t="s">
        <v>2139</v>
      </c>
      <c r="I919" s="58">
        <f t="shared" si="57"/>
        <v>44354</v>
      </c>
      <c r="J919" s="60">
        <f t="shared" si="56"/>
        <v>2021</v>
      </c>
      <c r="K919" s="64">
        <v>19.797000000000001</v>
      </c>
      <c r="L919" s="64">
        <v>19.9328</v>
      </c>
      <c r="M919" s="64">
        <v>20.060500000000001</v>
      </c>
    </row>
    <row r="920" spans="1:13">
      <c r="A920" s="65" t="s">
        <v>2140</v>
      </c>
      <c r="B920" s="66">
        <f t="shared" si="54"/>
        <v>39607</v>
      </c>
      <c r="C920" s="67">
        <f t="shared" si="55"/>
        <v>2008</v>
      </c>
      <c r="D920" s="70" t="s">
        <v>362</v>
      </c>
      <c r="E920" s="70" t="s">
        <v>362</v>
      </c>
      <c r="F920" s="68">
        <v>10.3108</v>
      </c>
      <c r="H920" s="69" t="s">
        <v>2141</v>
      </c>
      <c r="I920" s="66">
        <f t="shared" si="57"/>
        <v>44355</v>
      </c>
      <c r="J920" s="70">
        <f t="shared" si="56"/>
        <v>2021</v>
      </c>
      <c r="K920" s="71">
        <v>19.7728</v>
      </c>
      <c r="L920" s="71">
        <v>19.797000000000001</v>
      </c>
      <c r="M920" s="71">
        <v>19.9328</v>
      </c>
    </row>
    <row r="921" spans="1:13">
      <c r="A921" s="57" t="s">
        <v>2142</v>
      </c>
      <c r="B921" s="58">
        <f t="shared" si="54"/>
        <v>39608</v>
      </c>
      <c r="C921" s="59">
        <f t="shared" si="55"/>
        <v>2008</v>
      </c>
      <c r="D921" s="61">
        <v>10.362</v>
      </c>
      <c r="E921" s="61">
        <v>10.3582</v>
      </c>
      <c r="F921" s="61">
        <v>10.3108</v>
      </c>
      <c r="H921" s="62" t="s">
        <v>2143</v>
      </c>
      <c r="I921" s="58">
        <f t="shared" si="57"/>
        <v>44356</v>
      </c>
      <c r="J921" s="60">
        <f t="shared" si="56"/>
        <v>2021</v>
      </c>
      <c r="K921" s="64">
        <v>19.689699999999998</v>
      </c>
      <c r="L921" s="64">
        <v>19.7728</v>
      </c>
      <c r="M921" s="64">
        <v>19.797000000000001</v>
      </c>
    </row>
    <row r="922" spans="1:13">
      <c r="A922" s="65" t="s">
        <v>2144</v>
      </c>
      <c r="B922" s="66">
        <f t="shared" si="54"/>
        <v>39609</v>
      </c>
      <c r="C922" s="67">
        <f t="shared" si="55"/>
        <v>2008</v>
      </c>
      <c r="D922" s="68">
        <v>10.3847</v>
      </c>
      <c r="E922" s="68">
        <v>10.362</v>
      </c>
      <c r="F922" s="68">
        <v>10.3582</v>
      </c>
      <c r="H922" s="69" t="s">
        <v>2145</v>
      </c>
      <c r="I922" s="66">
        <f t="shared" si="57"/>
        <v>44357</v>
      </c>
      <c r="J922" s="70">
        <f t="shared" si="56"/>
        <v>2021</v>
      </c>
      <c r="K922" s="71">
        <v>19.700199999999999</v>
      </c>
      <c r="L922" s="71">
        <v>19.689699999999998</v>
      </c>
      <c r="M922" s="71">
        <v>19.7728</v>
      </c>
    </row>
    <row r="923" spans="1:13">
      <c r="A923" s="57" t="s">
        <v>2146</v>
      </c>
      <c r="B923" s="58">
        <f t="shared" si="54"/>
        <v>39610</v>
      </c>
      <c r="C923" s="59">
        <f t="shared" si="55"/>
        <v>2008</v>
      </c>
      <c r="D923" s="61">
        <v>10.4268</v>
      </c>
      <c r="E923" s="61">
        <v>10.3847</v>
      </c>
      <c r="F923" s="61">
        <v>10.362</v>
      </c>
      <c r="H923" s="62" t="s">
        <v>2147</v>
      </c>
      <c r="I923" s="58">
        <f t="shared" si="57"/>
        <v>44358</v>
      </c>
      <c r="J923" s="60">
        <f t="shared" si="56"/>
        <v>2021</v>
      </c>
      <c r="K923" s="64">
        <v>19.882300000000001</v>
      </c>
      <c r="L923" s="64">
        <v>19.700199999999999</v>
      </c>
      <c r="M923" s="64">
        <v>19.689699999999998</v>
      </c>
    </row>
    <row r="924" spans="1:13">
      <c r="A924" s="65" t="s">
        <v>2148</v>
      </c>
      <c r="B924" s="66">
        <f t="shared" si="54"/>
        <v>39611</v>
      </c>
      <c r="C924" s="67">
        <f t="shared" si="55"/>
        <v>2008</v>
      </c>
      <c r="D924" s="68">
        <v>10.395</v>
      </c>
      <c r="E924" s="68">
        <v>10.4268</v>
      </c>
      <c r="F924" s="68">
        <v>10.3847</v>
      </c>
      <c r="H924" s="69" t="s">
        <v>2149</v>
      </c>
      <c r="I924" s="66">
        <f t="shared" si="57"/>
        <v>44359</v>
      </c>
      <c r="J924" s="70">
        <f t="shared" si="56"/>
        <v>2021</v>
      </c>
      <c r="K924" s="72" t="s">
        <v>362</v>
      </c>
      <c r="L924" s="72" t="s">
        <v>362</v>
      </c>
      <c r="M924" s="71">
        <v>19.700199999999999</v>
      </c>
    </row>
    <row r="925" spans="1:13">
      <c r="A925" s="57" t="s">
        <v>2150</v>
      </c>
      <c r="B925" s="58">
        <f t="shared" si="54"/>
        <v>39612</v>
      </c>
      <c r="C925" s="59">
        <f t="shared" si="55"/>
        <v>2008</v>
      </c>
      <c r="D925" s="61">
        <v>10.365500000000001</v>
      </c>
      <c r="E925" s="61">
        <v>10.395</v>
      </c>
      <c r="F925" s="61">
        <v>10.4268</v>
      </c>
      <c r="H925" s="62" t="s">
        <v>2151</v>
      </c>
      <c r="I925" s="58">
        <f t="shared" si="57"/>
        <v>44360</v>
      </c>
      <c r="J925" s="60">
        <f t="shared" si="56"/>
        <v>2021</v>
      </c>
      <c r="K925" s="63" t="s">
        <v>362</v>
      </c>
      <c r="L925" s="63" t="s">
        <v>362</v>
      </c>
      <c r="M925" s="64">
        <v>19.700199999999999</v>
      </c>
    </row>
    <row r="926" spans="1:13">
      <c r="A926" s="65" t="s">
        <v>2152</v>
      </c>
      <c r="B926" s="66">
        <f t="shared" si="54"/>
        <v>39613</v>
      </c>
      <c r="C926" s="67">
        <f t="shared" si="55"/>
        <v>2008</v>
      </c>
      <c r="D926" s="70" t="s">
        <v>362</v>
      </c>
      <c r="E926" s="70" t="s">
        <v>362</v>
      </c>
      <c r="F926" s="68">
        <v>10.395</v>
      </c>
      <c r="H926" s="69" t="s">
        <v>2153</v>
      </c>
      <c r="I926" s="66">
        <f t="shared" si="57"/>
        <v>44361</v>
      </c>
      <c r="J926" s="70">
        <f t="shared" si="56"/>
        <v>2021</v>
      </c>
      <c r="K926" s="71">
        <v>19.906500000000001</v>
      </c>
      <c r="L926" s="71">
        <v>19.882300000000001</v>
      </c>
      <c r="M926" s="71">
        <v>19.700199999999999</v>
      </c>
    </row>
    <row r="927" spans="1:13">
      <c r="A927" s="57" t="s">
        <v>2154</v>
      </c>
      <c r="B927" s="58">
        <f t="shared" ref="B927:B990" si="58">DATE(RIGHT(A927,4),LEFT(RIGHT(A927,7),2),LEFT(A927,2))</f>
        <v>39614</v>
      </c>
      <c r="C927" s="59">
        <f t="shared" ref="C927:C990" si="59">YEAR(B927)</f>
        <v>2008</v>
      </c>
      <c r="D927" s="60" t="s">
        <v>362</v>
      </c>
      <c r="E927" s="60" t="s">
        <v>362</v>
      </c>
      <c r="F927" s="61">
        <v>10.395</v>
      </c>
      <c r="H927" s="62" t="s">
        <v>2155</v>
      </c>
      <c r="I927" s="58">
        <f t="shared" si="57"/>
        <v>44362</v>
      </c>
      <c r="J927" s="60">
        <f t="shared" ref="J927:J990" si="60">YEAR(I927)</f>
        <v>2021</v>
      </c>
      <c r="K927" s="64">
        <v>20.1235</v>
      </c>
      <c r="L927" s="64">
        <v>19.906500000000001</v>
      </c>
      <c r="M927" s="64">
        <v>19.882300000000001</v>
      </c>
    </row>
    <row r="928" spans="1:13">
      <c r="A928" s="65" t="s">
        <v>2156</v>
      </c>
      <c r="B928" s="66">
        <f t="shared" si="58"/>
        <v>39615</v>
      </c>
      <c r="C928" s="67">
        <f t="shared" si="59"/>
        <v>2008</v>
      </c>
      <c r="D928" s="68">
        <v>10.3399</v>
      </c>
      <c r="E928" s="68">
        <v>10.365500000000001</v>
      </c>
      <c r="F928" s="68">
        <v>10.395</v>
      </c>
      <c r="H928" s="69" t="s">
        <v>2157</v>
      </c>
      <c r="I928" s="66">
        <f t="shared" ref="I928:I991" si="61">DATE(RIGHT(H928,4),LEFT(RIGHT(A928,7),2),LEFT(A928,2))</f>
        <v>44363</v>
      </c>
      <c r="J928" s="70">
        <f t="shared" si="60"/>
        <v>2021</v>
      </c>
      <c r="K928" s="71">
        <v>20.058800000000002</v>
      </c>
      <c r="L928" s="71">
        <v>20.1235</v>
      </c>
      <c r="M928" s="71">
        <v>19.906500000000001</v>
      </c>
    </row>
    <row r="929" spans="1:13">
      <c r="A929" s="57" t="s">
        <v>2158</v>
      </c>
      <c r="B929" s="58">
        <f t="shared" si="58"/>
        <v>39616</v>
      </c>
      <c r="C929" s="59">
        <f t="shared" si="59"/>
        <v>2008</v>
      </c>
      <c r="D929" s="61">
        <v>10.315300000000001</v>
      </c>
      <c r="E929" s="61">
        <v>10.3399</v>
      </c>
      <c r="F929" s="61">
        <v>10.365500000000001</v>
      </c>
      <c r="H929" s="62" t="s">
        <v>2159</v>
      </c>
      <c r="I929" s="58">
        <f t="shared" si="61"/>
        <v>44364</v>
      </c>
      <c r="J929" s="60">
        <f t="shared" si="60"/>
        <v>2021</v>
      </c>
      <c r="K929" s="64">
        <v>20.429200000000002</v>
      </c>
      <c r="L929" s="64">
        <v>20.058800000000002</v>
      </c>
      <c r="M929" s="64">
        <v>20.1235</v>
      </c>
    </row>
    <row r="930" spans="1:13">
      <c r="A930" s="65" t="s">
        <v>2160</v>
      </c>
      <c r="B930" s="66">
        <f t="shared" si="58"/>
        <v>39617</v>
      </c>
      <c r="C930" s="67">
        <f t="shared" si="59"/>
        <v>2008</v>
      </c>
      <c r="D930" s="68">
        <v>10.2935</v>
      </c>
      <c r="E930" s="68">
        <v>10.315300000000001</v>
      </c>
      <c r="F930" s="68">
        <v>10.3399</v>
      </c>
      <c r="H930" s="69" t="s">
        <v>2161</v>
      </c>
      <c r="I930" s="66">
        <f t="shared" si="61"/>
        <v>44365</v>
      </c>
      <c r="J930" s="70">
        <f t="shared" si="60"/>
        <v>2021</v>
      </c>
      <c r="K930" s="71">
        <v>20.700199999999999</v>
      </c>
      <c r="L930" s="71">
        <v>20.429200000000002</v>
      </c>
      <c r="M930" s="71">
        <v>20.058800000000002</v>
      </c>
    </row>
    <row r="931" spans="1:13">
      <c r="A931" s="57" t="s">
        <v>2162</v>
      </c>
      <c r="B931" s="58">
        <f t="shared" si="58"/>
        <v>39618</v>
      </c>
      <c r="C931" s="59">
        <f t="shared" si="59"/>
        <v>2008</v>
      </c>
      <c r="D931" s="61">
        <v>10.3156</v>
      </c>
      <c r="E931" s="61">
        <v>10.2935</v>
      </c>
      <c r="F931" s="61">
        <v>10.315300000000001</v>
      </c>
      <c r="H931" s="62" t="s">
        <v>2163</v>
      </c>
      <c r="I931" s="58">
        <f t="shared" si="61"/>
        <v>44366</v>
      </c>
      <c r="J931" s="60">
        <f t="shared" si="60"/>
        <v>2021</v>
      </c>
      <c r="K931" s="63" t="s">
        <v>362</v>
      </c>
      <c r="L931" s="63" t="s">
        <v>362</v>
      </c>
      <c r="M931" s="64">
        <v>20.429200000000002</v>
      </c>
    </row>
    <row r="932" spans="1:13">
      <c r="A932" s="65" t="s">
        <v>2164</v>
      </c>
      <c r="B932" s="66">
        <f t="shared" si="58"/>
        <v>39619</v>
      </c>
      <c r="C932" s="67">
        <f t="shared" si="59"/>
        <v>2008</v>
      </c>
      <c r="D932" s="68">
        <v>10.2753</v>
      </c>
      <c r="E932" s="68">
        <v>10.3156</v>
      </c>
      <c r="F932" s="68">
        <v>10.2935</v>
      </c>
      <c r="H932" s="69" t="s">
        <v>2165</v>
      </c>
      <c r="I932" s="66">
        <f t="shared" si="61"/>
        <v>44367</v>
      </c>
      <c r="J932" s="70">
        <f t="shared" si="60"/>
        <v>2021</v>
      </c>
      <c r="K932" s="72" t="s">
        <v>362</v>
      </c>
      <c r="L932" s="72" t="s">
        <v>362</v>
      </c>
      <c r="M932" s="71">
        <v>20.429200000000002</v>
      </c>
    </row>
    <row r="933" spans="1:13">
      <c r="A933" s="57" t="s">
        <v>2166</v>
      </c>
      <c r="B933" s="58">
        <f t="shared" si="58"/>
        <v>39620</v>
      </c>
      <c r="C933" s="59">
        <f t="shared" si="59"/>
        <v>2008</v>
      </c>
      <c r="D933" s="60" t="s">
        <v>362</v>
      </c>
      <c r="E933" s="60" t="s">
        <v>362</v>
      </c>
      <c r="F933" s="61">
        <v>10.3156</v>
      </c>
      <c r="H933" s="62" t="s">
        <v>2167</v>
      </c>
      <c r="I933" s="58">
        <f t="shared" si="61"/>
        <v>44368</v>
      </c>
      <c r="J933" s="60">
        <f t="shared" si="60"/>
        <v>2021</v>
      </c>
      <c r="K933" s="64">
        <v>20.6</v>
      </c>
      <c r="L933" s="64">
        <v>20.700199999999999</v>
      </c>
      <c r="M933" s="64">
        <v>20.429200000000002</v>
      </c>
    </row>
    <row r="934" spans="1:13">
      <c r="A934" s="65" t="s">
        <v>2168</v>
      </c>
      <c r="B934" s="66">
        <f t="shared" si="58"/>
        <v>39621</v>
      </c>
      <c r="C934" s="67">
        <f t="shared" si="59"/>
        <v>2008</v>
      </c>
      <c r="D934" s="70" t="s">
        <v>362</v>
      </c>
      <c r="E934" s="70" t="s">
        <v>362</v>
      </c>
      <c r="F934" s="68">
        <v>10.3156</v>
      </c>
      <c r="H934" s="69" t="s">
        <v>2169</v>
      </c>
      <c r="I934" s="66">
        <f t="shared" si="61"/>
        <v>44369</v>
      </c>
      <c r="J934" s="70">
        <f t="shared" si="60"/>
        <v>2021</v>
      </c>
      <c r="K934" s="71">
        <v>20.571200000000001</v>
      </c>
      <c r="L934" s="71">
        <v>20.6</v>
      </c>
      <c r="M934" s="71">
        <v>20.700199999999999</v>
      </c>
    </row>
    <row r="935" spans="1:13">
      <c r="A935" s="57" t="s">
        <v>2170</v>
      </c>
      <c r="B935" s="58">
        <f t="shared" si="58"/>
        <v>39622</v>
      </c>
      <c r="C935" s="59">
        <f t="shared" si="59"/>
        <v>2008</v>
      </c>
      <c r="D935" s="61">
        <v>10.3032</v>
      </c>
      <c r="E935" s="61">
        <v>10.2753</v>
      </c>
      <c r="F935" s="61">
        <v>10.3156</v>
      </c>
      <c r="H935" s="62" t="s">
        <v>2171</v>
      </c>
      <c r="I935" s="58">
        <f t="shared" si="61"/>
        <v>44370</v>
      </c>
      <c r="J935" s="60">
        <f t="shared" si="60"/>
        <v>2021</v>
      </c>
      <c r="K935" s="64">
        <v>20.250499999999999</v>
      </c>
      <c r="L935" s="64">
        <v>20.571200000000001</v>
      </c>
      <c r="M935" s="64">
        <v>20.6</v>
      </c>
    </row>
    <row r="936" spans="1:13">
      <c r="A936" s="65" t="s">
        <v>2172</v>
      </c>
      <c r="B936" s="66">
        <f t="shared" si="58"/>
        <v>39623</v>
      </c>
      <c r="C936" s="67">
        <f t="shared" si="59"/>
        <v>2008</v>
      </c>
      <c r="D936" s="68">
        <v>10.318</v>
      </c>
      <c r="E936" s="68">
        <v>10.3032</v>
      </c>
      <c r="F936" s="68">
        <v>10.2753</v>
      </c>
      <c r="H936" s="69" t="s">
        <v>2173</v>
      </c>
      <c r="I936" s="66">
        <f t="shared" si="61"/>
        <v>44371</v>
      </c>
      <c r="J936" s="70">
        <f t="shared" si="60"/>
        <v>2021</v>
      </c>
      <c r="K936" s="71">
        <v>20.048300000000001</v>
      </c>
      <c r="L936" s="71">
        <v>20.250499999999999</v>
      </c>
      <c r="M936" s="71">
        <v>20.571200000000001</v>
      </c>
    </row>
    <row r="937" spans="1:13">
      <c r="A937" s="57" t="s">
        <v>2174</v>
      </c>
      <c r="B937" s="58">
        <f t="shared" si="58"/>
        <v>39624</v>
      </c>
      <c r="C937" s="59">
        <f t="shared" si="59"/>
        <v>2008</v>
      </c>
      <c r="D937" s="61">
        <v>10.293799999999999</v>
      </c>
      <c r="E937" s="61">
        <v>10.318</v>
      </c>
      <c r="F937" s="61">
        <v>10.3032</v>
      </c>
      <c r="H937" s="62" t="s">
        <v>2175</v>
      </c>
      <c r="I937" s="58">
        <f t="shared" si="61"/>
        <v>44372</v>
      </c>
      <c r="J937" s="60">
        <f t="shared" si="60"/>
        <v>2021</v>
      </c>
      <c r="K937" s="64">
        <v>19.792999999999999</v>
      </c>
      <c r="L937" s="64">
        <v>20.048300000000001</v>
      </c>
      <c r="M937" s="64">
        <v>20.250499999999999</v>
      </c>
    </row>
    <row r="938" spans="1:13">
      <c r="A938" s="65" t="s">
        <v>2176</v>
      </c>
      <c r="B938" s="66">
        <f t="shared" si="58"/>
        <v>39625</v>
      </c>
      <c r="C938" s="67">
        <f t="shared" si="59"/>
        <v>2008</v>
      </c>
      <c r="D938" s="68">
        <v>10.2841</v>
      </c>
      <c r="E938" s="68">
        <v>10.293799999999999</v>
      </c>
      <c r="F938" s="68">
        <v>10.318</v>
      </c>
      <c r="H938" s="69" t="s">
        <v>2177</v>
      </c>
      <c r="I938" s="66">
        <f t="shared" si="61"/>
        <v>44373</v>
      </c>
      <c r="J938" s="70">
        <f t="shared" si="60"/>
        <v>2021</v>
      </c>
      <c r="K938" s="72" t="s">
        <v>362</v>
      </c>
      <c r="L938" s="72" t="s">
        <v>362</v>
      </c>
      <c r="M938" s="71">
        <v>20.048300000000001</v>
      </c>
    </row>
    <row r="939" spans="1:13">
      <c r="A939" s="57" t="s">
        <v>2178</v>
      </c>
      <c r="B939" s="58">
        <f t="shared" si="58"/>
        <v>39626</v>
      </c>
      <c r="C939" s="59">
        <f t="shared" si="59"/>
        <v>2008</v>
      </c>
      <c r="D939" s="61">
        <v>10.3028</v>
      </c>
      <c r="E939" s="61">
        <v>10.2841</v>
      </c>
      <c r="F939" s="61">
        <v>10.293799999999999</v>
      </c>
      <c r="H939" s="62" t="s">
        <v>2179</v>
      </c>
      <c r="I939" s="58">
        <f t="shared" si="61"/>
        <v>44374</v>
      </c>
      <c r="J939" s="60">
        <f t="shared" si="60"/>
        <v>2021</v>
      </c>
      <c r="K939" s="63" t="s">
        <v>362</v>
      </c>
      <c r="L939" s="63" t="s">
        <v>362</v>
      </c>
      <c r="M939" s="64">
        <v>20.048300000000001</v>
      </c>
    </row>
    <row r="940" spans="1:13">
      <c r="A940" s="65" t="s">
        <v>2180</v>
      </c>
      <c r="B940" s="66">
        <f t="shared" si="58"/>
        <v>39627</v>
      </c>
      <c r="C940" s="67">
        <f t="shared" si="59"/>
        <v>2008</v>
      </c>
      <c r="D940" s="70" t="s">
        <v>362</v>
      </c>
      <c r="E940" s="70" t="s">
        <v>362</v>
      </c>
      <c r="F940" s="68">
        <v>10.2841</v>
      </c>
      <c r="H940" s="69" t="s">
        <v>2181</v>
      </c>
      <c r="I940" s="66">
        <f t="shared" si="61"/>
        <v>44375</v>
      </c>
      <c r="J940" s="70">
        <f t="shared" si="60"/>
        <v>2021</v>
      </c>
      <c r="K940" s="71">
        <v>19.802700000000002</v>
      </c>
      <c r="L940" s="71">
        <v>19.792999999999999</v>
      </c>
      <c r="M940" s="71">
        <v>20.048300000000001</v>
      </c>
    </row>
    <row r="941" spans="1:13">
      <c r="A941" s="57" t="s">
        <v>2182</v>
      </c>
      <c r="B941" s="58">
        <f t="shared" si="58"/>
        <v>39628</v>
      </c>
      <c r="C941" s="59">
        <f t="shared" si="59"/>
        <v>2008</v>
      </c>
      <c r="D941" s="60" t="s">
        <v>362</v>
      </c>
      <c r="E941" s="60" t="s">
        <v>362</v>
      </c>
      <c r="F941" s="61">
        <v>10.2841</v>
      </c>
      <c r="H941" s="62" t="s">
        <v>2183</v>
      </c>
      <c r="I941" s="58">
        <f t="shared" si="61"/>
        <v>44376</v>
      </c>
      <c r="J941" s="60">
        <f t="shared" si="60"/>
        <v>2021</v>
      </c>
      <c r="K941" s="64">
        <v>19.8157</v>
      </c>
      <c r="L941" s="64">
        <v>19.802700000000002</v>
      </c>
      <c r="M941" s="64">
        <v>19.792999999999999</v>
      </c>
    </row>
    <row r="942" spans="1:13">
      <c r="A942" s="65" t="s">
        <v>2184</v>
      </c>
      <c r="B942" s="66">
        <f t="shared" si="58"/>
        <v>39629</v>
      </c>
      <c r="C942" s="67">
        <f t="shared" si="59"/>
        <v>2008</v>
      </c>
      <c r="D942" s="68">
        <v>10.306900000000001</v>
      </c>
      <c r="E942" s="68">
        <v>10.3028</v>
      </c>
      <c r="F942" s="68">
        <v>10.2841</v>
      </c>
      <c r="H942" s="69" t="s">
        <v>2185</v>
      </c>
      <c r="I942" s="66">
        <f t="shared" si="61"/>
        <v>44377</v>
      </c>
      <c r="J942" s="70">
        <f t="shared" si="60"/>
        <v>2021</v>
      </c>
      <c r="K942" s="71">
        <v>19.906199999999998</v>
      </c>
      <c r="L942" s="71">
        <v>19.8157</v>
      </c>
      <c r="M942" s="71">
        <v>19.802700000000002</v>
      </c>
    </row>
    <row r="943" spans="1:13">
      <c r="A943" s="57" t="s">
        <v>2186</v>
      </c>
      <c r="B943" s="58">
        <f t="shared" si="58"/>
        <v>39630</v>
      </c>
      <c r="C943" s="59">
        <f t="shared" si="59"/>
        <v>2008</v>
      </c>
      <c r="D943" s="61">
        <v>10.3908</v>
      </c>
      <c r="E943" s="61">
        <v>10.306900000000001</v>
      </c>
      <c r="F943" s="61">
        <v>10.3028</v>
      </c>
      <c r="H943" s="62" t="s">
        <v>2187</v>
      </c>
      <c r="I943" s="58">
        <f t="shared" si="61"/>
        <v>44378</v>
      </c>
      <c r="J943" s="60">
        <f t="shared" si="60"/>
        <v>2021</v>
      </c>
      <c r="K943" s="64">
        <v>20.036799999999999</v>
      </c>
      <c r="L943" s="64">
        <v>19.906199999999998</v>
      </c>
      <c r="M943" s="64">
        <v>19.8157</v>
      </c>
    </row>
    <row r="944" spans="1:13">
      <c r="A944" s="65" t="s">
        <v>2188</v>
      </c>
      <c r="B944" s="66">
        <f t="shared" si="58"/>
        <v>39631</v>
      </c>
      <c r="C944" s="67">
        <f t="shared" si="59"/>
        <v>2008</v>
      </c>
      <c r="D944" s="68">
        <v>10.372199999999999</v>
      </c>
      <c r="E944" s="68">
        <v>10.3908</v>
      </c>
      <c r="F944" s="68">
        <v>10.306900000000001</v>
      </c>
      <c r="H944" s="69" t="s">
        <v>2189</v>
      </c>
      <c r="I944" s="66">
        <f t="shared" si="61"/>
        <v>44379</v>
      </c>
      <c r="J944" s="70">
        <f t="shared" si="60"/>
        <v>2021</v>
      </c>
      <c r="K944" s="71">
        <v>19.881699999999999</v>
      </c>
      <c r="L944" s="71">
        <v>20.036799999999999</v>
      </c>
      <c r="M944" s="71">
        <v>19.906199999999998</v>
      </c>
    </row>
    <row r="945" spans="1:13">
      <c r="A945" s="57" t="s">
        <v>2190</v>
      </c>
      <c r="B945" s="58">
        <f t="shared" si="58"/>
        <v>39632</v>
      </c>
      <c r="C945" s="59">
        <f t="shared" si="59"/>
        <v>2008</v>
      </c>
      <c r="D945" s="61">
        <v>10.369199999999999</v>
      </c>
      <c r="E945" s="61">
        <v>10.372199999999999</v>
      </c>
      <c r="F945" s="61">
        <v>10.3908</v>
      </c>
      <c r="H945" s="62" t="s">
        <v>2191</v>
      </c>
      <c r="I945" s="58">
        <f t="shared" si="61"/>
        <v>44380</v>
      </c>
      <c r="J945" s="60">
        <f t="shared" si="60"/>
        <v>2021</v>
      </c>
      <c r="K945" s="63" t="s">
        <v>362</v>
      </c>
      <c r="L945" s="63" t="s">
        <v>362</v>
      </c>
      <c r="M945" s="64">
        <v>20.036799999999999</v>
      </c>
    </row>
    <row r="946" spans="1:13">
      <c r="A946" s="65" t="s">
        <v>2192</v>
      </c>
      <c r="B946" s="66">
        <f t="shared" si="58"/>
        <v>39633</v>
      </c>
      <c r="C946" s="67">
        <f t="shared" si="59"/>
        <v>2008</v>
      </c>
      <c r="D946" s="68">
        <v>10.341100000000001</v>
      </c>
      <c r="E946" s="68">
        <v>10.369199999999999</v>
      </c>
      <c r="F946" s="68">
        <v>10.372199999999999</v>
      </c>
      <c r="H946" s="69" t="s">
        <v>2193</v>
      </c>
      <c r="I946" s="66">
        <f t="shared" si="61"/>
        <v>44381</v>
      </c>
      <c r="J946" s="70">
        <f t="shared" si="60"/>
        <v>2021</v>
      </c>
      <c r="K946" s="72" t="s">
        <v>362</v>
      </c>
      <c r="L946" s="72" t="s">
        <v>362</v>
      </c>
      <c r="M946" s="71">
        <v>20.036799999999999</v>
      </c>
    </row>
    <row r="947" spans="1:13">
      <c r="A947" s="57" t="s">
        <v>2194</v>
      </c>
      <c r="B947" s="58">
        <f t="shared" si="58"/>
        <v>39634</v>
      </c>
      <c r="C947" s="59">
        <f t="shared" si="59"/>
        <v>2008</v>
      </c>
      <c r="D947" s="60" t="s">
        <v>362</v>
      </c>
      <c r="E947" s="60" t="s">
        <v>362</v>
      </c>
      <c r="F947" s="61">
        <v>10.369199999999999</v>
      </c>
      <c r="H947" s="62" t="s">
        <v>2195</v>
      </c>
      <c r="I947" s="58">
        <f t="shared" si="61"/>
        <v>44382</v>
      </c>
      <c r="J947" s="60">
        <f t="shared" si="60"/>
        <v>2021</v>
      </c>
      <c r="K947" s="64">
        <v>19.853200000000001</v>
      </c>
      <c r="L947" s="64">
        <v>19.881699999999999</v>
      </c>
      <c r="M947" s="64">
        <v>20.036799999999999</v>
      </c>
    </row>
    <row r="948" spans="1:13">
      <c r="A948" s="65" t="s">
        <v>2196</v>
      </c>
      <c r="B948" s="66">
        <f t="shared" si="58"/>
        <v>39635</v>
      </c>
      <c r="C948" s="67">
        <f t="shared" si="59"/>
        <v>2008</v>
      </c>
      <c r="D948" s="70" t="s">
        <v>362</v>
      </c>
      <c r="E948" s="70" t="s">
        <v>362</v>
      </c>
      <c r="F948" s="68">
        <v>10.369199999999999</v>
      </c>
      <c r="H948" s="69" t="s">
        <v>2197</v>
      </c>
      <c r="I948" s="66">
        <f t="shared" si="61"/>
        <v>44383</v>
      </c>
      <c r="J948" s="70">
        <f t="shared" si="60"/>
        <v>2021</v>
      </c>
      <c r="K948" s="71">
        <v>19.965800000000002</v>
      </c>
      <c r="L948" s="71">
        <v>19.853200000000001</v>
      </c>
      <c r="M948" s="71">
        <v>19.881699999999999</v>
      </c>
    </row>
    <row r="949" spans="1:13">
      <c r="A949" s="57" t="s">
        <v>2198</v>
      </c>
      <c r="B949" s="58">
        <f t="shared" si="58"/>
        <v>39636</v>
      </c>
      <c r="C949" s="59">
        <f t="shared" si="59"/>
        <v>2008</v>
      </c>
      <c r="D949" s="61">
        <v>10.3263</v>
      </c>
      <c r="E949" s="61">
        <v>10.341100000000001</v>
      </c>
      <c r="F949" s="61">
        <v>10.369199999999999</v>
      </c>
      <c r="H949" s="62" t="s">
        <v>2199</v>
      </c>
      <c r="I949" s="58">
        <f t="shared" si="61"/>
        <v>44384</v>
      </c>
      <c r="J949" s="60">
        <f t="shared" si="60"/>
        <v>2021</v>
      </c>
      <c r="K949" s="64">
        <v>19.991499999999998</v>
      </c>
      <c r="L949" s="64">
        <v>19.965800000000002</v>
      </c>
      <c r="M949" s="64">
        <v>19.853200000000001</v>
      </c>
    </row>
    <row r="950" spans="1:13">
      <c r="A950" s="65" t="s">
        <v>2200</v>
      </c>
      <c r="B950" s="66">
        <f t="shared" si="58"/>
        <v>39637</v>
      </c>
      <c r="C950" s="67">
        <f t="shared" si="59"/>
        <v>2008</v>
      </c>
      <c r="D950" s="68">
        <v>10.3363</v>
      </c>
      <c r="E950" s="68">
        <v>10.3263</v>
      </c>
      <c r="F950" s="68">
        <v>10.341100000000001</v>
      </c>
      <c r="H950" s="69" t="s">
        <v>2201</v>
      </c>
      <c r="I950" s="66">
        <f t="shared" si="61"/>
        <v>44385</v>
      </c>
      <c r="J950" s="70">
        <f t="shared" si="60"/>
        <v>2021</v>
      </c>
      <c r="K950" s="71">
        <v>20.007000000000001</v>
      </c>
      <c r="L950" s="71">
        <v>19.991499999999998</v>
      </c>
      <c r="M950" s="71">
        <v>19.965800000000002</v>
      </c>
    </row>
    <row r="951" spans="1:13">
      <c r="A951" s="57" t="s">
        <v>2202</v>
      </c>
      <c r="B951" s="58">
        <f t="shared" si="58"/>
        <v>39638</v>
      </c>
      <c r="C951" s="59">
        <f t="shared" si="59"/>
        <v>2008</v>
      </c>
      <c r="D951" s="61">
        <v>10.299300000000001</v>
      </c>
      <c r="E951" s="61">
        <v>10.3363</v>
      </c>
      <c r="F951" s="61">
        <v>10.3263</v>
      </c>
      <c r="H951" s="62" t="s">
        <v>2203</v>
      </c>
      <c r="I951" s="58">
        <f t="shared" si="61"/>
        <v>44386</v>
      </c>
      <c r="J951" s="60">
        <f t="shared" si="60"/>
        <v>2021</v>
      </c>
      <c r="K951" s="64">
        <v>19.88</v>
      </c>
      <c r="L951" s="64">
        <v>20.007000000000001</v>
      </c>
      <c r="M951" s="64">
        <v>19.991499999999998</v>
      </c>
    </row>
    <row r="952" spans="1:13">
      <c r="A952" s="65" t="s">
        <v>2204</v>
      </c>
      <c r="B952" s="66">
        <f t="shared" si="58"/>
        <v>39639</v>
      </c>
      <c r="C952" s="67">
        <f t="shared" si="59"/>
        <v>2008</v>
      </c>
      <c r="D952" s="68">
        <v>10.307600000000001</v>
      </c>
      <c r="E952" s="68">
        <v>10.299300000000001</v>
      </c>
      <c r="F952" s="68">
        <v>10.3363</v>
      </c>
      <c r="H952" s="69" t="s">
        <v>2205</v>
      </c>
      <c r="I952" s="66">
        <f t="shared" si="61"/>
        <v>44387</v>
      </c>
      <c r="J952" s="70">
        <f t="shared" si="60"/>
        <v>2021</v>
      </c>
      <c r="K952" s="72" t="s">
        <v>362</v>
      </c>
      <c r="L952" s="72" t="s">
        <v>362</v>
      </c>
      <c r="M952" s="71">
        <v>20.007000000000001</v>
      </c>
    </row>
    <row r="953" spans="1:13">
      <c r="A953" s="57" t="s">
        <v>2206</v>
      </c>
      <c r="B953" s="58">
        <f t="shared" si="58"/>
        <v>39640</v>
      </c>
      <c r="C953" s="59">
        <f t="shared" si="59"/>
        <v>2008</v>
      </c>
      <c r="D953" s="61">
        <v>10.311999999999999</v>
      </c>
      <c r="E953" s="61">
        <v>10.307600000000001</v>
      </c>
      <c r="F953" s="61">
        <v>10.299300000000001</v>
      </c>
      <c r="H953" s="62" t="s">
        <v>2207</v>
      </c>
      <c r="I953" s="58">
        <f t="shared" si="61"/>
        <v>44388</v>
      </c>
      <c r="J953" s="60">
        <f t="shared" si="60"/>
        <v>2021</v>
      </c>
      <c r="K953" s="63" t="s">
        <v>362</v>
      </c>
      <c r="L953" s="63" t="s">
        <v>362</v>
      </c>
      <c r="M953" s="64">
        <v>20.007000000000001</v>
      </c>
    </row>
    <row r="954" spans="1:13">
      <c r="A954" s="65" t="s">
        <v>2208</v>
      </c>
      <c r="B954" s="66">
        <f t="shared" si="58"/>
        <v>39641</v>
      </c>
      <c r="C954" s="67">
        <f t="shared" si="59"/>
        <v>2008</v>
      </c>
      <c r="D954" s="70" t="s">
        <v>362</v>
      </c>
      <c r="E954" s="70" t="s">
        <v>362</v>
      </c>
      <c r="F954" s="68">
        <v>10.307600000000001</v>
      </c>
      <c r="H954" s="69" t="s">
        <v>2209</v>
      </c>
      <c r="I954" s="66">
        <f t="shared" si="61"/>
        <v>44389</v>
      </c>
      <c r="J954" s="70">
        <f t="shared" si="60"/>
        <v>2021</v>
      </c>
      <c r="K954" s="71">
        <v>19.857700000000001</v>
      </c>
      <c r="L954" s="71">
        <v>19.88</v>
      </c>
      <c r="M954" s="71">
        <v>20.007000000000001</v>
      </c>
    </row>
    <row r="955" spans="1:13">
      <c r="A955" s="57" t="s">
        <v>2210</v>
      </c>
      <c r="B955" s="58">
        <f t="shared" si="58"/>
        <v>39642</v>
      </c>
      <c r="C955" s="59">
        <f t="shared" si="59"/>
        <v>2008</v>
      </c>
      <c r="D955" s="60" t="s">
        <v>362</v>
      </c>
      <c r="E955" s="60" t="s">
        <v>362</v>
      </c>
      <c r="F955" s="61">
        <v>10.307600000000001</v>
      </c>
      <c r="H955" s="62" t="s">
        <v>2211</v>
      </c>
      <c r="I955" s="58">
        <f t="shared" si="61"/>
        <v>44390</v>
      </c>
      <c r="J955" s="60">
        <f t="shared" si="60"/>
        <v>2021</v>
      </c>
      <c r="K955" s="64">
        <v>19.998799999999999</v>
      </c>
      <c r="L955" s="64">
        <v>19.857700000000001</v>
      </c>
      <c r="M955" s="64">
        <v>19.88</v>
      </c>
    </row>
    <row r="956" spans="1:13">
      <c r="A956" s="65" t="s">
        <v>2212</v>
      </c>
      <c r="B956" s="66">
        <f t="shared" si="58"/>
        <v>39643</v>
      </c>
      <c r="C956" s="67">
        <f t="shared" si="59"/>
        <v>2008</v>
      </c>
      <c r="D956" s="68">
        <v>10.2925</v>
      </c>
      <c r="E956" s="68">
        <v>10.311999999999999</v>
      </c>
      <c r="F956" s="68">
        <v>10.307600000000001</v>
      </c>
      <c r="H956" s="69" t="s">
        <v>2213</v>
      </c>
      <c r="I956" s="66">
        <f t="shared" si="61"/>
        <v>44391</v>
      </c>
      <c r="J956" s="70">
        <f t="shared" si="60"/>
        <v>2021</v>
      </c>
      <c r="K956" s="71">
        <v>19.8992</v>
      </c>
      <c r="L956" s="71">
        <v>19.998799999999999</v>
      </c>
      <c r="M956" s="71">
        <v>19.857700000000001</v>
      </c>
    </row>
    <row r="957" spans="1:13">
      <c r="A957" s="57" t="s">
        <v>2214</v>
      </c>
      <c r="B957" s="58">
        <f t="shared" si="58"/>
        <v>39644</v>
      </c>
      <c r="C957" s="59">
        <f t="shared" si="59"/>
        <v>2008</v>
      </c>
      <c r="D957" s="61">
        <v>10.322900000000001</v>
      </c>
      <c r="E957" s="61">
        <v>10.2925</v>
      </c>
      <c r="F957" s="61">
        <v>10.311999999999999</v>
      </c>
      <c r="H957" s="62" t="s">
        <v>2215</v>
      </c>
      <c r="I957" s="58">
        <f t="shared" si="61"/>
        <v>44392</v>
      </c>
      <c r="J957" s="60">
        <f t="shared" si="60"/>
        <v>2021</v>
      </c>
      <c r="K957" s="64">
        <v>19.941199999999998</v>
      </c>
      <c r="L957" s="64">
        <v>19.8992</v>
      </c>
      <c r="M957" s="64">
        <v>19.998799999999999</v>
      </c>
    </row>
    <row r="958" spans="1:13">
      <c r="A958" s="65" t="s">
        <v>2216</v>
      </c>
      <c r="B958" s="66">
        <f t="shared" si="58"/>
        <v>39645</v>
      </c>
      <c r="C958" s="67">
        <f t="shared" si="59"/>
        <v>2008</v>
      </c>
      <c r="D958" s="68">
        <v>10.2608</v>
      </c>
      <c r="E958" s="68">
        <v>10.322900000000001</v>
      </c>
      <c r="F958" s="68">
        <v>10.2925</v>
      </c>
      <c r="H958" s="69" t="s">
        <v>2217</v>
      </c>
      <c r="I958" s="66">
        <f t="shared" si="61"/>
        <v>44393</v>
      </c>
      <c r="J958" s="70">
        <f t="shared" si="60"/>
        <v>2021</v>
      </c>
      <c r="K958" s="71">
        <v>19.8537</v>
      </c>
      <c r="L958" s="71">
        <v>19.941199999999998</v>
      </c>
      <c r="M958" s="71">
        <v>19.8992</v>
      </c>
    </row>
    <row r="959" spans="1:13">
      <c r="A959" s="57" t="s">
        <v>2218</v>
      </c>
      <c r="B959" s="58">
        <f t="shared" si="58"/>
        <v>39646</v>
      </c>
      <c r="C959" s="59">
        <f t="shared" si="59"/>
        <v>2008</v>
      </c>
      <c r="D959" s="61">
        <v>10.2311</v>
      </c>
      <c r="E959" s="61">
        <v>10.2608</v>
      </c>
      <c r="F959" s="61">
        <v>10.322900000000001</v>
      </c>
      <c r="H959" s="62" t="s">
        <v>2219</v>
      </c>
      <c r="I959" s="58">
        <f t="shared" si="61"/>
        <v>44394</v>
      </c>
      <c r="J959" s="60">
        <f t="shared" si="60"/>
        <v>2021</v>
      </c>
      <c r="K959" s="63" t="s">
        <v>362</v>
      </c>
      <c r="L959" s="63" t="s">
        <v>362</v>
      </c>
      <c r="M959" s="64">
        <v>19.941199999999998</v>
      </c>
    </row>
    <row r="960" spans="1:13">
      <c r="A960" s="65" t="s">
        <v>2220</v>
      </c>
      <c r="B960" s="66">
        <f t="shared" si="58"/>
        <v>39647</v>
      </c>
      <c r="C960" s="67">
        <f t="shared" si="59"/>
        <v>2008</v>
      </c>
      <c r="D960" s="68">
        <v>10.204700000000001</v>
      </c>
      <c r="E960" s="68">
        <v>10.2311</v>
      </c>
      <c r="F960" s="68">
        <v>10.2608</v>
      </c>
      <c r="H960" s="69" t="s">
        <v>2221</v>
      </c>
      <c r="I960" s="66">
        <f t="shared" si="61"/>
        <v>44395</v>
      </c>
      <c r="J960" s="70">
        <f t="shared" si="60"/>
        <v>2021</v>
      </c>
      <c r="K960" s="72" t="s">
        <v>362</v>
      </c>
      <c r="L960" s="72" t="s">
        <v>362</v>
      </c>
      <c r="M960" s="71">
        <v>19.941199999999998</v>
      </c>
    </row>
    <row r="961" spans="1:13">
      <c r="A961" s="57" t="s">
        <v>2222</v>
      </c>
      <c r="B961" s="58">
        <f t="shared" si="58"/>
        <v>39648</v>
      </c>
      <c r="C961" s="59">
        <f t="shared" si="59"/>
        <v>2008</v>
      </c>
      <c r="D961" s="60" t="s">
        <v>362</v>
      </c>
      <c r="E961" s="60" t="s">
        <v>362</v>
      </c>
      <c r="F961" s="61">
        <v>10.2311</v>
      </c>
      <c r="H961" s="62" t="s">
        <v>2223</v>
      </c>
      <c r="I961" s="58">
        <f t="shared" si="61"/>
        <v>44396</v>
      </c>
      <c r="J961" s="60">
        <f t="shared" si="60"/>
        <v>2021</v>
      </c>
      <c r="K961" s="64">
        <v>20</v>
      </c>
      <c r="L961" s="64">
        <v>19.8537</v>
      </c>
      <c r="M961" s="64">
        <v>19.941199999999998</v>
      </c>
    </row>
    <row r="962" spans="1:13">
      <c r="A962" s="65" t="s">
        <v>2224</v>
      </c>
      <c r="B962" s="66">
        <f t="shared" si="58"/>
        <v>39649</v>
      </c>
      <c r="C962" s="67">
        <f t="shared" si="59"/>
        <v>2008</v>
      </c>
      <c r="D962" s="70" t="s">
        <v>362</v>
      </c>
      <c r="E962" s="70" t="s">
        <v>362</v>
      </c>
      <c r="F962" s="68">
        <v>10.2311</v>
      </c>
      <c r="H962" s="69" t="s">
        <v>2225</v>
      </c>
      <c r="I962" s="66">
        <f t="shared" si="61"/>
        <v>44397</v>
      </c>
      <c r="J962" s="70">
        <f t="shared" si="60"/>
        <v>2021</v>
      </c>
      <c r="K962" s="71">
        <v>20.134799999999998</v>
      </c>
      <c r="L962" s="71">
        <v>20</v>
      </c>
      <c r="M962" s="71">
        <v>19.8537</v>
      </c>
    </row>
    <row r="963" spans="1:13">
      <c r="A963" s="57" t="s">
        <v>2226</v>
      </c>
      <c r="B963" s="58">
        <f t="shared" si="58"/>
        <v>39650</v>
      </c>
      <c r="C963" s="59">
        <f t="shared" si="59"/>
        <v>2008</v>
      </c>
      <c r="D963" s="61">
        <v>10.1708</v>
      </c>
      <c r="E963" s="61">
        <v>10.204700000000001</v>
      </c>
      <c r="F963" s="61">
        <v>10.2311</v>
      </c>
      <c r="H963" s="62" t="s">
        <v>2227</v>
      </c>
      <c r="I963" s="58">
        <f t="shared" si="61"/>
        <v>44398</v>
      </c>
      <c r="J963" s="60">
        <f t="shared" si="60"/>
        <v>2021</v>
      </c>
      <c r="K963" s="64">
        <v>20.1907</v>
      </c>
      <c r="L963" s="64">
        <v>20.134799999999998</v>
      </c>
      <c r="M963" s="64">
        <v>20</v>
      </c>
    </row>
    <row r="964" spans="1:13">
      <c r="A964" s="65" t="s">
        <v>2228</v>
      </c>
      <c r="B964" s="66">
        <f t="shared" si="58"/>
        <v>39651</v>
      </c>
      <c r="C964" s="67">
        <f t="shared" si="59"/>
        <v>2008</v>
      </c>
      <c r="D964" s="68">
        <v>10.117800000000001</v>
      </c>
      <c r="E964" s="68">
        <v>10.1708</v>
      </c>
      <c r="F964" s="68">
        <v>10.204700000000001</v>
      </c>
      <c r="H964" s="69" t="s">
        <v>2229</v>
      </c>
      <c r="I964" s="66">
        <f t="shared" si="61"/>
        <v>44399</v>
      </c>
      <c r="J964" s="70">
        <f t="shared" si="60"/>
        <v>2021</v>
      </c>
      <c r="K964" s="71">
        <v>20.1812</v>
      </c>
      <c r="L964" s="71">
        <v>20.1907</v>
      </c>
      <c r="M964" s="71">
        <v>20.134799999999998</v>
      </c>
    </row>
    <row r="965" spans="1:13">
      <c r="A965" s="57" t="s">
        <v>2230</v>
      </c>
      <c r="B965" s="58">
        <f t="shared" si="58"/>
        <v>39652</v>
      </c>
      <c r="C965" s="59">
        <f t="shared" si="59"/>
        <v>2008</v>
      </c>
      <c r="D965" s="61">
        <v>10.055199999999999</v>
      </c>
      <c r="E965" s="61">
        <v>10.117800000000001</v>
      </c>
      <c r="F965" s="61">
        <v>10.1708</v>
      </c>
      <c r="H965" s="62" t="s">
        <v>2231</v>
      </c>
      <c r="I965" s="58">
        <f t="shared" si="61"/>
        <v>44400</v>
      </c>
      <c r="J965" s="60">
        <f t="shared" si="60"/>
        <v>2021</v>
      </c>
      <c r="K965" s="64">
        <v>20.023800000000001</v>
      </c>
      <c r="L965" s="64">
        <v>20.1812</v>
      </c>
      <c r="M965" s="64">
        <v>20.1907</v>
      </c>
    </row>
    <row r="966" spans="1:13">
      <c r="A966" s="65" t="s">
        <v>2232</v>
      </c>
      <c r="B966" s="66">
        <f t="shared" si="58"/>
        <v>39653</v>
      </c>
      <c r="C966" s="67">
        <f t="shared" si="59"/>
        <v>2008</v>
      </c>
      <c r="D966" s="68">
        <v>10.026400000000001</v>
      </c>
      <c r="E966" s="68">
        <v>10.055199999999999</v>
      </c>
      <c r="F966" s="68">
        <v>10.117800000000001</v>
      </c>
      <c r="H966" s="69" t="s">
        <v>2233</v>
      </c>
      <c r="I966" s="66">
        <f t="shared" si="61"/>
        <v>44401</v>
      </c>
      <c r="J966" s="70">
        <f t="shared" si="60"/>
        <v>2021</v>
      </c>
      <c r="K966" s="72" t="s">
        <v>362</v>
      </c>
      <c r="L966" s="72" t="s">
        <v>362</v>
      </c>
      <c r="M966" s="71">
        <v>20.1812</v>
      </c>
    </row>
    <row r="967" spans="1:13">
      <c r="A967" s="57" t="s">
        <v>2234</v>
      </c>
      <c r="B967" s="58">
        <f t="shared" si="58"/>
        <v>39654</v>
      </c>
      <c r="C967" s="59">
        <f t="shared" si="59"/>
        <v>2008</v>
      </c>
      <c r="D967" s="61">
        <v>10.019</v>
      </c>
      <c r="E967" s="61">
        <v>10.026400000000001</v>
      </c>
      <c r="F967" s="61">
        <v>10.055199999999999</v>
      </c>
      <c r="H967" s="62" t="s">
        <v>2235</v>
      </c>
      <c r="I967" s="58">
        <f t="shared" si="61"/>
        <v>44402</v>
      </c>
      <c r="J967" s="60">
        <f t="shared" si="60"/>
        <v>2021</v>
      </c>
      <c r="K967" s="63" t="s">
        <v>362</v>
      </c>
      <c r="L967" s="63" t="s">
        <v>362</v>
      </c>
      <c r="M967" s="64">
        <v>20.1812</v>
      </c>
    </row>
    <row r="968" spans="1:13">
      <c r="A968" s="65" t="s">
        <v>2236</v>
      </c>
      <c r="B968" s="66">
        <f t="shared" si="58"/>
        <v>39655</v>
      </c>
      <c r="C968" s="67">
        <f t="shared" si="59"/>
        <v>2008</v>
      </c>
      <c r="D968" s="70" t="s">
        <v>362</v>
      </c>
      <c r="E968" s="70" t="s">
        <v>362</v>
      </c>
      <c r="F968" s="68">
        <v>10.026400000000001</v>
      </c>
      <c r="H968" s="69" t="s">
        <v>2237</v>
      </c>
      <c r="I968" s="66">
        <f t="shared" si="61"/>
        <v>44403</v>
      </c>
      <c r="J968" s="70">
        <f t="shared" si="60"/>
        <v>2021</v>
      </c>
      <c r="K968" s="71">
        <v>20.0245</v>
      </c>
      <c r="L968" s="71">
        <v>20.023800000000001</v>
      </c>
      <c r="M968" s="71">
        <v>20.1812</v>
      </c>
    </row>
    <row r="969" spans="1:13">
      <c r="A969" s="57" t="s">
        <v>2238</v>
      </c>
      <c r="B969" s="58">
        <f t="shared" si="58"/>
        <v>39656</v>
      </c>
      <c r="C969" s="59">
        <f t="shared" si="59"/>
        <v>2008</v>
      </c>
      <c r="D969" s="60" t="s">
        <v>362</v>
      </c>
      <c r="E969" s="60" t="s">
        <v>362</v>
      </c>
      <c r="F969" s="61">
        <v>10.026400000000001</v>
      </c>
      <c r="H969" s="62" t="s">
        <v>2239</v>
      </c>
      <c r="I969" s="58">
        <f t="shared" si="61"/>
        <v>44404</v>
      </c>
      <c r="J969" s="60">
        <f t="shared" si="60"/>
        <v>2021</v>
      </c>
      <c r="K969" s="64">
        <v>19.977</v>
      </c>
      <c r="L969" s="64">
        <v>20.0245</v>
      </c>
      <c r="M969" s="64">
        <v>20.023800000000001</v>
      </c>
    </row>
    <row r="970" spans="1:13">
      <c r="A970" s="65" t="s">
        <v>2240</v>
      </c>
      <c r="B970" s="66">
        <f t="shared" si="58"/>
        <v>39657</v>
      </c>
      <c r="C970" s="67">
        <f t="shared" si="59"/>
        <v>2008</v>
      </c>
      <c r="D970" s="68">
        <v>10.070600000000001</v>
      </c>
      <c r="E970" s="68">
        <v>10.019</v>
      </c>
      <c r="F970" s="68">
        <v>10.026400000000001</v>
      </c>
      <c r="H970" s="69" t="s">
        <v>2241</v>
      </c>
      <c r="I970" s="66">
        <f t="shared" si="61"/>
        <v>44405</v>
      </c>
      <c r="J970" s="70">
        <f t="shared" si="60"/>
        <v>2021</v>
      </c>
      <c r="K970" s="71">
        <v>19.953499999999998</v>
      </c>
      <c r="L970" s="71">
        <v>19.977</v>
      </c>
      <c r="M970" s="71">
        <v>20.0245</v>
      </c>
    </row>
    <row r="971" spans="1:13">
      <c r="A971" s="57" t="s">
        <v>2242</v>
      </c>
      <c r="B971" s="58">
        <f t="shared" si="58"/>
        <v>39658</v>
      </c>
      <c r="C971" s="59">
        <f t="shared" si="59"/>
        <v>2008</v>
      </c>
      <c r="D971" s="61">
        <v>10.061</v>
      </c>
      <c r="E971" s="61">
        <v>10.070600000000001</v>
      </c>
      <c r="F971" s="61">
        <v>10.019</v>
      </c>
      <c r="H971" s="62" t="s">
        <v>2243</v>
      </c>
      <c r="I971" s="58">
        <f t="shared" si="61"/>
        <v>44406</v>
      </c>
      <c r="J971" s="60">
        <f t="shared" si="60"/>
        <v>2021</v>
      </c>
      <c r="K971" s="64">
        <v>19.844799999999999</v>
      </c>
      <c r="L971" s="64">
        <v>19.953499999999998</v>
      </c>
      <c r="M971" s="64">
        <v>19.977</v>
      </c>
    </row>
    <row r="972" spans="1:13">
      <c r="A972" s="65" t="s">
        <v>2244</v>
      </c>
      <c r="B972" s="66">
        <f t="shared" si="58"/>
        <v>39659</v>
      </c>
      <c r="C972" s="67">
        <f t="shared" si="59"/>
        <v>2008</v>
      </c>
      <c r="D972" s="68">
        <v>10.034000000000001</v>
      </c>
      <c r="E972" s="68">
        <v>10.061</v>
      </c>
      <c r="F972" s="68">
        <v>10.070600000000001</v>
      </c>
      <c r="H972" s="69" t="s">
        <v>2245</v>
      </c>
      <c r="I972" s="66">
        <f t="shared" si="61"/>
        <v>44407</v>
      </c>
      <c r="J972" s="70">
        <f t="shared" si="60"/>
        <v>2021</v>
      </c>
      <c r="K972" s="71">
        <v>19.845500000000001</v>
      </c>
      <c r="L972" s="71">
        <v>19.844799999999999</v>
      </c>
      <c r="M972" s="71">
        <v>19.953499999999998</v>
      </c>
    </row>
    <row r="973" spans="1:13">
      <c r="A973" s="57" t="s">
        <v>2246</v>
      </c>
      <c r="B973" s="58">
        <f t="shared" si="58"/>
        <v>39660</v>
      </c>
      <c r="C973" s="59">
        <f t="shared" si="59"/>
        <v>2008</v>
      </c>
      <c r="D973" s="61">
        <v>10.035299999999999</v>
      </c>
      <c r="E973" s="61">
        <v>10.034000000000001</v>
      </c>
      <c r="F973" s="61">
        <v>10.061</v>
      </c>
      <c r="H973" s="62" t="s">
        <v>2247</v>
      </c>
      <c r="I973" s="58">
        <f t="shared" si="61"/>
        <v>44408</v>
      </c>
      <c r="J973" s="60">
        <f t="shared" si="60"/>
        <v>2021</v>
      </c>
      <c r="K973" s="63" t="s">
        <v>362</v>
      </c>
      <c r="L973" s="63" t="s">
        <v>362</v>
      </c>
      <c r="M973" s="64">
        <v>19.844799999999999</v>
      </c>
    </row>
    <row r="974" spans="1:13">
      <c r="A974" s="65" t="s">
        <v>2248</v>
      </c>
      <c r="B974" s="66">
        <f t="shared" si="58"/>
        <v>39661</v>
      </c>
      <c r="C974" s="67">
        <f t="shared" si="59"/>
        <v>2008</v>
      </c>
      <c r="D974" s="68">
        <v>9.9704999999999995</v>
      </c>
      <c r="E974" s="68">
        <v>10.035299999999999</v>
      </c>
      <c r="F974" s="68">
        <v>10.034000000000001</v>
      </c>
      <c r="H974" s="69" t="s">
        <v>2249</v>
      </c>
      <c r="I974" s="66">
        <f t="shared" si="61"/>
        <v>44409</v>
      </c>
      <c r="J974" s="70">
        <f t="shared" si="60"/>
        <v>2021</v>
      </c>
      <c r="K974" s="72" t="s">
        <v>362</v>
      </c>
      <c r="L974" s="72" t="s">
        <v>362</v>
      </c>
      <c r="M974" s="71">
        <v>19.844799999999999</v>
      </c>
    </row>
    <row r="975" spans="1:13">
      <c r="A975" s="57" t="s">
        <v>2250</v>
      </c>
      <c r="B975" s="58">
        <f t="shared" si="58"/>
        <v>39662</v>
      </c>
      <c r="C975" s="59">
        <f t="shared" si="59"/>
        <v>2008</v>
      </c>
      <c r="D975" s="60" t="s">
        <v>362</v>
      </c>
      <c r="E975" s="60" t="s">
        <v>362</v>
      </c>
      <c r="F975" s="61">
        <v>10.035299999999999</v>
      </c>
      <c r="H975" s="62" t="s">
        <v>2251</v>
      </c>
      <c r="I975" s="58">
        <f t="shared" si="61"/>
        <v>44410</v>
      </c>
      <c r="J975" s="60">
        <f t="shared" si="60"/>
        <v>2021</v>
      </c>
      <c r="K975" s="64">
        <v>19.852</v>
      </c>
      <c r="L975" s="64">
        <v>19.845500000000001</v>
      </c>
      <c r="M975" s="64">
        <v>19.844799999999999</v>
      </c>
    </row>
    <row r="976" spans="1:13">
      <c r="A976" s="65" t="s">
        <v>2252</v>
      </c>
      <c r="B976" s="66">
        <f t="shared" si="58"/>
        <v>39663</v>
      </c>
      <c r="C976" s="67">
        <f t="shared" si="59"/>
        <v>2008</v>
      </c>
      <c r="D976" s="70" t="s">
        <v>362</v>
      </c>
      <c r="E976" s="70" t="s">
        <v>362</v>
      </c>
      <c r="F976" s="68">
        <v>10.035299999999999</v>
      </c>
      <c r="H976" s="69" t="s">
        <v>2253</v>
      </c>
      <c r="I976" s="66">
        <f t="shared" si="61"/>
        <v>44411</v>
      </c>
      <c r="J976" s="70">
        <f t="shared" si="60"/>
        <v>2021</v>
      </c>
      <c r="K976" s="71">
        <v>19.891999999999999</v>
      </c>
      <c r="L976" s="71">
        <v>19.852</v>
      </c>
      <c r="M976" s="71">
        <v>19.845500000000001</v>
      </c>
    </row>
    <row r="977" spans="1:13">
      <c r="A977" s="57" t="s">
        <v>2254</v>
      </c>
      <c r="B977" s="58">
        <f t="shared" si="58"/>
        <v>39664</v>
      </c>
      <c r="C977" s="59">
        <f t="shared" si="59"/>
        <v>2008</v>
      </c>
      <c r="D977" s="61">
        <v>9.9335000000000004</v>
      </c>
      <c r="E977" s="61">
        <v>9.9704999999999995</v>
      </c>
      <c r="F977" s="61">
        <v>10.035299999999999</v>
      </c>
      <c r="H977" s="62" t="s">
        <v>2255</v>
      </c>
      <c r="I977" s="58">
        <f t="shared" si="61"/>
        <v>44412</v>
      </c>
      <c r="J977" s="60">
        <f t="shared" si="60"/>
        <v>2021</v>
      </c>
      <c r="K977" s="64">
        <v>19.954699999999999</v>
      </c>
      <c r="L977" s="64">
        <v>19.891999999999999</v>
      </c>
      <c r="M977" s="64">
        <v>19.852</v>
      </c>
    </row>
    <row r="978" spans="1:13">
      <c r="A978" s="65" t="s">
        <v>2256</v>
      </c>
      <c r="B978" s="66">
        <f t="shared" si="58"/>
        <v>39665</v>
      </c>
      <c r="C978" s="67">
        <f t="shared" si="59"/>
        <v>2008</v>
      </c>
      <c r="D978" s="68">
        <v>9.9179999999999993</v>
      </c>
      <c r="E978" s="68">
        <v>9.9335000000000004</v>
      </c>
      <c r="F978" s="68">
        <v>9.9704999999999995</v>
      </c>
      <c r="H978" s="69" t="s">
        <v>2257</v>
      </c>
      <c r="I978" s="66">
        <f t="shared" si="61"/>
        <v>44413</v>
      </c>
      <c r="J978" s="70">
        <f t="shared" si="60"/>
        <v>2021</v>
      </c>
      <c r="K978" s="71">
        <v>19.929300000000001</v>
      </c>
      <c r="L978" s="71">
        <v>19.954699999999999</v>
      </c>
      <c r="M978" s="71">
        <v>19.891999999999999</v>
      </c>
    </row>
    <row r="979" spans="1:13">
      <c r="A979" s="57" t="s">
        <v>2258</v>
      </c>
      <c r="B979" s="58">
        <f t="shared" si="58"/>
        <v>39666</v>
      </c>
      <c r="C979" s="59">
        <f t="shared" si="59"/>
        <v>2008</v>
      </c>
      <c r="D979" s="61">
        <v>9.9484999999999992</v>
      </c>
      <c r="E979" s="61">
        <v>9.9179999999999993</v>
      </c>
      <c r="F979" s="61">
        <v>9.9335000000000004</v>
      </c>
      <c r="H979" s="62" t="s">
        <v>2259</v>
      </c>
      <c r="I979" s="58">
        <f t="shared" si="61"/>
        <v>44414</v>
      </c>
      <c r="J979" s="60">
        <f t="shared" si="60"/>
        <v>2021</v>
      </c>
      <c r="K979" s="64">
        <v>20.003699999999998</v>
      </c>
      <c r="L979" s="64">
        <v>19.929300000000001</v>
      </c>
      <c r="M979" s="64">
        <v>19.954699999999999</v>
      </c>
    </row>
    <row r="980" spans="1:13">
      <c r="A980" s="65" t="s">
        <v>2260</v>
      </c>
      <c r="B980" s="66">
        <f t="shared" si="58"/>
        <v>39667</v>
      </c>
      <c r="C980" s="67">
        <f t="shared" si="59"/>
        <v>2008</v>
      </c>
      <c r="D980" s="68">
        <v>9.9877000000000002</v>
      </c>
      <c r="E980" s="68">
        <v>9.9484999999999992</v>
      </c>
      <c r="F980" s="68">
        <v>9.9179999999999993</v>
      </c>
      <c r="H980" s="69" t="s">
        <v>2261</v>
      </c>
      <c r="I980" s="66">
        <f t="shared" si="61"/>
        <v>44415</v>
      </c>
      <c r="J980" s="70">
        <f t="shared" si="60"/>
        <v>2021</v>
      </c>
      <c r="K980" s="72" t="s">
        <v>362</v>
      </c>
      <c r="L980" s="72" t="s">
        <v>362</v>
      </c>
      <c r="M980" s="71">
        <v>19.929300000000001</v>
      </c>
    </row>
    <row r="981" spans="1:13">
      <c r="A981" s="57" t="s">
        <v>2262</v>
      </c>
      <c r="B981" s="58">
        <f t="shared" si="58"/>
        <v>39668</v>
      </c>
      <c r="C981" s="59">
        <f t="shared" si="59"/>
        <v>2008</v>
      </c>
      <c r="D981" s="61">
        <v>10.1305</v>
      </c>
      <c r="E981" s="61">
        <v>9.9877000000000002</v>
      </c>
      <c r="F981" s="61">
        <v>9.9484999999999992</v>
      </c>
      <c r="H981" s="62" t="s">
        <v>2263</v>
      </c>
      <c r="I981" s="58">
        <f t="shared" si="61"/>
        <v>44416</v>
      </c>
      <c r="J981" s="60">
        <f t="shared" si="60"/>
        <v>2021</v>
      </c>
      <c r="K981" s="63" t="s">
        <v>362</v>
      </c>
      <c r="L981" s="63" t="s">
        <v>362</v>
      </c>
      <c r="M981" s="64">
        <v>19.929300000000001</v>
      </c>
    </row>
    <row r="982" spans="1:13">
      <c r="A982" s="65" t="s">
        <v>2264</v>
      </c>
      <c r="B982" s="66">
        <f t="shared" si="58"/>
        <v>39669</v>
      </c>
      <c r="C982" s="67">
        <f t="shared" si="59"/>
        <v>2008</v>
      </c>
      <c r="D982" s="70" t="s">
        <v>362</v>
      </c>
      <c r="E982" s="70" t="s">
        <v>362</v>
      </c>
      <c r="F982" s="68">
        <v>9.9877000000000002</v>
      </c>
      <c r="H982" s="69" t="s">
        <v>2265</v>
      </c>
      <c r="I982" s="66">
        <f t="shared" si="61"/>
        <v>44417</v>
      </c>
      <c r="J982" s="70">
        <f t="shared" si="60"/>
        <v>2021</v>
      </c>
      <c r="K982" s="71">
        <v>20.064800000000002</v>
      </c>
      <c r="L982" s="71">
        <v>20.003699999999998</v>
      </c>
      <c r="M982" s="71">
        <v>19.929300000000001</v>
      </c>
    </row>
    <row r="983" spans="1:13">
      <c r="A983" s="57" t="s">
        <v>2266</v>
      </c>
      <c r="B983" s="58">
        <f t="shared" si="58"/>
        <v>39670</v>
      </c>
      <c r="C983" s="59">
        <f t="shared" si="59"/>
        <v>2008</v>
      </c>
      <c r="D983" s="60" t="s">
        <v>362</v>
      </c>
      <c r="E983" s="60" t="s">
        <v>362</v>
      </c>
      <c r="F983" s="61">
        <v>9.9877000000000002</v>
      </c>
      <c r="H983" s="62" t="s">
        <v>2267</v>
      </c>
      <c r="I983" s="58">
        <f t="shared" si="61"/>
        <v>44418</v>
      </c>
      <c r="J983" s="60">
        <f t="shared" si="60"/>
        <v>2021</v>
      </c>
      <c r="K983" s="64">
        <v>20.1038</v>
      </c>
      <c r="L983" s="64">
        <v>20.064800000000002</v>
      </c>
      <c r="M983" s="64">
        <v>20.003699999999998</v>
      </c>
    </row>
    <row r="984" spans="1:13">
      <c r="A984" s="65" t="s">
        <v>2268</v>
      </c>
      <c r="B984" s="66">
        <f t="shared" si="58"/>
        <v>39671</v>
      </c>
      <c r="C984" s="67">
        <f t="shared" si="59"/>
        <v>2008</v>
      </c>
      <c r="D984" s="68">
        <v>10.1295</v>
      </c>
      <c r="E984" s="68">
        <v>10.1305</v>
      </c>
      <c r="F984" s="68">
        <v>9.9877000000000002</v>
      </c>
      <c r="H984" s="69" t="s">
        <v>2269</v>
      </c>
      <c r="I984" s="66">
        <f t="shared" si="61"/>
        <v>44419</v>
      </c>
      <c r="J984" s="70">
        <f t="shared" si="60"/>
        <v>2021</v>
      </c>
      <c r="K984" s="71">
        <v>19.952999999999999</v>
      </c>
      <c r="L984" s="71">
        <v>20.1038</v>
      </c>
      <c r="M984" s="71">
        <v>20.064800000000002</v>
      </c>
    </row>
    <row r="985" spans="1:13">
      <c r="A985" s="57" t="s">
        <v>2270</v>
      </c>
      <c r="B985" s="58">
        <f t="shared" si="58"/>
        <v>39672</v>
      </c>
      <c r="C985" s="59">
        <f t="shared" si="59"/>
        <v>2008</v>
      </c>
      <c r="D985" s="61">
        <v>10.159000000000001</v>
      </c>
      <c r="E985" s="61">
        <v>10.1295</v>
      </c>
      <c r="F985" s="61">
        <v>10.1305</v>
      </c>
      <c r="H985" s="62" t="s">
        <v>2271</v>
      </c>
      <c r="I985" s="58">
        <f t="shared" si="61"/>
        <v>44420</v>
      </c>
      <c r="J985" s="60">
        <f t="shared" si="60"/>
        <v>2021</v>
      </c>
      <c r="K985" s="64">
        <v>19.890699999999999</v>
      </c>
      <c r="L985" s="64">
        <v>19.952999999999999</v>
      </c>
      <c r="M985" s="64">
        <v>20.1038</v>
      </c>
    </row>
    <row r="986" spans="1:13">
      <c r="A986" s="65" t="s">
        <v>2272</v>
      </c>
      <c r="B986" s="66">
        <f t="shared" si="58"/>
        <v>39673</v>
      </c>
      <c r="C986" s="67">
        <f t="shared" si="59"/>
        <v>2008</v>
      </c>
      <c r="D986" s="68">
        <v>10.1968</v>
      </c>
      <c r="E986" s="68">
        <v>10.159000000000001</v>
      </c>
      <c r="F986" s="68">
        <v>10.1295</v>
      </c>
      <c r="H986" s="69" t="s">
        <v>2273</v>
      </c>
      <c r="I986" s="66">
        <f t="shared" si="61"/>
        <v>44421</v>
      </c>
      <c r="J986" s="70">
        <f t="shared" si="60"/>
        <v>2021</v>
      </c>
      <c r="K986" s="71">
        <v>19.860299999999999</v>
      </c>
      <c r="L986" s="71">
        <v>19.890699999999999</v>
      </c>
      <c r="M986" s="71">
        <v>19.952999999999999</v>
      </c>
    </row>
    <row r="987" spans="1:13">
      <c r="A987" s="57" t="s">
        <v>2274</v>
      </c>
      <c r="B987" s="58">
        <f t="shared" si="58"/>
        <v>39674</v>
      </c>
      <c r="C987" s="59">
        <f t="shared" si="59"/>
        <v>2008</v>
      </c>
      <c r="D987" s="61">
        <v>10.1586</v>
      </c>
      <c r="E987" s="61">
        <v>10.1968</v>
      </c>
      <c r="F987" s="61">
        <v>10.159000000000001</v>
      </c>
      <c r="H987" s="62" t="s">
        <v>2275</v>
      </c>
      <c r="I987" s="58">
        <f t="shared" si="61"/>
        <v>44422</v>
      </c>
      <c r="J987" s="60">
        <f t="shared" si="60"/>
        <v>2021</v>
      </c>
      <c r="K987" s="63" t="s">
        <v>362</v>
      </c>
      <c r="L987" s="63" t="s">
        <v>362</v>
      </c>
      <c r="M987" s="64">
        <v>19.890699999999999</v>
      </c>
    </row>
    <row r="988" spans="1:13">
      <c r="A988" s="65" t="s">
        <v>2276</v>
      </c>
      <c r="B988" s="66">
        <f t="shared" si="58"/>
        <v>39675</v>
      </c>
      <c r="C988" s="67">
        <f t="shared" si="59"/>
        <v>2008</v>
      </c>
      <c r="D988" s="68">
        <v>10.1966</v>
      </c>
      <c r="E988" s="68">
        <v>10.1586</v>
      </c>
      <c r="F988" s="68">
        <v>10.1968</v>
      </c>
      <c r="H988" s="69" t="s">
        <v>2277</v>
      </c>
      <c r="I988" s="66">
        <f t="shared" si="61"/>
        <v>44423</v>
      </c>
      <c r="J988" s="70">
        <f t="shared" si="60"/>
        <v>2021</v>
      </c>
      <c r="K988" s="72" t="s">
        <v>362</v>
      </c>
      <c r="L988" s="72" t="s">
        <v>362</v>
      </c>
      <c r="M988" s="71">
        <v>19.890699999999999</v>
      </c>
    </row>
    <row r="989" spans="1:13">
      <c r="A989" s="57" t="s">
        <v>2278</v>
      </c>
      <c r="B989" s="58">
        <f t="shared" si="58"/>
        <v>39676</v>
      </c>
      <c r="C989" s="59">
        <f t="shared" si="59"/>
        <v>2008</v>
      </c>
      <c r="D989" s="60" t="s">
        <v>362</v>
      </c>
      <c r="E989" s="60" t="s">
        <v>362</v>
      </c>
      <c r="F989" s="61">
        <v>10.1586</v>
      </c>
      <c r="H989" s="62" t="s">
        <v>2279</v>
      </c>
      <c r="I989" s="58">
        <f t="shared" si="61"/>
        <v>44424</v>
      </c>
      <c r="J989" s="60">
        <f t="shared" si="60"/>
        <v>2021</v>
      </c>
      <c r="K989" s="64">
        <v>19.886299999999999</v>
      </c>
      <c r="L989" s="64">
        <v>19.860299999999999</v>
      </c>
      <c r="M989" s="64">
        <v>19.890699999999999</v>
      </c>
    </row>
    <row r="990" spans="1:13">
      <c r="A990" s="65" t="s">
        <v>2280</v>
      </c>
      <c r="B990" s="66">
        <f t="shared" si="58"/>
        <v>39677</v>
      </c>
      <c r="C990" s="67">
        <f t="shared" si="59"/>
        <v>2008</v>
      </c>
      <c r="D990" s="70" t="s">
        <v>362</v>
      </c>
      <c r="E990" s="70" t="s">
        <v>362</v>
      </c>
      <c r="F990" s="68">
        <v>10.1586</v>
      </c>
      <c r="H990" s="69" t="s">
        <v>2281</v>
      </c>
      <c r="I990" s="66">
        <f t="shared" si="61"/>
        <v>44425</v>
      </c>
      <c r="J990" s="70">
        <f t="shared" si="60"/>
        <v>2021</v>
      </c>
      <c r="K990" s="71">
        <v>19.991199999999999</v>
      </c>
      <c r="L990" s="71">
        <v>19.886299999999999</v>
      </c>
      <c r="M990" s="71">
        <v>19.860299999999999</v>
      </c>
    </row>
    <row r="991" spans="1:13">
      <c r="A991" s="57" t="s">
        <v>2282</v>
      </c>
      <c r="B991" s="58">
        <f t="shared" ref="B991:B1054" si="62">DATE(RIGHT(A991,4),LEFT(RIGHT(A991,7),2),LEFT(A991,2))</f>
        <v>39678</v>
      </c>
      <c r="C991" s="59">
        <f t="shared" ref="C991:C1054" si="63">YEAR(B991)</f>
        <v>2008</v>
      </c>
      <c r="D991" s="61">
        <v>10.1395</v>
      </c>
      <c r="E991" s="61">
        <v>10.1966</v>
      </c>
      <c r="F991" s="61">
        <v>10.1586</v>
      </c>
      <c r="H991" s="62" t="s">
        <v>2283</v>
      </c>
      <c r="I991" s="58">
        <f t="shared" si="61"/>
        <v>44426</v>
      </c>
      <c r="J991" s="60">
        <f t="shared" ref="J991:J1054" si="64">YEAR(I991)</f>
        <v>2021</v>
      </c>
      <c r="K991" s="64">
        <v>20.0107</v>
      </c>
      <c r="L991" s="64">
        <v>19.991199999999999</v>
      </c>
      <c r="M991" s="64">
        <v>19.886299999999999</v>
      </c>
    </row>
    <row r="992" spans="1:13">
      <c r="A992" s="65" t="s">
        <v>2284</v>
      </c>
      <c r="B992" s="66">
        <f t="shared" si="62"/>
        <v>39679</v>
      </c>
      <c r="C992" s="67">
        <f t="shared" si="63"/>
        <v>2008</v>
      </c>
      <c r="D992" s="68">
        <v>10.1867</v>
      </c>
      <c r="E992" s="68">
        <v>10.1395</v>
      </c>
      <c r="F992" s="68">
        <v>10.1966</v>
      </c>
      <c r="H992" s="69" t="s">
        <v>2285</v>
      </c>
      <c r="I992" s="66">
        <f t="shared" ref="I992:I1055" si="65">DATE(RIGHT(H992,4),LEFT(RIGHT(A992,7),2),LEFT(A992,2))</f>
        <v>44427</v>
      </c>
      <c r="J992" s="70">
        <f t="shared" si="64"/>
        <v>2021</v>
      </c>
      <c r="K992" s="71">
        <v>20.1175</v>
      </c>
      <c r="L992" s="71">
        <v>20.0107</v>
      </c>
      <c r="M992" s="71">
        <v>19.991199999999999</v>
      </c>
    </row>
    <row r="993" spans="1:13">
      <c r="A993" s="57" t="s">
        <v>2286</v>
      </c>
      <c r="B993" s="58">
        <f t="shared" si="62"/>
        <v>39680</v>
      </c>
      <c r="C993" s="59">
        <f t="shared" si="63"/>
        <v>2008</v>
      </c>
      <c r="D993" s="61">
        <v>10.1343</v>
      </c>
      <c r="E993" s="61">
        <v>10.1867</v>
      </c>
      <c r="F993" s="61">
        <v>10.1395</v>
      </c>
      <c r="H993" s="62" t="s">
        <v>2287</v>
      </c>
      <c r="I993" s="58">
        <f t="shared" si="65"/>
        <v>44428</v>
      </c>
      <c r="J993" s="60">
        <f t="shared" si="64"/>
        <v>2021</v>
      </c>
      <c r="K993" s="64">
        <v>20.402000000000001</v>
      </c>
      <c r="L993" s="64">
        <v>20.1175</v>
      </c>
      <c r="M993" s="64">
        <v>20.0107</v>
      </c>
    </row>
    <row r="994" spans="1:13">
      <c r="A994" s="65" t="s">
        <v>2288</v>
      </c>
      <c r="B994" s="66">
        <f t="shared" si="62"/>
        <v>39681</v>
      </c>
      <c r="C994" s="67">
        <f t="shared" si="63"/>
        <v>2008</v>
      </c>
      <c r="D994" s="68">
        <v>10.1106</v>
      </c>
      <c r="E994" s="68">
        <v>10.1343</v>
      </c>
      <c r="F994" s="68">
        <v>10.1867</v>
      </c>
      <c r="H994" s="69" t="s">
        <v>2289</v>
      </c>
      <c r="I994" s="66">
        <f t="shared" si="65"/>
        <v>44429</v>
      </c>
      <c r="J994" s="70">
        <f t="shared" si="64"/>
        <v>2021</v>
      </c>
      <c r="K994" s="72" t="s">
        <v>362</v>
      </c>
      <c r="L994" s="72" t="s">
        <v>362</v>
      </c>
      <c r="M994" s="71">
        <v>20.1175</v>
      </c>
    </row>
    <row r="995" spans="1:13">
      <c r="A995" s="57" t="s">
        <v>2290</v>
      </c>
      <c r="B995" s="58">
        <f t="shared" si="62"/>
        <v>39682</v>
      </c>
      <c r="C995" s="59">
        <f t="shared" si="63"/>
        <v>2008</v>
      </c>
      <c r="D995" s="61">
        <v>10.0991</v>
      </c>
      <c r="E995" s="61">
        <v>10.1106</v>
      </c>
      <c r="F995" s="61">
        <v>10.1343</v>
      </c>
      <c r="H995" s="62" t="s">
        <v>2291</v>
      </c>
      <c r="I995" s="58">
        <f t="shared" si="65"/>
        <v>44430</v>
      </c>
      <c r="J995" s="60">
        <f t="shared" si="64"/>
        <v>2021</v>
      </c>
      <c r="K995" s="63" t="s">
        <v>362</v>
      </c>
      <c r="L995" s="63" t="s">
        <v>362</v>
      </c>
      <c r="M995" s="64">
        <v>20.1175</v>
      </c>
    </row>
    <row r="996" spans="1:13">
      <c r="A996" s="65" t="s">
        <v>2292</v>
      </c>
      <c r="B996" s="66">
        <f t="shared" si="62"/>
        <v>39683</v>
      </c>
      <c r="C996" s="67">
        <f t="shared" si="63"/>
        <v>2008</v>
      </c>
      <c r="D996" s="70" t="s">
        <v>362</v>
      </c>
      <c r="E996" s="70" t="s">
        <v>362</v>
      </c>
      <c r="F996" s="68">
        <v>10.1106</v>
      </c>
      <c r="H996" s="69" t="s">
        <v>2293</v>
      </c>
      <c r="I996" s="66">
        <f t="shared" si="65"/>
        <v>44431</v>
      </c>
      <c r="J996" s="70">
        <f t="shared" si="64"/>
        <v>2021</v>
      </c>
      <c r="K996" s="71">
        <v>20.390699999999999</v>
      </c>
      <c r="L996" s="71">
        <v>20.402000000000001</v>
      </c>
      <c r="M996" s="71">
        <v>20.1175</v>
      </c>
    </row>
    <row r="997" spans="1:13">
      <c r="A997" s="57" t="s">
        <v>2294</v>
      </c>
      <c r="B997" s="58">
        <f t="shared" si="62"/>
        <v>39684</v>
      </c>
      <c r="C997" s="59">
        <f t="shared" si="63"/>
        <v>2008</v>
      </c>
      <c r="D997" s="60" t="s">
        <v>362</v>
      </c>
      <c r="E997" s="60" t="s">
        <v>362</v>
      </c>
      <c r="F997" s="61">
        <v>10.1106</v>
      </c>
      <c r="H997" s="62" t="s">
        <v>2295</v>
      </c>
      <c r="I997" s="58">
        <f t="shared" si="65"/>
        <v>44432</v>
      </c>
      <c r="J997" s="60">
        <f t="shared" si="64"/>
        <v>2021</v>
      </c>
      <c r="K997" s="64">
        <v>20.296700000000001</v>
      </c>
      <c r="L997" s="64">
        <v>20.390699999999999</v>
      </c>
      <c r="M997" s="64">
        <v>20.402000000000001</v>
      </c>
    </row>
    <row r="998" spans="1:13">
      <c r="A998" s="65" t="s">
        <v>2296</v>
      </c>
      <c r="B998" s="66">
        <f t="shared" si="62"/>
        <v>39685</v>
      </c>
      <c r="C998" s="67">
        <f t="shared" si="63"/>
        <v>2008</v>
      </c>
      <c r="D998" s="68">
        <v>10.1183</v>
      </c>
      <c r="E998" s="68">
        <v>10.0991</v>
      </c>
      <c r="F998" s="68">
        <v>10.1106</v>
      </c>
      <c r="H998" s="69" t="s">
        <v>2297</v>
      </c>
      <c r="I998" s="66">
        <f t="shared" si="65"/>
        <v>44433</v>
      </c>
      <c r="J998" s="70">
        <f t="shared" si="64"/>
        <v>2021</v>
      </c>
      <c r="K998" s="71">
        <v>20.293299999999999</v>
      </c>
      <c r="L998" s="71">
        <v>20.296700000000001</v>
      </c>
      <c r="M998" s="71">
        <v>20.390699999999999</v>
      </c>
    </row>
    <row r="999" spans="1:13">
      <c r="A999" s="57" t="s">
        <v>2298</v>
      </c>
      <c r="B999" s="58">
        <f t="shared" si="62"/>
        <v>39686</v>
      </c>
      <c r="C999" s="59">
        <f t="shared" si="63"/>
        <v>2008</v>
      </c>
      <c r="D999" s="61">
        <v>10.173</v>
      </c>
      <c r="E999" s="61">
        <v>10.1183</v>
      </c>
      <c r="F999" s="61">
        <v>10.0991</v>
      </c>
      <c r="H999" s="62" t="s">
        <v>2299</v>
      </c>
      <c r="I999" s="58">
        <f t="shared" si="65"/>
        <v>44434</v>
      </c>
      <c r="J999" s="60">
        <f t="shared" si="64"/>
        <v>2021</v>
      </c>
      <c r="K999" s="64">
        <v>20.3522</v>
      </c>
      <c r="L999" s="64">
        <v>20.293299999999999</v>
      </c>
      <c r="M999" s="64">
        <v>20.296700000000001</v>
      </c>
    </row>
    <row r="1000" spans="1:13">
      <c r="A1000" s="65" t="s">
        <v>2300</v>
      </c>
      <c r="B1000" s="66">
        <f t="shared" si="62"/>
        <v>39687</v>
      </c>
      <c r="C1000" s="67">
        <f t="shared" si="63"/>
        <v>2008</v>
      </c>
      <c r="D1000" s="68">
        <v>10.142099999999999</v>
      </c>
      <c r="E1000" s="68">
        <v>10.173</v>
      </c>
      <c r="F1000" s="68">
        <v>10.1183</v>
      </c>
      <c r="H1000" s="69" t="s">
        <v>2301</v>
      </c>
      <c r="I1000" s="66">
        <f t="shared" si="65"/>
        <v>44435</v>
      </c>
      <c r="J1000" s="70">
        <f t="shared" si="64"/>
        <v>2021</v>
      </c>
      <c r="K1000" s="71">
        <v>20.229299999999999</v>
      </c>
      <c r="L1000" s="71">
        <v>20.3522</v>
      </c>
      <c r="M1000" s="71">
        <v>20.293299999999999</v>
      </c>
    </row>
    <row r="1001" spans="1:13">
      <c r="A1001" s="57" t="s">
        <v>2302</v>
      </c>
      <c r="B1001" s="58">
        <f t="shared" si="62"/>
        <v>39688</v>
      </c>
      <c r="C1001" s="59">
        <f t="shared" si="63"/>
        <v>2008</v>
      </c>
      <c r="D1001" s="61">
        <v>10.1822</v>
      </c>
      <c r="E1001" s="61">
        <v>10.142099999999999</v>
      </c>
      <c r="F1001" s="61">
        <v>10.173</v>
      </c>
      <c r="H1001" s="62" t="s">
        <v>2303</v>
      </c>
      <c r="I1001" s="58">
        <f t="shared" si="65"/>
        <v>44436</v>
      </c>
      <c r="J1001" s="60">
        <f t="shared" si="64"/>
        <v>2021</v>
      </c>
      <c r="K1001" s="63" t="s">
        <v>362</v>
      </c>
      <c r="L1001" s="63" t="s">
        <v>362</v>
      </c>
      <c r="M1001" s="64">
        <v>20.3522</v>
      </c>
    </row>
    <row r="1002" spans="1:13">
      <c r="A1002" s="65" t="s">
        <v>2304</v>
      </c>
      <c r="B1002" s="66">
        <f t="shared" si="62"/>
        <v>39689</v>
      </c>
      <c r="C1002" s="67">
        <f t="shared" si="63"/>
        <v>2008</v>
      </c>
      <c r="D1002" s="68">
        <v>10.284700000000001</v>
      </c>
      <c r="E1002" s="68">
        <v>10.1822</v>
      </c>
      <c r="F1002" s="68">
        <v>10.142099999999999</v>
      </c>
      <c r="H1002" s="69" t="s">
        <v>2305</v>
      </c>
      <c r="I1002" s="66">
        <f t="shared" si="65"/>
        <v>44437</v>
      </c>
      <c r="J1002" s="70">
        <f t="shared" si="64"/>
        <v>2021</v>
      </c>
      <c r="K1002" s="72" t="s">
        <v>362</v>
      </c>
      <c r="L1002" s="72" t="s">
        <v>362</v>
      </c>
      <c r="M1002" s="71">
        <v>20.3522</v>
      </c>
    </row>
    <row r="1003" spans="1:13">
      <c r="A1003" s="57" t="s">
        <v>2306</v>
      </c>
      <c r="B1003" s="58">
        <f t="shared" si="62"/>
        <v>39690</v>
      </c>
      <c r="C1003" s="59">
        <f t="shared" si="63"/>
        <v>2008</v>
      </c>
      <c r="D1003" s="60" t="s">
        <v>362</v>
      </c>
      <c r="E1003" s="60" t="s">
        <v>362</v>
      </c>
      <c r="F1003" s="61">
        <v>10.1822</v>
      </c>
      <c r="H1003" s="62" t="s">
        <v>2307</v>
      </c>
      <c r="I1003" s="58">
        <f t="shared" si="65"/>
        <v>44438</v>
      </c>
      <c r="J1003" s="60">
        <f t="shared" si="64"/>
        <v>2021</v>
      </c>
      <c r="K1003" s="64">
        <v>20.1403</v>
      </c>
      <c r="L1003" s="64">
        <v>20.229299999999999</v>
      </c>
      <c r="M1003" s="64">
        <v>20.3522</v>
      </c>
    </row>
    <row r="1004" spans="1:13">
      <c r="A1004" s="65" t="s">
        <v>2308</v>
      </c>
      <c r="B1004" s="66">
        <f t="shared" si="62"/>
        <v>39691</v>
      </c>
      <c r="C1004" s="67">
        <f t="shared" si="63"/>
        <v>2008</v>
      </c>
      <c r="D1004" s="70" t="s">
        <v>362</v>
      </c>
      <c r="E1004" s="70" t="s">
        <v>362</v>
      </c>
      <c r="F1004" s="68">
        <v>10.1822</v>
      </c>
      <c r="H1004" s="69" t="s">
        <v>2309</v>
      </c>
      <c r="I1004" s="66">
        <f t="shared" si="65"/>
        <v>44439</v>
      </c>
      <c r="J1004" s="70">
        <f t="shared" si="64"/>
        <v>2021</v>
      </c>
      <c r="K1004" s="71">
        <v>20.060500000000001</v>
      </c>
      <c r="L1004" s="71">
        <v>20.1403</v>
      </c>
      <c r="M1004" s="71">
        <v>20.229299999999999</v>
      </c>
    </row>
    <row r="1005" spans="1:13">
      <c r="A1005" s="57" t="s">
        <v>2310</v>
      </c>
      <c r="B1005" s="58">
        <f t="shared" si="62"/>
        <v>39692</v>
      </c>
      <c r="C1005" s="59">
        <f t="shared" si="63"/>
        <v>2008</v>
      </c>
      <c r="D1005" s="61">
        <v>10.3423</v>
      </c>
      <c r="E1005" s="61">
        <v>10.284700000000001</v>
      </c>
      <c r="F1005" s="61">
        <v>10.1822</v>
      </c>
      <c r="H1005" s="62" t="s">
        <v>2311</v>
      </c>
      <c r="I1005" s="58">
        <f t="shared" si="65"/>
        <v>44440</v>
      </c>
      <c r="J1005" s="60">
        <f t="shared" si="64"/>
        <v>2021</v>
      </c>
      <c r="K1005" s="64">
        <v>19.961500000000001</v>
      </c>
      <c r="L1005" s="64">
        <v>20.060500000000001</v>
      </c>
      <c r="M1005" s="64">
        <v>20.1403</v>
      </c>
    </row>
    <row r="1006" spans="1:13">
      <c r="A1006" s="65" t="s">
        <v>2312</v>
      </c>
      <c r="B1006" s="66">
        <f t="shared" si="62"/>
        <v>39693</v>
      </c>
      <c r="C1006" s="67">
        <f t="shared" si="63"/>
        <v>2008</v>
      </c>
      <c r="D1006" s="68">
        <v>10.3781</v>
      </c>
      <c r="E1006" s="68">
        <v>10.3423</v>
      </c>
      <c r="F1006" s="68">
        <v>10.284700000000001</v>
      </c>
      <c r="H1006" s="69" t="s">
        <v>2313</v>
      </c>
      <c r="I1006" s="66">
        <f t="shared" si="65"/>
        <v>44441</v>
      </c>
      <c r="J1006" s="70">
        <f t="shared" si="64"/>
        <v>2021</v>
      </c>
      <c r="K1006" s="71">
        <v>19.970300000000002</v>
      </c>
      <c r="L1006" s="71">
        <v>19.961500000000001</v>
      </c>
      <c r="M1006" s="71">
        <v>20.060500000000001</v>
      </c>
    </row>
    <row r="1007" spans="1:13">
      <c r="A1007" s="57" t="s">
        <v>2314</v>
      </c>
      <c r="B1007" s="58">
        <f t="shared" si="62"/>
        <v>39694</v>
      </c>
      <c r="C1007" s="59">
        <f t="shared" si="63"/>
        <v>2008</v>
      </c>
      <c r="D1007" s="61">
        <v>10.385199999999999</v>
      </c>
      <c r="E1007" s="61">
        <v>10.3781</v>
      </c>
      <c r="F1007" s="61">
        <v>10.3423</v>
      </c>
      <c r="H1007" s="62" t="s">
        <v>2315</v>
      </c>
      <c r="I1007" s="58">
        <f t="shared" si="65"/>
        <v>44442</v>
      </c>
      <c r="J1007" s="60">
        <f t="shared" si="64"/>
        <v>2021</v>
      </c>
      <c r="K1007" s="64">
        <v>19.8992</v>
      </c>
      <c r="L1007" s="64">
        <v>19.970300000000002</v>
      </c>
      <c r="M1007" s="64">
        <v>19.961500000000001</v>
      </c>
    </row>
    <row r="1008" spans="1:13">
      <c r="A1008" s="65" t="s">
        <v>2316</v>
      </c>
      <c r="B1008" s="66">
        <f t="shared" si="62"/>
        <v>39695</v>
      </c>
      <c r="C1008" s="67">
        <f t="shared" si="63"/>
        <v>2008</v>
      </c>
      <c r="D1008" s="68">
        <v>10.4658</v>
      </c>
      <c r="E1008" s="68">
        <v>10.385199999999999</v>
      </c>
      <c r="F1008" s="68">
        <v>10.3781</v>
      </c>
      <c r="H1008" s="69" t="s">
        <v>2317</v>
      </c>
      <c r="I1008" s="66">
        <f t="shared" si="65"/>
        <v>44443</v>
      </c>
      <c r="J1008" s="70">
        <f t="shared" si="64"/>
        <v>2021</v>
      </c>
      <c r="K1008" s="72" t="s">
        <v>362</v>
      </c>
      <c r="L1008" s="72" t="s">
        <v>362</v>
      </c>
      <c r="M1008" s="71">
        <v>19.970300000000002</v>
      </c>
    </row>
    <row r="1009" spans="1:13">
      <c r="A1009" s="57" t="s">
        <v>2318</v>
      </c>
      <c r="B1009" s="58">
        <f t="shared" si="62"/>
        <v>39696</v>
      </c>
      <c r="C1009" s="59">
        <f t="shared" si="63"/>
        <v>2008</v>
      </c>
      <c r="D1009" s="61">
        <v>10.5143</v>
      </c>
      <c r="E1009" s="61">
        <v>10.4658</v>
      </c>
      <c r="F1009" s="61">
        <v>10.385199999999999</v>
      </c>
      <c r="H1009" s="62" t="s">
        <v>2319</v>
      </c>
      <c r="I1009" s="58">
        <f t="shared" si="65"/>
        <v>44444</v>
      </c>
      <c r="J1009" s="60">
        <f t="shared" si="64"/>
        <v>2021</v>
      </c>
      <c r="K1009" s="63" t="s">
        <v>362</v>
      </c>
      <c r="L1009" s="63" t="s">
        <v>362</v>
      </c>
      <c r="M1009" s="64">
        <v>19.970300000000002</v>
      </c>
    </row>
    <row r="1010" spans="1:13">
      <c r="A1010" s="65" t="s">
        <v>2320</v>
      </c>
      <c r="B1010" s="66">
        <f t="shared" si="62"/>
        <v>39697</v>
      </c>
      <c r="C1010" s="67">
        <f t="shared" si="63"/>
        <v>2008</v>
      </c>
      <c r="D1010" s="70" t="s">
        <v>362</v>
      </c>
      <c r="E1010" s="70" t="s">
        <v>362</v>
      </c>
      <c r="F1010" s="68">
        <v>10.4658</v>
      </c>
      <c r="H1010" s="69" t="s">
        <v>2321</v>
      </c>
      <c r="I1010" s="66">
        <f t="shared" si="65"/>
        <v>44445</v>
      </c>
      <c r="J1010" s="70">
        <f t="shared" si="64"/>
        <v>2021</v>
      </c>
      <c r="K1010" s="71">
        <v>19.887799999999999</v>
      </c>
      <c r="L1010" s="71">
        <v>19.8992</v>
      </c>
      <c r="M1010" s="71">
        <v>19.970300000000002</v>
      </c>
    </row>
    <row r="1011" spans="1:13">
      <c r="A1011" s="57" t="s">
        <v>2322</v>
      </c>
      <c r="B1011" s="58">
        <f t="shared" si="62"/>
        <v>39698</v>
      </c>
      <c r="C1011" s="59">
        <f t="shared" si="63"/>
        <v>2008</v>
      </c>
      <c r="D1011" s="60" t="s">
        <v>362</v>
      </c>
      <c r="E1011" s="60" t="s">
        <v>362</v>
      </c>
      <c r="F1011" s="61">
        <v>10.4658</v>
      </c>
      <c r="H1011" s="62" t="s">
        <v>2323</v>
      </c>
      <c r="I1011" s="58">
        <f t="shared" si="65"/>
        <v>44446</v>
      </c>
      <c r="J1011" s="60">
        <f t="shared" si="64"/>
        <v>2021</v>
      </c>
      <c r="K1011" s="64">
        <v>19.943999999999999</v>
      </c>
      <c r="L1011" s="64">
        <v>19.887799999999999</v>
      </c>
      <c r="M1011" s="64">
        <v>19.8992</v>
      </c>
    </row>
    <row r="1012" spans="1:13">
      <c r="A1012" s="65" t="s">
        <v>2324</v>
      </c>
      <c r="B1012" s="66">
        <f t="shared" si="62"/>
        <v>39699</v>
      </c>
      <c r="C1012" s="67">
        <f t="shared" si="63"/>
        <v>2008</v>
      </c>
      <c r="D1012" s="68">
        <v>10.481</v>
      </c>
      <c r="E1012" s="68">
        <v>10.5143</v>
      </c>
      <c r="F1012" s="68">
        <v>10.4658</v>
      </c>
      <c r="H1012" s="69" t="s">
        <v>2325</v>
      </c>
      <c r="I1012" s="66">
        <f t="shared" si="65"/>
        <v>44447</v>
      </c>
      <c r="J1012" s="70">
        <f t="shared" si="64"/>
        <v>2021</v>
      </c>
      <c r="K1012" s="71">
        <v>19.938300000000002</v>
      </c>
      <c r="L1012" s="71">
        <v>19.943999999999999</v>
      </c>
      <c r="M1012" s="71">
        <v>19.887799999999999</v>
      </c>
    </row>
    <row r="1013" spans="1:13">
      <c r="A1013" s="57" t="s">
        <v>2326</v>
      </c>
      <c r="B1013" s="58">
        <f t="shared" si="62"/>
        <v>39700</v>
      </c>
      <c r="C1013" s="59">
        <f t="shared" si="63"/>
        <v>2008</v>
      </c>
      <c r="D1013" s="61">
        <v>10.501300000000001</v>
      </c>
      <c r="E1013" s="61">
        <v>10.481</v>
      </c>
      <c r="F1013" s="61">
        <v>10.5143</v>
      </c>
      <c r="H1013" s="62" t="s">
        <v>2327</v>
      </c>
      <c r="I1013" s="58">
        <f t="shared" si="65"/>
        <v>44448</v>
      </c>
      <c r="J1013" s="60">
        <f t="shared" si="64"/>
        <v>2021</v>
      </c>
      <c r="K1013" s="64">
        <v>19.931799999999999</v>
      </c>
      <c r="L1013" s="64">
        <v>19.938300000000002</v>
      </c>
      <c r="M1013" s="64">
        <v>19.943999999999999</v>
      </c>
    </row>
    <row r="1014" spans="1:13">
      <c r="A1014" s="65" t="s">
        <v>2328</v>
      </c>
      <c r="B1014" s="66">
        <f t="shared" si="62"/>
        <v>39701</v>
      </c>
      <c r="C1014" s="67">
        <f t="shared" si="63"/>
        <v>2008</v>
      </c>
      <c r="D1014" s="68">
        <v>10.5862</v>
      </c>
      <c r="E1014" s="68">
        <v>10.501300000000001</v>
      </c>
      <c r="F1014" s="68">
        <v>10.481</v>
      </c>
      <c r="H1014" s="69" t="s">
        <v>2329</v>
      </c>
      <c r="I1014" s="66">
        <f t="shared" si="65"/>
        <v>44449</v>
      </c>
      <c r="J1014" s="70">
        <f t="shared" si="64"/>
        <v>2021</v>
      </c>
      <c r="K1014" s="71">
        <v>19.871700000000001</v>
      </c>
      <c r="L1014" s="71">
        <v>19.931799999999999</v>
      </c>
      <c r="M1014" s="71">
        <v>19.938300000000002</v>
      </c>
    </row>
    <row r="1015" spans="1:13">
      <c r="A1015" s="57" t="s">
        <v>2330</v>
      </c>
      <c r="B1015" s="58">
        <f t="shared" si="62"/>
        <v>39702</v>
      </c>
      <c r="C1015" s="59">
        <f t="shared" si="63"/>
        <v>2008</v>
      </c>
      <c r="D1015" s="61">
        <v>10.6745</v>
      </c>
      <c r="E1015" s="61">
        <v>10.5862</v>
      </c>
      <c r="F1015" s="61">
        <v>10.501300000000001</v>
      </c>
      <c r="H1015" s="62" t="s">
        <v>2331</v>
      </c>
      <c r="I1015" s="58">
        <f t="shared" si="65"/>
        <v>44450</v>
      </c>
      <c r="J1015" s="60">
        <f t="shared" si="64"/>
        <v>2021</v>
      </c>
      <c r="K1015" s="63" t="s">
        <v>362</v>
      </c>
      <c r="L1015" s="63" t="s">
        <v>362</v>
      </c>
      <c r="M1015" s="64">
        <v>19.931799999999999</v>
      </c>
    </row>
    <row r="1016" spans="1:13">
      <c r="A1016" s="65" t="s">
        <v>2332</v>
      </c>
      <c r="B1016" s="66">
        <f t="shared" si="62"/>
        <v>39703</v>
      </c>
      <c r="C1016" s="67">
        <f t="shared" si="63"/>
        <v>2008</v>
      </c>
      <c r="D1016" s="68">
        <v>10.582800000000001</v>
      </c>
      <c r="E1016" s="68">
        <v>10.6745</v>
      </c>
      <c r="F1016" s="68">
        <v>10.5862</v>
      </c>
      <c r="H1016" s="69" t="s">
        <v>2333</v>
      </c>
      <c r="I1016" s="66">
        <f t="shared" si="65"/>
        <v>44451</v>
      </c>
      <c r="J1016" s="70">
        <f t="shared" si="64"/>
        <v>2021</v>
      </c>
      <c r="K1016" s="72" t="s">
        <v>362</v>
      </c>
      <c r="L1016" s="72" t="s">
        <v>362</v>
      </c>
      <c r="M1016" s="71">
        <v>19.931799999999999</v>
      </c>
    </row>
    <row r="1017" spans="1:13">
      <c r="A1017" s="57" t="s">
        <v>2334</v>
      </c>
      <c r="B1017" s="58">
        <f t="shared" si="62"/>
        <v>39704</v>
      </c>
      <c r="C1017" s="59">
        <f t="shared" si="63"/>
        <v>2008</v>
      </c>
      <c r="D1017" s="60" t="s">
        <v>362</v>
      </c>
      <c r="E1017" s="60" t="s">
        <v>362</v>
      </c>
      <c r="F1017" s="61">
        <v>10.6745</v>
      </c>
      <c r="H1017" s="62" t="s">
        <v>2335</v>
      </c>
      <c r="I1017" s="58">
        <f t="shared" si="65"/>
        <v>44452</v>
      </c>
      <c r="J1017" s="60">
        <f t="shared" si="64"/>
        <v>2021</v>
      </c>
      <c r="K1017" s="64">
        <v>19.867699999999999</v>
      </c>
      <c r="L1017" s="64">
        <v>19.871700000000001</v>
      </c>
      <c r="M1017" s="64">
        <v>19.931799999999999</v>
      </c>
    </row>
    <row r="1018" spans="1:13">
      <c r="A1018" s="65" t="s">
        <v>2336</v>
      </c>
      <c r="B1018" s="66">
        <f t="shared" si="62"/>
        <v>39705</v>
      </c>
      <c r="C1018" s="67">
        <f t="shared" si="63"/>
        <v>2008</v>
      </c>
      <c r="D1018" s="70" t="s">
        <v>362</v>
      </c>
      <c r="E1018" s="70" t="s">
        <v>362</v>
      </c>
      <c r="F1018" s="68">
        <v>10.6745</v>
      </c>
      <c r="H1018" s="69" t="s">
        <v>2337</v>
      </c>
      <c r="I1018" s="66">
        <f t="shared" si="65"/>
        <v>44453</v>
      </c>
      <c r="J1018" s="70">
        <f t="shared" si="64"/>
        <v>2021</v>
      </c>
      <c r="K1018" s="71">
        <v>19.903500000000001</v>
      </c>
      <c r="L1018" s="71">
        <v>19.867699999999999</v>
      </c>
      <c r="M1018" s="71">
        <v>19.871700000000001</v>
      </c>
    </row>
    <row r="1019" spans="1:13">
      <c r="A1019" s="57" t="s">
        <v>2338</v>
      </c>
      <c r="B1019" s="58">
        <f t="shared" si="62"/>
        <v>39706</v>
      </c>
      <c r="C1019" s="59">
        <f t="shared" si="63"/>
        <v>2008</v>
      </c>
      <c r="D1019" s="61">
        <v>10.705399999999999</v>
      </c>
      <c r="E1019" s="61">
        <v>10.582800000000001</v>
      </c>
      <c r="F1019" s="61">
        <v>10.6745</v>
      </c>
      <c r="H1019" s="62" t="s">
        <v>2339</v>
      </c>
      <c r="I1019" s="58">
        <f t="shared" si="65"/>
        <v>44454</v>
      </c>
      <c r="J1019" s="60">
        <f t="shared" si="64"/>
        <v>2021</v>
      </c>
      <c r="K1019" s="64">
        <v>19.900300000000001</v>
      </c>
      <c r="L1019" s="64">
        <v>19.903500000000001</v>
      </c>
      <c r="M1019" s="64">
        <v>19.867699999999999</v>
      </c>
    </row>
    <row r="1020" spans="1:13">
      <c r="A1020" s="65" t="s">
        <v>2340</v>
      </c>
      <c r="B1020" s="66">
        <f t="shared" si="62"/>
        <v>39707</v>
      </c>
      <c r="C1020" s="67">
        <f t="shared" si="63"/>
        <v>2008</v>
      </c>
      <c r="D1020" s="70" t="s">
        <v>362</v>
      </c>
      <c r="E1020" s="70" t="s">
        <v>362</v>
      </c>
      <c r="F1020" s="68">
        <v>10.582800000000001</v>
      </c>
      <c r="H1020" s="69" t="s">
        <v>2341</v>
      </c>
      <c r="I1020" s="66">
        <f t="shared" si="65"/>
        <v>44455</v>
      </c>
      <c r="J1020" s="70">
        <f t="shared" si="64"/>
        <v>2021</v>
      </c>
      <c r="K1020" s="72" t="s">
        <v>362</v>
      </c>
      <c r="L1020" s="72" t="s">
        <v>362</v>
      </c>
      <c r="M1020" s="71">
        <v>19.903500000000001</v>
      </c>
    </row>
    <row r="1021" spans="1:13">
      <c r="A1021" s="57" t="s">
        <v>2342</v>
      </c>
      <c r="B1021" s="58">
        <f t="shared" si="62"/>
        <v>39708</v>
      </c>
      <c r="C1021" s="59">
        <f t="shared" si="63"/>
        <v>2008</v>
      </c>
      <c r="D1021" s="61">
        <v>10.870200000000001</v>
      </c>
      <c r="E1021" s="61">
        <v>10.705399999999999</v>
      </c>
      <c r="F1021" s="61">
        <v>10.582800000000001</v>
      </c>
      <c r="H1021" s="62" t="s">
        <v>2343</v>
      </c>
      <c r="I1021" s="58">
        <f t="shared" si="65"/>
        <v>44456</v>
      </c>
      <c r="J1021" s="60">
        <f t="shared" si="64"/>
        <v>2021</v>
      </c>
      <c r="K1021" s="64">
        <v>19.985299999999999</v>
      </c>
      <c r="L1021" s="64">
        <v>19.900300000000001</v>
      </c>
      <c r="M1021" s="64">
        <v>19.903500000000001</v>
      </c>
    </row>
    <row r="1022" spans="1:13">
      <c r="A1022" s="65" t="s">
        <v>2344</v>
      </c>
      <c r="B1022" s="66">
        <f t="shared" si="62"/>
        <v>39709</v>
      </c>
      <c r="C1022" s="67">
        <f t="shared" si="63"/>
        <v>2008</v>
      </c>
      <c r="D1022" s="68">
        <v>10.836499999999999</v>
      </c>
      <c r="E1022" s="68">
        <v>10.870200000000001</v>
      </c>
      <c r="F1022" s="68">
        <v>10.705399999999999</v>
      </c>
      <c r="H1022" s="69" t="s">
        <v>2345</v>
      </c>
      <c r="I1022" s="66">
        <f t="shared" si="65"/>
        <v>44457</v>
      </c>
      <c r="J1022" s="70">
        <f t="shared" si="64"/>
        <v>2021</v>
      </c>
      <c r="K1022" s="72" t="s">
        <v>362</v>
      </c>
      <c r="L1022" s="72" t="s">
        <v>362</v>
      </c>
      <c r="M1022" s="71">
        <v>19.900300000000001</v>
      </c>
    </row>
    <row r="1023" spans="1:13">
      <c r="A1023" s="57" t="s">
        <v>2346</v>
      </c>
      <c r="B1023" s="58">
        <f t="shared" si="62"/>
        <v>39710</v>
      </c>
      <c r="C1023" s="59">
        <f t="shared" si="63"/>
        <v>2008</v>
      </c>
      <c r="D1023" s="61">
        <v>10.613300000000001</v>
      </c>
      <c r="E1023" s="61">
        <v>10.836499999999999</v>
      </c>
      <c r="F1023" s="61">
        <v>10.870200000000001</v>
      </c>
      <c r="H1023" s="62" t="s">
        <v>2347</v>
      </c>
      <c r="I1023" s="58">
        <f t="shared" si="65"/>
        <v>44458</v>
      </c>
      <c r="J1023" s="60">
        <f t="shared" si="64"/>
        <v>2021</v>
      </c>
      <c r="K1023" s="63" t="s">
        <v>362</v>
      </c>
      <c r="L1023" s="63" t="s">
        <v>362</v>
      </c>
      <c r="M1023" s="64">
        <v>19.900300000000001</v>
      </c>
    </row>
    <row r="1024" spans="1:13">
      <c r="A1024" s="65" t="s">
        <v>2348</v>
      </c>
      <c r="B1024" s="66">
        <f t="shared" si="62"/>
        <v>39711</v>
      </c>
      <c r="C1024" s="67">
        <f t="shared" si="63"/>
        <v>2008</v>
      </c>
      <c r="D1024" s="70" t="s">
        <v>362</v>
      </c>
      <c r="E1024" s="70" t="s">
        <v>362</v>
      </c>
      <c r="F1024" s="68">
        <v>10.836499999999999</v>
      </c>
      <c r="H1024" s="69" t="s">
        <v>2349</v>
      </c>
      <c r="I1024" s="66">
        <f t="shared" si="65"/>
        <v>44459</v>
      </c>
      <c r="J1024" s="70">
        <f t="shared" si="64"/>
        <v>2021</v>
      </c>
      <c r="K1024" s="71">
        <v>20.173500000000001</v>
      </c>
      <c r="L1024" s="71">
        <v>19.985299999999999</v>
      </c>
      <c r="M1024" s="71">
        <v>19.900300000000001</v>
      </c>
    </row>
    <row r="1025" spans="1:13">
      <c r="A1025" s="57" t="s">
        <v>2350</v>
      </c>
      <c r="B1025" s="58">
        <f t="shared" si="62"/>
        <v>39712</v>
      </c>
      <c r="C1025" s="59">
        <f t="shared" si="63"/>
        <v>2008</v>
      </c>
      <c r="D1025" s="60" t="s">
        <v>362</v>
      </c>
      <c r="E1025" s="60" t="s">
        <v>362</v>
      </c>
      <c r="F1025" s="61">
        <v>10.836499999999999</v>
      </c>
      <c r="H1025" s="62" t="s">
        <v>2351</v>
      </c>
      <c r="I1025" s="58">
        <f t="shared" si="65"/>
        <v>44460</v>
      </c>
      <c r="J1025" s="60">
        <f t="shared" si="64"/>
        <v>2021</v>
      </c>
      <c r="K1025" s="64">
        <v>20.143799999999999</v>
      </c>
      <c r="L1025" s="64">
        <v>20.173500000000001</v>
      </c>
      <c r="M1025" s="64">
        <v>19.985299999999999</v>
      </c>
    </row>
    <row r="1026" spans="1:13">
      <c r="A1026" s="65" t="s">
        <v>2352</v>
      </c>
      <c r="B1026" s="66">
        <f t="shared" si="62"/>
        <v>39713</v>
      </c>
      <c r="C1026" s="67">
        <f t="shared" si="63"/>
        <v>2008</v>
      </c>
      <c r="D1026" s="68">
        <v>10.587899999999999</v>
      </c>
      <c r="E1026" s="68">
        <v>10.613300000000001</v>
      </c>
      <c r="F1026" s="68">
        <v>10.836499999999999</v>
      </c>
      <c r="H1026" s="69" t="s">
        <v>2353</v>
      </c>
      <c r="I1026" s="66">
        <f t="shared" si="65"/>
        <v>44461</v>
      </c>
      <c r="J1026" s="70">
        <f t="shared" si="64"/>
        <v>2021</v>
      </c>
      <c r="K1026" s="71">
        <v>20.032800000000002</v>
      </c>
      <c r="L1026" s="71">
        <v>20.143799999999999</v>
      </c>
      <c r="M1026" s="71">
        <v>20.173500000000001</v>
      </c>
    </row>
    <row r="1027" spans="1:13">
      <c r="A1027" s="57" t="s">
        <v>2354</v>
      </c>
      <c r="B1027" s="58">
        <f t="shared" si="62"/>
        <v>39714</v>
      </c>
      <c r="C1027" s="59">
        <f t="shared" si="63"/>
        <v>2008</v>
      </c>
      <c r="D1027" s="61">
        <v>10.7264</v>
      </c>
      <c r="E1027" s="61">
        <v>10.587899999999999</v>
      </c>
      <c r="F1027" s="61">
        <v>10.613300000000001</v>
      </c>
      <c r="H1027" s="62" t="s">
        <v>2355</v>
      </c>
      <c r="I1027" s="58">
        <f t="shared" si="65"/>
        <v>44462</v>
      </c>
      <c r="J1027" s="60">
        <f t="shared" si="64"/>
        <v>2021</v>
      </c>
      <c r="K1027" s="64">
        <v>20.027999999999999</v>
      </c>
      <c r="L1027" s="64">
        <v>20.032800000000002</v>
      </c>
      <c r="M1027" s="64">
        <v>20.143799999999999</v>
      </c>
    </row>
    <row r="1028" spans="1:13">
      <c r="A1028" s="65" t="s">
        <v>2356</v>
      </c>
      <c r="B1028" s="66">
        <f t="shared" si="62"/>
        <v>39715</v>
      </c>
      <c r="C1028" s="67">
        <f t="shared" si="63"/>
        <v>2008</v>
      </c>
      <c r="D1028" s="68">
        <v>10.7879</v>
      </c>
      <c r="E1028" s="68">
        <v>10.7264</v>
      </c>
      <c r="F1028" s="68">
        <v>10.587899999999999</v>
      </c>
      <c r="H1028" s="69" t="s">
        <v>2357</v>
      </c>
      <c r="I1028" s="66">
        <f t="shared" si="65"/>
        <v>44463</v>
      </c>
      <c r="J1028" s="70">
        <f t="shared" si="64"/>
        <v>2021</v>
      </c>
      <c r="K1028" s="71">
        <v>20.111799999999999</v>
      </c>
      <c r="L1028" s="71">
        <v>20.027999999999999</v>
      </c>
      <c r="M1028" s="71">
        <v>20.032800000000002</v>
      </c>
    </row>
    <row r="1029" spans="1:13">
      <c r="A1029" s="57" t="s">
        <v>2358</v>
      </c>
      <c r="B1029" s="58">
        <f t="shared" si="62"/>
        <v>39716</v>
      </c>
      <c r="C1029" s="59">
        <f t="shared" si="63"/>
        <v>2008</v>
      </c>
      <c r="D1029" s="61">
        <v>10.7653</v>
      </c>
      <c r="E1029" s="61">
        <v>10.7879</v>
      </c>
      <c r="F1029" s="61">
        <v>10.7264</v>
      </c>
      <c r="H1029" s="62" t="s">
        <v>2359</v>
      </c>
      <c r="I1029" s="58">
        <f t="shared" si="65"/>
        <v>44464</v>
      </c>
      <c r="J1029" s="60">
        <f t="shared" si="64"/>
        <v>2021</v>
      </c>
      <c r="K1029" s="63" t="s">
        <v>362</v>
      </c>
      <c r="L1029" s="63" t="s">
        <v>362</v>
      </c>
      <c r="M1029" s="64">
        <v>20.027999999999999</v>
      </c>
    </row>
    <row r="1030" spans="1:13">
      <c r="A1030" s="65" t="s">
        <v>2360</v>
      </c>
      <c r="B1030" s="66">
        <f t="shared" si="62"/>
        <v>39717</v>
      </c>
      <c r="C1030" s="67">
        <f t="shared" si="63"/>
        <v>2008</v>
      </c>
      <c r="D1030" s="68">
        <v>10.7919</v>
      </c>
      <c r="E1030" s="68">
        <v>10.7653</v>
      </c>
      <c r="F1030" s="68">
        <v>10.7879</v>
      </c>
      <c r="H1030" s="69" t="s">
        <v>2361</v>
      </c>
      <c r="I1030" s="66">
        <f t="shared" si="65"/>
        <v>44465</v>
      </c>
      <c r="J1030" s="70">
        <f t="shared" si="64"/>
        <v>2021</v>
      </c>
      <c r="K1030" s="72" t="s">
        <v>362</v>
      </c>
      <c r="L1030" s="72" t="s">
        <v>362</v>
      </c>
      <c r="M1030" s="71">
        <v>20.027999999999999</v>
      </c>
    </row>
    <row r="1031" spans="1:13">
      <c r="A1031" s="57" t="s">
        <v>2362</v>
      </c>
      <c r="B1031" s="58">
        <f t="shared" si="62"/>
        <v>39718</v>
      </c>
      <c r="C1031" s="59">
        <f t="shared" si="63"/>
        <v>2008</v>
      </c>
      <c r="D1031" s="60" t="s">
        <v>362</v>
      </c>
      <c r="E1031" s="60" t="s">
        <v>362</v>
      </c>
      <c r="F1031" s="61">
        <v>10.7653</v>
      </c>
      <c r="H1031" s="62" t="s">
        <v>2363</v>
      </c>
      <c r="I1031" s="58">
        <f t="shared" si="65"/>
        <v>44466</v>
      </c>
      <c r="J1031" s="60">
        <f t="shared" si="64"/>
        <v>2021</v>
      </c>
      <c r="K1031" s="64">
        <v>20.1052</v>
      </c>
      <c r="L1031" s="64">
        <v>20.111799999999999</v>
      </c>
      <c r="M1031" s="64">
        <v>20.027999999999999</v>
      </c>
    </row>
    <row r="1032" spans="1:13">
      <c r="A1032" s="65" t="s">
        <v>2364</v>
      </c>
      <c r="B1032" s="66">
        <f t="shared" si="62"/>
        <v>39719</v>
      </c>
      <c r="C1032" s="67">
        <f t="shared" si="63"/>
        <v>2008</v>
      </c>
      <c r="D1032" s="70" t="s">
        <v>362</v>
      </c>
      <c r="E1032" s="70" t="s">
        <v>362</v>
      </c>
      <c r="F1032" s="68">
        <v>10.7653</v>
      </c>
      <c r="H1032" s="69" t="s">
        <v>2365</v>
      </c>
      <c r="I1032" s="66">
        <f t="shared" si="65"/>
        <v>44467</v>
      </c>
      <c r="J1032" s="70">
        <f t="shared" si="64"/>
        <v>2021</v>
      </c>
      <c r="K1032" s="71">
        <v>20.306000000000001</v>
      </c>
      <c r="L1032" s="71">
        <v>20.1052</v>
      </c>
      <c r="M1032" s="71">
        <v>20.111799999999999</v>
      </c>
    </row>
    <row r="1033" spans="1:13">
      <c r="A1033" s="57" t="s">
        <v>2366</v>
      </c>
      <c r="B1033" s="58">
        <f t="shared" si="62"/>
        <v>39720</v>
      </c>
      <c r="C1033" s="59">
        <f t="shared" si="63"/>
        <v>2008</v>
      </c>
      <c r="D1033" s="61">
        <v>10.9397</v>
      </c>
      <c r="E1033" s="61">
        <v>10.7919</v>
      </c>
      <c r="F1033" s="61">
        <v>10.7653</v>
      </c>
      <c r="H1033" s="62" t="s">
        <v>2367</v>
      </c>
      <c r="I1033" s="58">
        <f t="shared" si="65"/>
        <v>44468</v>
      </c>
      <c r="J1033" s="60">
        <f t="shared" si="64"/>
        <v>2021</v>
      </c>
      <c r="K1033" s="64">
        <v>20.497699999999998</v>
      </c>
      <c r="L1033" s="64">
        <v>20.306000000000001</v>
      </c>
      <c r="M1033" s="64">
        <v>20.1052</v>
      </c>
    </row>
    <row r="1034" spans="1:13">
      <c r="A1034" s="65" t="s">
        <v>2368</v>
      </c>
      <c r="B1034" s="66">
        <f t="shared" si="62"/>
        <v>39721</v>
      </c>
      <c r="C1034" s="67">
        <f t="shared" si="63"/>
        <v>2008</v>
      </c>
      <c r="D1034" s="68">
        <v>10.981400000000001</v>
      </c>
      <c r="E1034" s="68">
        <v>10.9397</v>
      </c>
      <c r="F1034" s="68">
        <v>10.7919</v>
      </c>
      <c r="H1034" s="69" t="s">
        <v>2369</v>
      </c>
      <c r="I1034" s="66">
        <f t="shared" si="65"/>
        <v>44469</v>
      </c>
      <c r="J1034" s="70">
        <f t="shared" si="64"/>
        <v>2021</v>
      </c>
      <c r="K1034" s="71">
        <v>20.5623</v>
      </c>
      <c r="L1034" s="71">
        <v>20.497699999999998</v>
      </c>
      <c r="M1034" s="71">
        <v>20.306000000000001</v>
      </c>
    </row>
    <row r="1035" spans="1:13">
      <c r="A1035" s="57" t="s">
        <v>2370</v>
      </c>
      <c r="B1035" s="58">
        <f t="shared" si="62"/>
        <v>39722</v>
      </c>
      <c r="C1035" s="59">
        <f t="shared" si="63"/>
        <v>2008</v>
      </c>
      <c r="D1035" s="61">
        <v>10.9811</v>
      </c>
      <c r="E1035" s="61">
        <v>10.981400000000001</v>
      </c>
      <c r="F1035" s="61">
        <v>10.9397</v>
      </c>
      <c r="H1035" s="62" t="s">
        <v>2371</v>
      </c>
      <c r="I1035" s="58">
        <f t="shared" si="65"/>
        <v>44470</v>
      </c>
      <c r="J1035" s="60">
        <f t="shared" si="64"/>
        <v>2021</v>
      </c>
      <c r="K1035" s="64">
        <v>20.510300000000001</v>
      </c>
      <c r="L1035" s="64">
        <v>20.5623</v>
      </c>
      <c r="M1035" s="64">
        <v>20.497699999999998</v>
      </c>
    </row>
    <row r="1036" spans="1:13">
      <c r="A1036" s="65" t="s">
        <v>2372</v>
      </c>
      <c r="B1036" s="66">
        <f t="shared" si="62"/>
        <v>39723</v>
      </c>
      <c r="C1036" s="67">
        <f t="shared" si="63"/>
        <v>2008</v>
      </c>
      <c r="D1036" s="68">
        <v>11.1296</v>
      </c>
      <c r="E1036" s="68">
        <v>10.9811</v>
      </c>
      <c r="F1036" s="68">
        <v>10.981400000000001</v>
      </c>
      <c r="H1036" s="69" t="s">
        <v>2373</v>
      </c>
      <c r="I1036" s="66">
        <f t="shared" si="65"/>
        <v>44471</v>
      </c>
      <c r="J1036" s="70">
        <f t="shared" si="64"/>
        <v>2021</v>
      </c>
      <c r="K1036" s="72" t="s">
        <v>362</v>
      </c>
      <c r="L1036" s="72" t="s">
        <v>362</v>
      </c>
      <c r="M1036" s="71">
        <v>20.5623</v>
      </c>
    </row>
    <row r="1037" spans="1:13">
      <c r="A1037" s="57" t="s">
        <v>2374</v>
      </c>
      <c r="B1037" s="58">
        <f t="shared" si="62"/>
        <v>39724</v>
      </c>
      <c r="C1037" s="59">
        <f t="shared" si="63"/>
        <v>2008</v>
      </c>
      <c r="D1037" s="61">
        <v>11.1188</v>
      </c>
      <c r="E1037" s="61">
        <v>11.1296</v>
      </c>
      <c r="F1037" s="61">
        <v>10.9811</v>
      </c>
      <c r="H1037" s="62" t="s">
        <v>2375</v>
      </c>
      <c r="I1037" s="58">
        <f t="shared" si="65"/>
        <v>44472</v>
      </c>
      <c r="J1037" s="60">
        <f t="shared" si="64"/>
        <v>2021</v>
      </c>
      <c r="K1037" s="63" t="s">
        <v>362</v>
      </c>
      <c r="L1037" s="63" t="s">
        <v>362</v>
      </c>
      <c r="M1037" s="64">
        <v>20.5623</v>
      </c>
    </row>
    <row r="1038" spans="1:13">
      <c r="A1038" s="65" t="s">
        <v>2376</v>
      </c>
      <c r="B1038" s="66">
        <f t="shared" si="62"/>
        <v>39725</v>
      </c>
      <c r="C1038" s="67">
        <f t="shared" si="63"/>
        <v>2008</v>
      </c>
      <c r="D1038" s="70" t="s">
        <v>362</v>
      </c>
      <c r="E1038" s="70" t="s">
        <v>362</v>
      </c>
      <c r="F1038" s="68">
        <v>11.1296</v>
      </c>
      <c r="H1038" s="69" t="s">
        <v>2377</v>
      </c>
      <c r="I1038" s="66">
        <f t="shared" si="65"/>
        <v>44473</v>
      </c>
      <c r="J1038" s="70">
        <f t="shared" si="64"/>
        <v>2021</v>
      </c>
      <c r="K1038" s="71">
        <v>20.5747</v>
      </c>
      <c r="L1038" s="71">
        <v>20.510300000000001</v>
      </c>
      <c r="M1038" s="71">
        <v>20.5623</v>
      </c>
    </row>
    <row r="1039" spans="1:13">
      <c r="A1039" s="57" t="s">
        <v>2378</v>
      </c>
      <c r="B1039" s="58">
        <f t="shared" si="62"/>
        <v>39726</v>
      </c>
      <c r="C1039" s="59">
        <f t="shared" si="63"/>
        <v>2008</v>
      </c>
      <c r="D1039" s="60" t="s">
        <v>362</v>
      </c>
      <c r="E1039" s="60" t="s">
        <v>362</v>
      </c>
      <c r="F1039" s="61">
        <v>11.1296</v>
      </c>
      <c r="H1039" s="62" t="s">
        <v>2379</v>
      </c>
      <c r="I1039" s="58">
        <f t="shared" si="65"/>
        <v>44474</v>
      </c>
      <c r="J1039" s="60">
        <f t="shared" si="64"/>
        <v>2021</v>
      </c>
      <c r="K1039" s="64">
        <v>20.581800000000001</v>
      </c>
      <c r="L1039" s="64">
        <v>20.5747</v>
      </c>
      <c r="M1039" s="64">
        <v>20.510300000000001</v>
      </c>
    </row>
    <row r="1040" spans="1:13">
      <c r="A1040" s="65" t="s">
        <v>2380</v>
      </c>
      <c r="B1040" s="66">
        <f t="shared" si="62"/>
        <v>39727</v>
      </c>
      <c r="C1040" s="67">
        <f t="shared" si="63"/>
        <v>2008</v>
      </c>
      <c r="D1040" s="68">
        <v>11.7667</v>
      </c>
      <c r="E1040" s="68">
        <v>11.1188</v>
      </c>
      <c r="F1040" s="68">
        <v>11.1296</v>
      </c>
      <c r="H1040" s="69" t="s">
        <v>2381</v>
      </c>
      <c r="I1040" s="66">
        <f t="shared" si="65"/>
        <v>44475</v>
      </c>
      <c r="J1040" s="70">
        <f t="shared" si="64"/>
        <v>2021</v>
      </c>
      <c r="K1040" s="71">
        <v>20.694700000000001</v>
      </c>
      <c r="L1040" s="71">
        <v>20.581800000000001</v>
      </c>
      <c r="M1040" s="71">
        <v>20.5747</v>
      </c>
    </row>
    <row r="1041" spans="1:13">
      <c r="A1041" s="57" t="s">
        <v>2382</v>
      </c>
      <c r="B1041" s="58">
        <f t="shared" si="62"/>
        <v>39728</v>
      </c>
      <c r="C1041" s="59">
        <f t="shared" si="63"/>
        <v>2008</v>
      </c>
      <c r="D1041" s="61">
        <v>12.1196</v>
      </c>
      <c r="E1041" s="61">
        <v>11.7667</v>
      </c>
      <c r="F1041" s="61">
        <v>11.1188</v>
      </c>
      <c r="H1041" s="62" t="s">
        <v>2383</v>
      </c>
      <c r="I1041" s="58">
        <f t="shared" si="65"/>
        <v>44476</v>
      </c>
      <c r="J1041" s="60">
        <f t="shared" si="64"/>
        <v>2021</v>
      </c>
      <c r="K1041" s="64">
        <v>20.603999999999999</v>
      </c>
      <c r="L1041" s="64">
        <v>20.694700000000001</v>
      </c>
      <c r="M1041" s="64">
        <v>20.581800000000001</v>
      </c>
    </row>
    <row r="1042" spans="1:13">
      <c r="A1042" s="65" t="s">
        <v>2384</v>
      </c>
      <c r="B1042" s="66">
        <f t="shared" si="62"/>
        <v>39729</v>
      </c>
      <c r="C1042" s="67">
        <f t="shared" si="63"/>
        <v>2008</v>
      </c>
      <c r="D1042" s="68">
        <v>13.041700000000001</v>
      </c>
      <c r="E1042" s="68">
        <v>12.1196</v>
      </c>
      <c r="F1042" s="68">
        <v>11.7667</v>
      </c>
      <c r="H1042" s="69" t="s">
        <v>2385</v>
      </c>
      <c r="I1042" s="66">
        <f t="shared" si="65"/>
        <v>44477</v>
      </c>
      <c r="J1042" s="70">
        <f t="shared" si="64"/>
        <v>2021</v>
      </c>
      <c r="K1042" s="71">
        <v>20.729299999999999</v>
      </c>
      <c r="L1042" s="71">
        <v>20.603999999999999</v>
      </c>
      <c r="M1042" s="71">
        <v>20.694700000000001</v>
      </c>
    </row>
    <row r="1043" spans="1:13">
      <c r="A1043" s="57" t="s">
        <v>2386</v>
      </c>
      <c r="B1043" s="58">
        <f t="shared" si="62"/>
        <v>39730</v>
      </c>
      <c r="C1043" s="59">
        <f t="shared" si="63"/>
        <v>2008</v>
      </c>
      <c r="D1043" s="61">
        <v>12.443300000000001</v>
      </c>
      <c r="E1043" s="61">
        <v>13.041700000000001</v>
      </c>
      <c r="F1043" s="61">
        <v>12.1196</v>
      </c>
      <c r="H1043" s="62" t="s">
        <v>2387</v>
      </c>
      <c r="I1043" s="58">
        <f t="shared" si="65"/>
        <v>44478</v>
      </c>
      <c r="J1043" s="60">
        <f t="shared" si="64"/>
        <v>2021</v>
      </c>
      <c r="K1043" s="63" t="s">
        <v>362</v>
      </c>
      <c r="L1043" s="63" t="s">
        <v>362</v>
      </c>
      <c r="M1043" s="64">
        <v>20.603999999999999</v>
      </c>
    </row>
    <row r="1044" spans="1:13">
      <c r="A1044" s="65" t="s">
        <v>2388</v>
      </c>
      <c r="B1044" s="66">
        <f t="shared" si="62"/>
        <v>39731</v>
      </c>
      <c r="C1044" s="67">
        <f t="shared" si="63"/>
        <v>2008</v>
      </c>
      <c r="D1044" s="68">
        <v>13.0867</v>
      </c>
      <c r="E1044" s="68">
        <v>12.443300000000001</v>
      </c>
      <c r="F1044" s="68">
        <v>13.041700000000001</v>
      </c>
      <c r="H1044" s="69" t="s">
        <v>2389</v>
      </c>
      <c r="I1044" s="66">
        <f t="shared" si="65"/>
        <v>44479</v>
      </c>
      <c r="J1044" s="70">
        <f t="shared" si="64"/>
        <v>2021</v>
      </c>
      <c r="K1044" s="72" t="s">
        <v>362</v>
      </c>
      <c r="L1044" s="72" t="s">
        <v>362</v>
      </c>
      <c r="M1044" s="71">
        <v>20.603999999999999</v>
      </c>
    </row>
    <row r="1045" spans="1:13">
      <c r="A1045" s="57" t="s">
        <v>2390</v>
      </c>
      <c r="B1045" s="58">
        <f t="shared" si="62"/>
        <v>39732</v>
      </c>
      <c r="C1045" s="59">
        <f t="shared" si="63"/>
        <v>2008</v>
      </c>
      <c r="D1045" s="60" t="s">
        <v>362</v>
      </c>
      <c r="E1045" s="60" t="s">
        <v>362</v>
      </c>
      <c r="F1045" s="61">
        <v>12.443300000000001</v>
      </c>
      <c r="H1045" s="62" t="s">
        <v>2391</v>
      </c>
      <c r="I1045" s="58">
        <f t="shared" si="65"/>
        <v>44480</v>
      </c>
      <c r="J1045" s="60">
        <f t="shared" si="64"/>
        <v>2021</v>
      </c>
      <c r="K1045" s="64">
        <v>20.8017</v>
      </c>
      <c r="L1045" s="64">
        <v>20.729299999999999</v>
      </c>
      <c r="M1045" s="64">
        <v>20.603999999999999</v>
      </c>
    </row>
    <row r="1046" spans="1:13">
      <c r="A1046" s="65" t="s">
        <v>2392</v>
      </c>
      <c r="B1046" s="66">
        <f t="shared" si="62"/>
        <v>39733</v>
      </c>
      <c r="C1046" s="67">
        <f t="shared" si="63"/>
        <v>2008</v>
      </c>
      <c r="D1046" s="70" t="s">
        <v>362</v>
      </c>
      <c r="E1046" s="70" t="s">
        <v>362</v>
      </c>
      <c r="F1046" s="68">
        <v>12.443300000000001</v>
      </c>
      <c r="H1046" s="69" t="s">
        <v>2393</v>
      </c>
      <c r="I1046" s="66">
        <f t="shared" si="65"/>
        <v>44481</v>
      </c>
      <c r="J1046" s="70">
        <f t="shared" si="64"/>
        <v>2021</v>
      </c>
      <c r="K1046" s="71">
        <v>20.776700000000002</v>
      </c>
      <c r="L1046" s="71">
        <v>20.8017</v>
      </c>
      <c r="M1046" s="71">
        <v>20.729299999999999</v>
      </c>
    </row>
    <row r="1047" spans="1:13">
      <c r="A1047" s="57" t="s">
        <v>2394</v>
      </c>
      <c r="B1047" s="58">
        <f t="shared" si="62"/>
        <v>39734</v>
      </c>
      <c r="C1047" s="59">
        <f t="shared" si="63"/>
        <v>2008</v>
      </c>
      <c r="D1047" s="61">
        <v>12.3743</v>
      </c>
      <c r="E1047" s="61">
        <v>13.0867</v>
      </c>
      <c r="F1047" s="61">
        <v>12.443300000000001</v>
      </c>
      <c r="H1047" s="62" t="s">
        <v>2395</v>
      </c>
      <c r="I1047" s="58">
        <f t="shared" si="65"/>
        <v>44482</v>
      </c>
      <c r="J1047" s="60">
        <f t="shared" si="64"/>
        <v>2021</v>
      </c>
      <c r="K1047" s="64">
        <v>20.682700000000001</v>
      </c>
      <c r="L1047" s="64">
        <v>20.776700000000002</v>
      </c>
      <c r="M1047" s="64">
        <v>20.8017</v>
      </c>
    </row>
    <row r="1048" spans="1:13">
      <c r="A1048" s="65" t="s">
        <v>2396</v>
      </c>
      <c r="B1048" s="66">
        <f t="shared" si="62"/>
        <v>39735</v>
      </c>
      <c r="C1048" s="67">
        <f t="shared" si="63"/>
        <v>2008</v>
      </c>
      <c r="D1048" s="68">
        <v>12.345000000000001</v>
      </c>
      <c r="E1048" s="68">
        <v>12.3743</v>
      </c>
      <c r="F1048" s="68">
        <v>13.0867</v>
      </c>
      <c r="H1048" s="69" t="s">
        <v>2397</v>
      </c>
      <c r="I1048" s="66">
        <f t="shared" si="65"/>
        <v>44483</v>
      </c>
      <c r="J1048" s="70">
        <f t="shared" si="64"/>
        <v>2021</v>
      </c>
      <c r="K1048" s="71">
        <v>20.607500000000002</v>
      </c>
      <c r="L1048" s="71">
        <v>20.682700000000001</v>
      </c>
      <c r="M1048" s="71">
        <v>20.776700000000002</v>
      </c>
    </row>
    <row r="1049" spans="1:13">
      <c r="A1049" s="57" t="s">
        <v>2398</v>
      </c>
      <c r="B1049" s="58">
        <f t="shared" si="62"/>
        <v>39736</v>
      </c>
      <c r="C1049" s="59">
        <f t="shared" si="63"/>
        <v>2008</v>
      </c>
      <c r="D1049" s="61">
        <v>12.719200000000001</v>
      </c>
      <c r="E1049" s="61">
        <v>12.345000000000001</v>
      </c>
      <c r="F1049" s="61">
        <v>12.3743</v>
      </c>
      <c r="H1049" s="62" t="s">
        <v>2399</v>
      </c>
      <c r="I1049" s="58">
        <f t="shared" si="65"/>
        <v>44484</v>
      </c>
      <c r="J1049" s="60">
        <f t="shared" si="64"/>
        <v>2021</v>
      </c>
      <c r="K1049" s="64">
        <v>20.467199999999998</v>
      </c>
      <c r="L1049" s="64">
        <v>20.607500000000002</v>
      </c>
      <c r="M1049" s="64">
        <v>20.682700000000001</v>
      </c>
    </row>
    <row r="1050" spans="1:13">
      <c r="A1050" s="65" t="s">
        <v>2400</v>
      </c>
      <c r="B1050" s="66">
        <f t="shared" si="62"/>
        <v>39737</v>
      </c>
      <c r="C1050" s="67">
        <f t="shared" si="63"/>
        <v>2008</v>
      </c>
      <c r="D1050" s="68">
        <v>13.0633</v>
      </c>
      <c r="E1050" s="68">
        <v>12.719200000000001</v>
      </c>
      <c r="F1050" s="68">
        <v>12.345000000000001</v>
      </c>
      <c r="H1050" s="69" t="s">
        <v>2401</v>
      </c>
      <c r="I1050" s="66">
        <f t="shared" si="65"/>
        <v>44485</v>
      </c>
      <c r="J1050" s="70">
        <f t="shared" si="64"/>
        <v>2021</v>
      </c>
      <c r="K1050" s="72" t="s">
        <v>362</v>
      </c>
      <c r="L1050" s="72" t="s">
        <v>362</v>
      </c>
      <c r="M1050" s="71">
        <v>20.607500000000002</v>
      </c>
    </row>
    <row r="1051" spans="1:13">
      <c r="A1051" s="57" t="s">
        <v>2402</v>
      </c>
      <c r="B1051" s="58">
        <f t="shared" si="62"/>
        <v>39738</v>
      </c>
      <c r="C1051" s="59">
        <f t="shared" si="63"/>
        <v>2008</v>
      </c>
      <c r="D1051" s="61">
        <v>12.8475</v>
      </c>
      <c r="E1051" s="61">
        <v>13.0633</v>
      </c>
      <c r="F1051" s="61">
        <v>12.719200000000001</v>
      </c>
      <c r="H1051" s="62" t="s">
        <v>2403</v>
      </c>
      <c r="I1051" s="58">
        <f t="shared" si="65"/>
        <v>44486</v>
      </c>
      <c r="J1051" s="60">
        <f t="shared" si="64"/>
        <v>2021</v>
      </c>
      <c r="K1051" s="63" t="s">
        <v>362</v>
      </c>
      <c r="L1051" s="63" t="s">
        <v>362</v>
      </c>
      <c r="M1051" s="64">
        <v>20.607500000000002</v>
      </c>
    </row>
    <row r="1052" spans="1:13">
      <c r="A1052" s="65" t="s">
        <v>2404</v>
      </c>
      <c r="B1052" s="66">
        <f t="shared" si="62"/>
        <v>39739</v>
      </c>
      <c r="C1052" s="67">
        <f t="shared" si="63"/>
        <v>2008</v>
      </c>
      <c r="D1052" s="70" t="s">
        <v>362</v>
      </c>
      <c r="E1052" s="70" t="s">
        <v>362</v>
      </c>
      <c r="F1052" s="68">
        <v>13.0633</v>
      </c>
      <c r="H1052" s="69" t="s">
        <v>2405</v>
      </c>
      <c r="I1052" s="66">
        <f t="shared" si="65"/>
        <v>44487</v>
      </c>
      <c r="J1052" s="70">
        <f t="shared" si="64"/>
        <v>2021</v>
      </c>
      <c r="K1052" s="71">
        <v>20.358699999999999</v>
      </c>
      <c r="L1052" s="71">
        <v>20.467199999999998</v>
      </c>
      <c r="M1052" s="71">
        <v>20.607500000000002</v>
      </c>
    </row>
    <row r="1053" spans="1:13">
      <c r="A1053" s="57" t="s">
        <v>2406</v>
      </c>
      <c r="B1053" s="58">
        <f t="shared" si="62"/>
        <v>39740</v>
      </c>
      <c r="C1053" s="59">
        <f t="shared" si="63"/>
        <v>2008</v>
      </c>
      <c r="D1053" s="60" t="s">
        <v>362</v>
      </c>
      <c r="E1053" s="60" t="s">
        <v>362</v>
      </c>
      <c r="F1053" s="61">
        <v>13.0633</v>
      </c>
      <c r="H1053" s="62" t="s">
        <v>2407</v>
      </c>
      <c r="I1053" s="58">
        <f t="shared" si="65"/>
        <v>44488</v>
      </c>
      <c r="J1053" s="60">
        <f t="shared" si="64"/>
        <v>2021</v>
      </c>
      <c r="K1053" s="64">
        <v>20.264700000000001</v>
      </c>
      <c r="L1053" s="64">
        <v>20.358699999999999</v>
      </c>
      <c r="M1053" s="64">
        <v>20.467199999999998</v>
      </c>
    </row>
    <row r="1054" spans="1:13">
      <c r="A1054" s="65" t="s">
        <v>2408</v>
      </c>
      <c r="B1054" s="66">
        <f t="shared" si="62"/>
        <v>39741</v>
      </c>
      <c r="C1054" s="67">
        <f t="shared" si="63"/>
        <v>2008</v>
      </c>
      <c r="D1054" s="68">
        <v>12.761699999999999</v>
      </c>
      <c r="E1054" s="68">
        <v>12.8475</v>
      </c>
      <c r="F1054" s="68">
        <v>13.0633</v>
      </c>
      <c r="H1054" s="69" t="s">
        <v>2409</v>
      </c>
      <c r="I1054" s="66">
        <f t="shared" si="65"/>
        <v>44489</v>
      </c>
      <c r="J1054" s="70">
        <f t="shared" si="64"/>
        <v>2021</v>
      </c>
      <c r="K1054" s="71">
        <v>20.184999999999999</v>
      </c>
      <c r="L1054" s="71">
        <v>20.264700000000001</v>
      </c>
      <c r="M1054" s="71">
        <v>20.358699999999999</v>
      </c>
    </row>
    <row r="1055" spans="1:13">
      <c r="A1055" s="57" t="s">
        <v>2410</v>
      </c>
      <c r="B1055" s="58">
        <f t="shared" ref="B1055:B1118" si="66">DATE(RIGHT(A1055,4),LEFT(RIGHT(A1055,7),2),LEFT(A1055,2))</f>
        <v>39742</v>
      </c>
      <c r="C1055" s="59">
        <f t="shared" ref="C1055:C1118" si="67">YEAR(B1055)</f>
        <v>2008</v>
      </c>
      <c r="D1055" s="61">
        <v>13.1233</v>
      </c>
      <c r="E1055" s="61">
        <v>12.761699999999999</v>
      </c>
      <c r="F1055" s="61">
        <v>12.8475</v>
      </c>
      <c r="H1055" s="62" t="s">
        <v>2411</v>
      </c>
      <c r="I1055" s="58">
        <f t="shared" si="65"/>
        <v>44490</v>
      </c>
      <c r="J1055" s="60">
        <f t="shared" ref="J1055:J1118" si="68">YEAR(I1055)</f>
        <v>2021</v>
      </c>
      <c r="K1055" s="64">
        <v>20.264299999999999</v>
      </c>
      <c r="L1055" s="64">
        <v>20.184999999999999</v>
      </c>
      <c r="M1055" s="64">
        <v>20.264700000000001</v>
      </c>
    </row>
    <row r="1056" spans="1:13">
      <c r="A1056" s="65" t="s">
        <v>2412</v>
      </c>
      <c r="B1056" s="66">
        <f t="shared" si="66"/>
        <v>39743</v>
      </c>
      <c r="C1056" s="67">
        <f t="shared" si="67"/>
        <v>2008</v>
      </c>
      <c r="D1056" s="68">
        <v>13.559200000000001</v>
      </c>
      <c r="E1056" s="68">
        <v>13.1233</v>
      </c>
      <c r="F1056" s="68">
        <v>12.761699999999999</v>
      </c>
      <c r="H1056" s="69" t="s">
        <v>2413</v>
      </c>
      <c r="I1056" s="66">
        <f t="shared" ref="I1056:I1119" si="69">DATE(RIGHT(H1056,4),LEFT(RIGHT(A1056,7),2),LEFT(A1056,2))</f>
        <v>44491</v>
      </c>
      <c r="J1056" s="70">
        <f t="shared" si="68"/>
        <v>2021</v>
      </c>
      <c r="K1056" s="71">
        <v>20.183700000000002</v>
      </c>
      <c r="L1056" s="71">
        <v>20.264299999999999</v>
      </c>
      <c r="M1056" s="71">
        <v>20.184999999999999</v>
      </c>
    </row>
    <row r="1057" spans="1:13">
      <c r="A1057" s="57" t="s">
        <v>2414</v>
      </c>
      <c r="B1057" s="58">
        <f t="shared" si="66"/>
        <v>39744</v>
      </c>
      <c r="C1057" s="59">
        <f t="shared" si="67"/>
        <v>2008</v>
      </c>
      <c r="D1057" s="61">
        <v>13.5025</v>
      </c>
      <c r="E1057" s="61">
        <v>13.559200000000001</v>
      </c>
      <c r="F1057" s="61">
        <v>13.1233</v>
      </c>
      <c r="H1057" s="62" t="s">
        <v>2415</v>
      </c>
      <c r="I1057" s="58">
        <f t="shared" si="69"/>
        <v>44492</v>
      </c>
      <c r="J1057" s="60">
        <f t="shared" si="68"/>
        <v>2021</v>
      </c>
      <c r="K1057" s="63" t="s">
        <v>362</v>
      </c>
      <c r="L1057" s="63" t="s">
        <v>362</v>
      </c>
      <c r="M1057" s="64">
        <v>20.264299999999999</v>
      </c>
    </row>
    <row r="1058" spans="1:13">
      <c r="A1058" s="65" t="s">
        <v>2416</v>
      </c>
      <c r="B1058" s="66">
        <f t="shared" si="66"/>
        <v>39745</v>
      </c>
      <c r="C1058" s="67">
        <f t="shared" si="67"/>
        <v>2008</v>
      </c>
      <c r="D1058" s="68">
        <v>13.4</v>
      </c>
      <c r="E1058" s="68">
        <v>13.5025</v>
      </c>
      <c r="F1058" s="68">
        <v>13.559200000000001</v>
      </c>
      <c r="H1058" s="69" t="s">
        <v>2417</v>
      </c>
      <c r="I1058" s="66">
        <f t="shared" si="69"/>
        <v>44493</v>
      </c>
      <c r="J1058" s="70">
        <f t="shared" si="68"/>
        <v>2021</v>
      </c>
      <c r="K1058" s="72" t="s">
        <v>362</v>
      </c>
      <c r="L1058" s="72" t="s">
        <v>362</v>
      </c>
      <c r="M1058" s="71">
        <v>20.264299999999999</v>
      </c>
    </row>
    <row r="1059" spans="1:13">
      <c r="A1059" s="57" t="s">
        <v>2418</v>
      </c>
      <c r="B1059" s="58">
        <f t="shared" si="66"/>
        <v>39746</v>
      </c>
      <c r="C1059" s="59">
        <f t="shared" si="67"/>
        <v>2008</v>
      </c>
      <c r="D1059" s="60" t="s">
        <v>362</v>
      </c>
      <c r="E1059" s="60" t="s">
        <v>362</v>
      </c>
      <c r="F1059" s="61">
        <v>13.5025</v>
      </c>
      <c r="H1059" s="62" t="s">
        <v>2419</v>
      </c>
      <c r="I1059" s="58">
        <f t="shared" si="69"/>
        <v>44494</v>
      </c>
      <c r="J1059" s="60">
        <f t="shared" si="68"/>
        <v>2021</v>
      </c>
      <c r="K1059" s="64">
        <v>20.189699999999998</v>
      </c>
      <c r="L1059" s="64">
        <v>20.183700000000002</v>
      </c>
      <c r="M1059" s="64">
        <v>20.264299999999999</v>
      </c>
    </row>
    <row r="1060" spans="1:13">
      <c r="A1060" s="65" t="s">
        <v>2420</v>
      </c>
      <c r="B1060" s="66">
        <f t="shared" si="66"/>
        <v>39747</v>
      </c>
      <c r="C1060" s="67">
        <f t="shared" si="67"/>
        <v>2008</v>
      </c>
      <c r="D1060" s="70" t="s">
        <v>362</v>
      </c>
      <c r="E1060" s="70" t="s">
        <v>362</v>
      </c>
      <c r="F1060" s="68">
        <v>13.5025</v>
      </c>
      <c r="H1060" s="69" t="s">
        <v>2421</v>
      </c>
      <c r="I1060" s="66">
        <f t="shared" si="69"/>
        <v>44495</v>
      </c>
      <c r="J1060" s="70">
        <f t="shared" si="68"/>
        <v>2021</v>
      </c>
      <c r="K1060" s="71">
        <v>20.188800000000001</v>
      </c>
      <c r="L1060" s="71">
        <v>20.189699999999998</v>
      </c>
      <c r="M1060" s="71">
        <v>20.183700000000002</v>
      </c>
    </row>
    <row r="1061" spans="1:13">
      <c r="A1061" s="57" t="s">
        <v>2422</v>
      </c>
      <c r="B1061" s="58">
        <f t="shared" si="66"/>
        <v>39748</v>
      </c>
      <c r="C1061" s="59">
        <f t="shared" si="67"/>
        <v>2008</v>
      </c>
      <c r="D1061" s="61">
        <v>13.308299999999999</v>
      </c>
      <c r="E1061" s="61">
        <v>13.4</v>
      </c>
      <c r="F1061" s="61">
        <v>13.5025</v>
      </c>
      <c r="H1061" s="62" t="s">
        <v>2423</v>
      </c>
      <c r="I1061" s="58">
        <f t="shared" si="69"/>
        <v>44496</v>
      </c>
      <c r="J1061" s="60">
        <f t="shared" si="68"/>
        <v>2021</v>
      </c>
      <c r="K1061" s="64">
        <v>20.193000000000001</v>
      </c>
      <c r="L1061" s="64">
        <v>20.188800000000001</v>
      </c>
      <c r="M1061" s="64">
        <v>20.189699999999998</v>
      </c>
    </row>
    <row r="1062" spans="1:13">
      <c r="A1062" s="65" t="s">
        <v>2424</v>
      </c>
      <c r="B1062" s="66">
        <f t="shared" si="66"/>
        <v>39749</v>
      </c>
      <c r="C1062" s="67">
        <f t="shared" si="67"/>
        <v>2008</v>
      </c>
      <c r="D1062" s="68">
        <v>13.369199999999999</v>
      </c>
      <c r="E1062" s="68">
        <v>13.308299999999999</v>
      </c>
      <c r="F1062" s="68">
        <v>13.4</v>
      </c>
      <c r="H1062" s="69" t="s">
        <v>2425</v>
      </c>
      <c r="I1062" s="66">
        <f t="shared" si="69"/>
        <v>44497</v>
      </c>
      <c r="J1062" s="70">
        <f t="shared" si="68"/>
        <v>2021</v>
      </c>
      <c r="K1062" s="71">
        <v>20.325500000000002</v>
      </c>
      <c r="L1062" s="71">
        <v>20.193000000000001</v>
      </c>
      <c r="M1062" s="71">
        <v>20.188800000000001</v>
      </c>
    </row>
    <row r="1063" spans="1:13">
      <c r="A1063" s="57" t="s">
        <v>2426</v>
      </c>
      <c r="B1063" s="58">
        <f t="shared" si="66"/>
        <v>39750</v>
      </c>
      <c r="C1063" s="59">
        <f t="shared" si="67"/>
        <v>2008</v>
      </c>
      <c r="D1063" s="61">
        <v>12.914199999999999</v>
      </c>
      <c r="E1063" s="61">
        <v>13.369199999999999</v>
      </c>
      <c r="F1063" s="61">
        <v>13.308299999999999</v>
      </c>
      <c r="H1063" s="62" t="s">
        <v>2427</v>
      </c>
      <c r="I1063" s="58">
        <f t="shared" si="69"/>
        <v>44498</v>
      </c>
      <c r="J1063" s="60">
        <f t="shared" si="68"/>
        <v>2021</v>
      </c>
      <c r="K1063" s="64">
        <v>20.529699999999998</v>
      </c>
      <c r="L1063" s="64">
        <v>20.325500000000002</v>
      </c>
      <c r="M1063" s="64">
        <v>20.193000000000001</v>
      </c>
    </row>
    <row r="1064" spans="1:13">
      <c r="A1064" s="65" t="s">
        <v>2428</v>
      </c>
      <c r="B1064" s="66">
        <f t="shared" si="66"/>
        <v>39751</v>
      </c>
      <c r="C1064" s="67">
        <f t="shared" si="67"/>
        <v>2008</v>
      </c>
      <c r="D1064" s="68">
        <v>12.834199999999999</v>
      </c>
      <c r="E1064" s="68">
        <v>12.914199999999999</v>
      </c>
      <c r="F1064" s="68">
        <v>13.369199999999999</v>
      </c>
      <c r="H1064" s="69" t="s">
        <v>2429</v>
      </c>
      <c r="I1064" s="66">
        <f t="shared" si="69"/>
        <v>44499</v>
      </c>
      <c r="J1064" s="70">
        <f t="shared" si="68"/>
        <v>2021</v>
      </c>
      <c r="K1064" s="72" t="s">
        <v>362</v>
      </c>
      <c r="L1064" s="72" t="s">
        <v>362</v>
      </c>
      <c r="M1064" s="71">
        <v>20.325500000000002</v>
      </c>
    </row>
    <row r="1065" spans="1:13">
      <c r="A1065" s="57" t="s">
        <v>2430</v>
      </c>
      <c r="B1065" s="58">
        <f t="shared" si="66"/>
        <v>39752</v>
      </c>
      <c r="C1065" s="59">
        <f t="shared" si="67"/>
        <v>2008</v>
      </c>
      <c r="D1065" s="61">
        <v>12.7125</v>
      </c>
      <c r="E1065" s="61">
        <v>12.834199999999999</v>
      </c>
      <c r="F1065" s="61">
        <v>12.914199999999999</v>
      </c>
      <c r="H1065" s="62" t="s">
        <v>2431</v>
      </c>
      <c r="I1065" s="58">
        <f t="shared" si="69"/>
        <v>44500</v>
      </c>
      <c r="J1065" s="60">
        <f t="shared" si="68"/>
        <v>2021</v>
      </c>
      <c r="K1065" s="63" t="s">
        <v>362</v>
      </c>
      <c r="L1065" s="63" t="s">
        <v>362</v>
      </c>
      <c r="M1065" s="64">
        <v>20.325500000000002</v>
      </c>
    </row>
    <row r="1066" spans="1:13">
      <c r="A1066" s="65" t="s">
        <v>2432</v>
      </c>
      <c r="B1066" s="66">
        <f t="shared" si="66"/>
        <v>39753</v>
      </c>
      <c r="C1066" s="67">
        <f t="shared" si="67"/>
        <v>2008</v>
      </c>
      <c r="D1066" s="70" t="s">
        <v>362</v>
      </c>
      <c r="E1066" s="70" t="s">
        <v>362</v>
      </c>
      <c r="F1066" s="68">
        <v>12.834199999999999</v>
      </c>
      <c r="H1066" s="69" t="s">
        <v>2433</v>
      </c>
      <c r="I1066" s="66">
        <f t="shared" si="69"/>
        <v>44501</v>
      </c>
      <c r="J1066" s="70">
        <f t="shared" si="68"/>
        <v>2021</v>
      </c>
      <c r="K1066" s="71">
        <v>20.8598</v>
      </c>
      <c r="L1066" s="71">
        <v>20.529699999999998</v>
      </c>
      <c r="M1066" s="71">
        <v>20.325500000000002</v>
      </c>
    </row>
    <row r="1067" spans="1:13">
      <c r="A1067" s="57" t="s">
        <v>2434</v>
      </c>
      <c r="B1067" s="58">
        <f t="shared" si="66"/>
        <v>39754</v>
      </c>
      <c r="C1067" s="59">
        <f t="shared" si="67"/>
        <v>2008</v>
      </c>
      <c r="D1067" s="60" t="s">
        <v>362</v>
      </c>
      <c r="E1067" s="60" t="s">
        <v>362</v>
      </c>
      <c r="F1067" s="61">
        <v>12.834199999999999</v>
      </c>
      <c r="H1067" s="62" t="s">
        <v>2435</v>
      </c>
      <c r="I1067" s="58">
        <f t="shared" si="69"/>
        <v>44502</v>
      </c>
      <c r="J1067" s="60">
        <f t="shared" si="68"/>
        <v>2021</v>
      </c>
      <c r="K1067" s="63" t="s">
        <v>362</v>
      </c>
      <c r="L1067" s="63" t="s">
        <v>362</v>
      </c>
      <c r="M1067" s="64">
        <v>20.529699999999998</v>
      </c>
    </row>
    <row r="1068" spans="1:13">
      <c r="A1068" s="65" t="s">
        <v>2436</v>
      </c>
      <c r="B1068" s="66">
        <f t="shared" si="66"/>
        <v>39755</v>
      </c>
      <c r="C1068" s="67">
        <f t="shared" si="67"/>
        <v>2008</v>
      </c>
      <c r="D1068" s="68">
        <v>12.7875</v>
      </c>
      <c r="E1068" s="68">
        <v>12.7125</v>
      </c>
      <c r="F1068" s="68">
        <v>12.834199999999999</v>
      </c>
      <c r="H1068" s="69" t="s">
        <v>2437</v>
      </c>
      <c r="I1068" s="66">
        <f t="shared" si="69"/>
        <v>44503</v>
      </c>
      <c r="J1068" s="70">
        <f t="shared" si="68"/>
        <v>2021</v>
      </c>
      <c r="K1068" s="71">
        <v>20.8352</v>
      </c>
      <c r="L1068" s="71">
        <v>20.8598</v>
      </c>
      <c r="M1068" s="71">
        <v>20.529699999999998</v>
      </c>
    </row>
    <row r="1069" spans="1:13">
      <c r="A1069" s="57" t="s">
        <v>2438</v>
      </c>
      <c r="B1069" s="58">
        <f t="shared" si="66"/>
        <v>39756</v>
      </c>
      <c r="C1069" s="59">
        <f t="shared" si="67"/>
        <v>2008</v>
      </c>
      <c r="D1069" s="61">
        <v>12.4862</v>
      </c>
      <c r="E1069" s="61">
        <v>12.7875</v>
      </c>
      <c r="F1069" s="61">
        <v>12.7125</v>
      </c>
      <c r="H1069" s="62" t="s">
        <v>2439</v>
      </c>
      <c r="I1069" s="58">
        <f t="shared" si="69"/>
        <v>44504</v>
      </c>
      <c r="J1069" s="60">
        <f t="shared" si="68"/>
        <v>2021</v>
      </c>
      <c r="K1069" s="64">
        <v>20.624199999999998</v>
      </c>
      <c r="L1069" s="64">
        <v>20.8352</v>
      </c>
      <c r="M1069" s="64">
        <v>20.8598</v>
      </c>
    </row>
    <row r="1070" spans="1:13">
      <c r="A1070" s="65" t="s">
        <v>2440</v>
      </c>
      <c r="B1070" s="66">
        <f t="shared" si="66"/>
        <v>39757</v>
      </c>
      <c r="C1070" s="67">
        <f t="shared" si="67"/>
        <v>2008</v>
      </c>
      <c r="D1070" s="68">
        <v>12.604200000000001</v>
      </c>
      <c r="E1070" s="68">
        <v>12.4862</v>
      </c>
      <c r="F1070" s="68">
        <v>12.7875</v>
      </c>
      <c r="H1070" s="69" t="s">
        <v>2441</v>
      </c>
      <c r="I1070" s="66">
        <f t="shared" si="69"/>
        <v>44505</v>
      </c>
      <c r="J1070" s="70">
        <f t="shared" si="68"/>
        <v>2021</v>
      </c>
      <c r="K1070" s="71">
        <v>20.392499999999998</v>
      </c>
      <c r="L1070" s="71">
        <v>20.624199999999998</v>
      </c>
      <c r="M1070" s="71">
        <v>20.8352</v>
      </c>
    </row>
    <row r="1071" spans="1:13">
      <c r="A1071" s="57" t="s">
        <v>2442</v>
      </c>
      <c r="B1071" s="58">
        <f t="shared" si="66"/>
        <v>39758</v>
      </c>
      <c r="C1071" s="59">
        <f t="shared" si="67"/>
        <v>2008</v>
      </c>
      <c r="D1071" s="61">
        <v>12.95</v>
      </c>
      <c r="E1071" s="61">
        <v>12.604200000000001</v>
      </c>
      <c r="F1071" s="61">
        <v>12.4862</v>
      </c>
      <c r="H1071" s="62" t="s">
        <v>2443</v>
      </c>
      <c r="I1071" s="58">
        <f t="shared" si="69"/>
        <v>44506</v>
      </c>
      <c r="J1071" s="60">
        <f t="shared" si="68"/>
        <v>2021</v>
      </c>
      <c r="K1071" s="63" t="s">
        <v>362</v>
      </c>
      <c r="L1071" s="63" t="s">
        <v>362</v>
      </c>
      <c r="M1071" s="64">
        <v>20.624199999999998</v>
      </c>
    </row>
    <row r="1072" spans="1:13">
      <c r="A1072" s="65" t="s">
        <v>2444</v>
      </c>
      <c r="B1072" s="66">
        <f t="shared" si="66"/>
        <v>39759</v>
      </c>
      <c r="C1072" s="67">
        <f t="shared" si="67"/>
        <v>2008</v>
      </c>
      <c r="D1072" s="68">
        <v>12.8392</v>
      </c>
      <c r="E1072" s="68">
        <v>12.95</v>
      </c>
      <c r="F1072" s="68">
        <v>12.604200000000001</v>
      </c>
      <c r="H1072" s="69" t="s">
        <v>2445</v>
      </c>
      <c r="I1072" s="66">
        <f t="shared" si="69"/>
        <v>44507</v>
      </c>
      <c r="J1072" s="70">
        <f t="shared" si="68"/>
        <v>2021</v>
      </c>
      <c r="K1072" s="72" t="s">
        <v>362</v>
      </c>
      <c r="L1072" s="72" t="s">
        <v>362</v>
      </c>
      <c r="M1072" s="71">
        <v>20.624199999999998</v>
      </c>
    </row>
    <row r="1073" spans="1:13">
      <c r="A1073" s="57" t="s">
        <v>2446</v>
      </c>
      <c r="B1073" s="58">
        <f t="shared" si="66"/>
        <v>39760</v>
      </c>
      <c r="C1073" s="59">
        <f t="shared" si="67"/>
        <v>2008</v>
      </c>
      <c r="D1073" s="60" t="s">
        <v>362</v>
      </c>
      <c r="E1073" s="60" t="s">
        <v>362</v>
      </c>
      <c r="F1073" s="61">
        <v>12.95</v>
      </c>
      <c r="H1073" s="62" t="s">
        <v>2447</v>
      </c>
      <c r="I1073" s="58">
        <f t="shared" si="69"/>
        <v>44508</v>
      </c>
      <c r="J1073" s="60">
        <f t="shared" si="68"/>
        <v>2021</v>
      </c>
      <c r="K1073" s="64">
        <v>20.326499999999999</v>
      </c>
      <c r="L1073" s="64">
        <v>20.392499999999998</v>
      </c>
      <c r="M1073" s="64">
        <v>20.624199999999998</v>
      </c>
    </row>
    <row r="1074" spans="1:13">
      <c r="A1074" s="65" t="s">
        <v>2448</v>
      </c>
      <c r="B1074" s="66">
        <f t="shared" si="66"/>
        <v>39761</v>
      </c>
      <c r="C1074" s="67">
        <f t="shared" si="67"/>
        <v>2008</v>
      </c>
      <c r="D1074" s="70" t="s">
        <v>362</v>
      </c>
      <c r="E1074" s="70" t="s">
        <v>362</v>
      </c>
      <c r="F1074" s="68">
        <v>12.95</v>
      </c>
      <c r="H1074" s="69" t="s">
        <v>2449</v>
      </c>
      <c r="I1074" s="66">
        <f t="shared" si="69"/>
        <v>44509</v>
      </c>
      <c r="J1074" s="70">
        <f t="shared" si="68"/>
        <v>2021</v>
      </c>
      <c r="K1074" s="71">
        <v>20.283300000000001</v>
      </c>
      <c r="L1074" s="71">
        <v>20.326499999999999</v>
      </c>
      <c r="M1074" s="71">
        <v>20.392499999999998</v>
      </c>
    </row>
    <row r="1075" spans="1:13">
      <c r="A1075" s="57" t="s">
        <v>2450</v>
      </c>
      <c r="B1075" s="58">
        <f t="shared" si="66"/>
        <v>39762</v>
      </c>
      <c r="C1075" s="59">
        <f t="shared" si="67"/>
        <v>2008</v>
      </c>
      <c r="D1075" s="61">
        <v>12.785</v>
      </c>
      <c r="E1075" s="61">
        <v>12.8392</v>
      </c>
      <c r="F1075" s="61">
        <v>12.95</v>
      </c>
      <c r="H1075" s="62" t="s">
        <v>2451</v>
      </c>
      <c r="I1075" s="58">
        <f t="shared" si="69"/>
        <v>44510</v>
      </c>
      <c r="J1075" s="60">
        <f t="shared" si="68"/>
        <v>2021</v>
      </c>
      <c r="K1075" s="64">
        <v>20.470199999999998</v>
      </c>
      <c r="L1075" s="64">
        <v>20.283300000000001</v>
      </c>
      <c r="M1075" s="64">
        <v>20.326499999999999</v>
      </c>
    </row>
    <row r="1076" spans="1:13">
      <c r="A1076" s="65" t="s">
        <v>2452</v>
      </c>
      <c r="B1076" s="66">
        <f t="shared" si="66"/>
        <v>39763</v>
      </c>
      <c r="C1076" s="67">
        <f t="shared" si="67"/>
        <v>2008</v>
      </c>
      <c r="D1076" s="68">
        <v>12.9892</v>
      </c>
      <c r="E1076" s="68">
        <v>12.785</v>
      </c>
      <c r="F1076" s="68">
        <v>12.8392</v>
      </c>
      <c r="H1076" s="69" t="s">
        <v>2453</v>
      </c>
      <c r="I1076" s="66">
        <f t="shared" si="69"/>
        <v>44511</v>
      </c>
      <c r="J1076" s="70">
        <f t="shared" si="68"/>
        <v>2021</v>
      </c>
      <c r="K1076" s="71">
        <v>20.465199999999999</v>
      </c>
      <c r="L1076" s="71">
        <v>20.470199999999998</v>
      </c>
      <c r="M1076" s="71">
        <v>20.283300000000001</v>
      </c>
    </row>
    <row r="1077" spans="1:13">
      <c r="A1077" s="57" t="s">
        <v>2454</v>
      </c>
      <c r="B1077" s="58">
        <f t="shared" si="66"/>
        <v>39764</v>
      </c>
      <c r="C1077" s="59">
        <f t="shared" si="67"/>
        <v>2008</v>
      </c>
      <c r="D1077" s="61">
        <v>13.0875</v>
      </c>
      <c r="E1077" s="61">
        <v>12.9892</v>
      </c>
      <c r="F1077" s="61">
        <v>12.785</v>
      </c>
      <c r="H1077" s="62" t="s">
        <v>2455</v>
      </c>
      <c r="I1077" s="58">
        <f t="shared" si="69"/>
        <v>44512</v>
      </c>
      <c r="J1077" s="60">
        <f t="shared" si="68"/>
        <v>2021</v>
      </c>
      <c r="K1077" s="64">
        <v>20.507200000000001</v>
      </c>
      <c r="L1077" s="64">
        <v>20.465199999999999</v>
      </c>
      <c r="M1077" s="64">
        <v>20.470199999999998</v>
      </c>
    </row>
    <row r="1078" spans="1:13">
      <c r="A1078" s="65" t="s">
        <v>2456</v>
      </c>
      <c r="B1078" s="66">
        <f t="shared" si="66"/>
        <v>39765</v>
      </c>
      <c r="C1078" s="67">
        <f t="shared" si="67"/>
        <v>2008</v>
      </c>
      <c r="D1078" s="68">
        <v>13.1663</v>
      </c>
      <c r="E1078" s="68">
        <v>13.0875</v>
      </c>
      <c r="F1078" s="68">
        <v>12.9892</v>
      </c>
      <c r="H1078" s="69" t="s">
        <v>2457</v>
      </c>
      <c r="I1078" s="66">
        <f t="shared" si="69"/>
        <v>44513</v>
      </c>
      <c r="J1078" s="70">
        <f t="shared" si="68"/>
        <v>2021</v>
      </c>
      <c r="K1078" s="72" t="s">
        <v>362</v>
      </c>
      <c r="L1078" s="72" t="s">
        <v>362</v>
      </c>
      <c r="M1078" s="71">
        <v>20.465199999999999</v>
      </c>
    </row>
    <row r="1079" spans="1:13">
      <c r="A1079" s="57" t="s">
        <v>2458</v>
      </c>
      <c r="B1079" s="58">
        <f t="shared" si="66"/>
        <v>39766</v>
      </c>
      <c r="C1079" s="59">
        <f t="shared" si="67"/>
        <v>2008</v>
      </c>
      <c r="D1079" s="61">
        <v>13.0242</v>
      </c>
      <c r="E1079" s="61">
        <v>13.1663</v>
      </c>
      <c r="F1079" s="61">
        <v>13.0875</v>
      </c>
      <c r="H1079" s="62" t="s">
        <v>2459</v>
      </c>
      <c r="I1079" s="58">
        <f t="shared" si="69"/>
        <v>44514</v>
      </c>
      <c r="J1079" s="60">
        <f t="shared" si="68"/>
        <v>2021</v>
      </c>
      <c r="K1079" s="63" t="s">
        <v>362</v>
      </c>
      <c r="L1079" s="63" t="s">
        <v>362</v>
      </c>
      <c r="M1079" s="64">
        <v>20.465199999999999</v>
      </c>
    </row>
    <row r="1080" spans="1:13">
      <c r="A1080" s="65" t="s">
        <v>2460</v>
      </c>
      <c r="B1080" s="66">
        <f t="shared" si="66"/>
        <v>39767</v>
      </c>
      <c r="C1080" s="67">
        <f t="shared" si="67"/>
        <v>2008</v>
      </c>
      <c r="D1080" s="70" t="s">
        <v>362</v>
      </c>
      <c r="E1080" s="70" t="s">
        <v>362</v>
      </c>
      <c r="F1080" s="68">
        <v>13.1663</v>
      </c>
      <c r="H1080" s="69" t="s">
        <v>2461</v>
      </c>
      <c r="I1080" s="66">
        <f t="shared" si="69"/>
        <v>44515</v>
      </c>
      <c r="J1080" s="70">
        <f t="shared" si="68"/>
        <v>2021</v>
      </c>
      <c r="K1080" s="72" t="s">
        <v>362</v>
      </c>
      <c r="L1080" s="72" t="s">
        <v>362</v>
      </c>
      <c r="M1080" s="71">
        <v>20.465199999999999</v>
      </c>
    </row>
    <row r="1081" spans="1:13">
      <c r="A1081" s="57" t="s">
        <v>2462</v>
      </c>
      <c r="B1081" s="58">
        <f t="shared" si="66"/>
        <v>39768</v>
      </c>
      <c r="C1081" s="59">
        <f t="shared" si="67"/>
        <v>2008</v>
      </c>
      <c r="D1081" s="60" t="s">
        <v>362</v>
      </c>
      <c r="E1081" s="60" t="s">
        <v>362</v>
      </c>
      <c r="F1081" s="61">
        <v>13.1663</v>
      </c>
      <c r="H1081" s="62" t="s">
        <v>2463</v>
      </c>
      <c r="I1081" s="58">
        <f t="shared" si="69"/>
        <v>44516</v>
      </c>
      <c r="J1081" s="60">
        <f t="shared" si="68"/>
        <v>2021</v>
      </c>
      <c r="K1081" s="64">
        <v>20.809200000000001</v>
      </c>
      <c r="L1081" s="64">
        <v>20.507200000000001</v>
      </c>
      <c r="M1081" s="64">
        <v>20.465199999999999</v>
      </c>
    </row>
    <row r="1082" spans="1:13">
      <c r="A1082" s="65" t="s">
        <v>2464</v>
      </c>
      <c r="B1082" s="66">
        <f t="shared" si="66"/>
        <v>39769</v>
      </c>
      <c r="C1082" s="67">
        <f t="shared" si="67"/>
        <v>2008</v>
      </c>
      <c r="D1082" s="70" t="s">
        <v>362</v>
      </c>
      <c r="E1082" s="70" t="s">
        <v>362</v>
      </c>
      <c r="F1082" s="68">
        <v>13.1663</v>
      </c>
      <c r="H1082" s="69" t="s">
        <v>2465</v>
      </c>
      <c r="I1082" s="66">
        <f t="shared" si="69"/>
        <v>44517</v>
      </c>
      <c r="J1082" s="70">
        <f t="shared" si="68"/>
        <v>2021</v>
      </c>
      <c r="K1082" s="71">
        <v>20.691199999999998</v>
      </c>
      <c r="L1082" s="71">
        <v>20.809200000000001</v>
      </c>
      <c r="M1082" s="71">
        <v>20.507200000000001</v>
      </c>
    </row>
    <row r="1083" spans="1:13">
      <c r="A1083" s="57" t="s">
        <v>2466</v>
      </c>
      <c r="B1083" s="58">
        <f t="shared" si="66"/>
        <v>39770</v>
      </c>
      <c r="C1083" s="59">
        <f t="shared" si="67"/>
        <v>2008</v>
      </c>
      <c r="D1083" s="61">
        <v>13.195</v>
      </c>
      <c r="E1083" s="61">
        <v>13.0242</v>
      </c>
      <c r="F1083" s="61">
        <v>13.1663</v>
      </c>
      <c r="H1083" s="62" t="s">
        <v>2467</v>
      </c>
      <c r="I1083" s="58">
        <f t="shared" si="69"/>
        <v>44518</v>
      </c>
      <c r="J1083" s="60">
        <f t="shared" si="68"/>
        <v>2021</v>
      </c>
      <c r="K1083" s="64">
        <v>20.762799999999999</v>
      </c>
      <c r="L1083" s="64">
        <v>20.691199999999998</v>
      </c>
      <c r="M1083" s="64">
        <v>20.809200000000001</v>
      </c>
    </row>
    <row r="1084" spans="1:13">
      <c r="A1084" s="65" t="s">
        <v>2468</v>
      </c>
      <c r="B1084" s="66">
        <f t="shared" si="66"/>
        <v>39771</v>
      </c>
      <c r="C1084" s="67">
        <f t="shared" si="67"/>
        <v>2008</v>
      </c>
      <c r="D1084" s="68">
        <v>13.18</v>
      </c>
      <c r="E1084" s="68">
        <v>13.195</v>
      </c>
      <c r="F1084" s="68">
        <v>13.0242</v>
      </c>
      <c r="H1084" s="69" t="s">
        <v>2469</v>
      </c>
      <c r="I1084" s="66">
        <f t="shared" si="69"/>
        <v>44519</v>
      </c>
      <c r="J1084" s="70">
        <f t="shared" si="68"/>
        <v>2021</v>
      </c>
      <c r="K1084" s="71">
        <v>20.828299999999999</v>
      </c>
      <c r="L1084" s="71">
        <v>20.762799999999999</v>
      </c>
      <c r="M1084" s="71">
        <v>20.691199999999998</v>
      </c>
    </row>
    <row r="1085" spans="1:13">
      <c r="A1085" s="57" t="s">
        <v>2470</v>
      </c>
      <c r="B1085" s="58">
        <f t="shared" si="66"/>
        <v>39772</v>
      </c>
      <c r="C1085" s="59">
        <f t="shared" si="67"/>
        <v>2008</v>
      </c>
      <c r="D1085" s="61">
        <v>13.575799999999999</v>
      </c>
      <c r="E1085" s="61">
        <v>13.18</v>
      </c>
      <c r="F1085" s="61">
        <v>13.195</v>
      </c>
      <c r="H1085" s="62" t="s">
        <v>2471</v>
      </c>
      <c r="I1085" s="58">
        <f t="shared" si="69"/>
        <v>44520</v>
      </c>
      <c r="J1085" s="60">
        <f t="shared" si="68"/>
        <v>2021</v>
      </c>
      <c r="K1085" s="63" t="s">
        <v>362</v>
      </c>
      <c r="L1085" s="63" t="s">
        <v>362</v>
      </c>
      <c r="M1085" s="64">
        <v>20.762799999999999</v>
      </c>
    </row>
    <row r="1086" spans="1:13">
      <c r="A1086" s="65" t="s">
        <v>2472</v>
      </c>
      <c r="B1086" s="66">
        <f t="shared" si="66"/>
        <v>39773</v>
      </c>
      <c r="C1086" s="67">
        <f t="shared" si="67"/>
        <v>2008</v>
      </c>
      <c r="D1086" s="68">
        <v>13.9183</v>
      </c>
      <c r="E1086" s="68">
        <v>13.575799999999999</v>
      </c>
      <c r="F1086" s="68">
        <v>13.18</v>
      </c>
      <c r="H1086" s="69" t="s">
        <v>2473</v>
      </c>
      <c r="I1086" s="66">
        <f t="shared" si="69"/>
        <v>44521</v>
      </c>
      <c r="J1086" s="70">
        <f t="shared" si="68"/>
        <v>2021</v>
      </c>
      <c r="K1086" s="72" t="s">
        <v>362</v>
      </c>
      <c r="L1086" s="72" t="s">
        <v>362</v>
      </c>
      <c r="M1086" s="71">
        <v>20.762799999999999</v>
      </c>
    </row>
    <row r="1087" spans="1:13">
      <c r="A1087" s="57" t="s">
        <v>2474</v>
      </c>
      <c r="B1087" s="58">
        <f t="shared" si="66"/>
        <v>39774</v>
      </c>
      <c r="C1087" s="59">
        <f t="shared" si="67"/>
        <v>2008</v>
      </c>
      <c r="D1087" s="60" t="s">
        <v>362</v>
      </c>
      <c r="E1087" s="60" t="s">
        <v>362</v>
      </c>
      <c r="F1087" s="61">
        <v>13.575799999999999</v>
      </c>
      <c r="H1087" s="62" t="s">
        <v>2475</v>
      </c>
      <c r="I1087" s="58">
        <f t="shared" si="69"/>
        <v>44522</v>
      </c>
      <c r="J1087" s="60">
        <f t="shared" si="68"/>
        <v>2021</v>
      </c>
      <c r="K1087" s="64">
        <v>20.963200000000001</v>
      </c>
      <c r="L1087" s="64">
        <v>20.828299999999999</v>
      </c>
      <c r="M1087" s="64">
        <v>20.762799999999999</v>
      </c>
    </row>
    <row r="1088" spans="1:13">
      <c r="A1088" s="65" t="s">
        <v>2476</v>
      </c>
      <c r="B1088" s="66">
        <f t="shared" si="66"/>
        <v>39775</v>
      </c>
      <c r="C1088" s="67">
        <f t="shared" si="67"/>
        <v>2008</v>
      </c>
      <c r="D1088" s="70" t="s">
        <v>362</v>
      </c>
      <c r="E1088" s="70" t="s">
        <v>362</v>
      </c>
      <c r="F1088" s="68">
        <v>13.575799999999999</v>
      </c>
      <c r="H1088" s="69" t="s">
        <v>2477</v>
      </c>
      <c r="I1088" s="66">
        <f t="shared" si="69"/>
        <v>44523</v>
      </c>
      <c r="J1088" s="70">
        <f t="shared" si="68"/>
        <v>2021</v>
      </c>
      <c r="K1088" s="71">
        <v>21.210699999999999</v>
      </c>
      <c r="L1088" s="71">
        <v>20.963200000000001</v>
      </c>
      <c r="M1088" s="71">
        <v>20.828299999999999</v>
      </c>
    </row>
    <row r="1089" spans="1:13">
      <c r="A1089" s="57" t="s">
        <v>2478</v>
      </c>
      <c r="B1089" s="58">
        <f t="shared" si="66"/>
        <v>39776</v>
      </c>
      <c r="C1089" s="59">
        <f t="shared" si="67"/>
        <v>2008</v>
      </c>
      <c r="D1089" s="61">
        <v>13.495799999999999</v>
      </c>
      <c r="E1089" s="61">
        <v>13.9183</v>
      </c>
      <c r="F1089" s="61">
        <v>13.575799999999999</v>
      </c>
      <c r="H1089" s="62" t="s">
        <v>2479</v>
      </c>
      <c r="I1089" s="58">
        <f t="shared" si="69"/>
        <v>44524</v>
      </c>
      <c r="J1089" s="60">
        <f t="shared" si="68"/>
        <v>2021</v>
      </c>
      <c r="K1089" s="64">
        <v>21.435700000000001</v>
      </c>
      <c r="L1089" s="64">
        <v>21.210699999999999</v>
      </c>
      <c r="M1089" s="64">
        <v>20.963200000000001</v>
      </c>
    </row>
    <row r="1090" spans="1:13">
      <c r="A1090" s="65" t="s">
        <v>2480</v>
      </c>
      <c r="B1090" s="66">
        <f t="shared" si="66"/>
        <v>39777</v>
      </c>
      <c r="C1090" s="67">
        <f t="shared" si="67"/>
        <v>2008</v>
      </c>
      <c r="D1090" s="68">
        <v>13.3142</v>
      </c>
      <c r="E1090" s="68">
        <v>13.495799999999999</v>
      </c>
      <c r="F1090" s="68">
        <v>13.9183</v>
      </c>
      <c r="H1090" s="69" t="s">
        <v>2481</v>
      </c>
      <c r="I1090" s="66">
        <f t="shared" si="69"/>
        <v>44525</v>
      </c>
      <c r="J1090" s="70">
        <f t="shared" si="68"/>
        <v>2021</v>
      </c>
      <c r="K1090" s="71">
        <v>21.546199999999999</v>
      </c>
      <c r="L1090" s="71">
        <v>21.435700000000001</v>
      </c>
      <c r="M1090" s="71">
        <v>21.210699999999999</v>
      </c>
    </row>
    <row r="1091" spans="1:13">
      <c r="A1091" s="57" t="s">
        <v>2482</v>
      </c>
      <c r="B1091" s="58">
        <f t="shared" si="66"/>
        <v>39778</v>
      </c>
      <c r="C1091" s="59">
        <f t="shared" si="67"/>
        <v>2008</v>
      </c>
      <c r="D1091" s="61">
        <v>13.2117</v>
      </c>
      <c r="E1091" s="61">
        <v>13.3142</v>
      </c>
      <c r="F1091" s="61">
        <v>13.495799999999999</v>
      </c>
      <c r="H1091" s="62" t="s">
        <v>2483</v>
      </c>
      <c r="I1091" s="58">
        <f t="shared" si="69"/>
        <v>44526</v>
      </c>
      <c r="J1091" s="60">
        <f t="shared" si="68"/>
        <v>2021</v>
      </c>
      <c r="K1091" s="64">
        <v>21.8185</v>
      </c>
      <c r="L1091" s="64">
        <v>21.546199999999999</v>
      </c>
      <c r="M1091" s="64">
        <v>21.435700000000001</v>
      </c>
    </row>
    <row r="1092" spans="1:13">
      <c r="A1092" s="65" t="s">
        <v>2484</v>
      </c>
      <c r="B1092" s="66">
        <f t="shared" si="66"/>
        <v>39779</v>
      </c>
      <c r="C1092" s="67">
        <f t="shared" si="67"/>
        <v>2008</v>
      </c>
      <c r="D1092" s="68">
        <v>13.2325</v>
      </c>
      <c r="E1092" s="68">
        <v>13.2117</v>
      </c>
      <c r="F1092" s="68">
        <v>13.3142</v>
      </c>
      <c r="H1092" s="69" t="s">
        <v>2485</v>
      </c>
      <c r="I1092" s="66">
        <f t="shared" si="69"/>
        <v>44527</v>
      </c>
      <c r="J1092" s="70">
        <f t="shared" si="68"/>
        <v>2021</v>
      </c>
      <c r="K1092" s="72" t="s">
        <v>362</v>
      </c>
      <c r="L1092" s="72" t="s">
        <v>362</v>
      </c>
      <c r="M1092" s="71">
        <v>21.546199999999999</v>
      </c>
    </row>
    <row r="1093" spans="1:13">
      <c r="A1093" s="57" t="s">
        <v>2486</v>
      </c>
      <c r="B1093" s="58">
        <f t="shared" si="66"/>
        <v>39780</v>
      </c>
      <c r="C1093" s="59">
        <f t="shared" si="67"/>
        <v>2008</v>
      </c>
      <c r="D1093" s="61">
        <v>13.3225</v>
      </c>
      <c r="E1093" s="61">
        <v>13.2325</v>
      </c>
      <c r="F1093" s="61">
        <v>13.2117</v>
      </c>
      <c r="H1093" s="62" t="s">
        <v>2487</v>
      </c>
      <c r="I1093" s="58">
        <f t="shared" si="69"/>
        <v>44528</v>
      </c>
      <c r="J1093" s="60">
        <f t="shared" si="68"/>
        <v>2021</v>
      </c>
      <c r="K1093" s="63" t="s">
        <v>362</v>
      </c>
      <c r="L1093" s="63" t="s">
        <v>362</v>
      </c>
      <c r="M1093" s="64">
        <v>21.546199999999999</v>
      </c>
    </row>
    <row r="1094" spans="1:13">
      <c r="A1094" s="65" t="s">
        <v>2488</v>
      </c>
      <c r="B1094" s="66">
        <f t="shared" si="66"/>
        <v>39781</v>
      </c>
      <c r="C1094" s="67">
        <f t="shared" si="67"/>
        <v>2008</v>
      </c>
      <c r="D1094" s="70" t="s">
        <v>362</v>
      </c>
      <c r="E1094" s="70" t="s">
        <v>362</v>
      </c>
      <c r="F1094" s="68">
        <v>13.2325</v>
      </c>
      <c r="H1094" s="69" t="s">
        <v>2489</v>
      </c>
      <c r="I1094" s="66">
        <f t="shared" si="69"/>
        <v>44529</v>
      </c>
      <c r="J1094" s="70">
        <f t="shared" si="68"/>
        <v>2021</v>
      </c>
      <c r="K1094" s="71">
        <v>21.7333</v>
      </c>
      <c r="L1094" s="71">
        <v>21.8185</v>
      </c>
      <c r="M1094" s="71">
        <v>21.546199999999999</v>
      </c>
    </row>
    <row r="1095" spans="1:13">
      <c r="A1095" s="57" t="s">
        <v>2490</v>
      </c>
      <c r="B1095" s="58">
        <f t="shared" si="66"/>
        <v>39782</v>
      </c>
      <c r="C1095" s="59">
        <f t="shared" si="67"/>
        <v>2008</v>
      </c>
      <c r="D1095" s="60" t="s">
        <v>362</v>
      </c>
      <c r="E1095" s="60" t="s">
        <v>362</v>
      </c>
      <c r="F1095" s="61">
        <v>13.2325</v>
      </c>
      <c r="H1095" s="62" t="s">
        <v>2491</v>
      </c>
      <c r="I1095" s="58">
        <f t="shared" si="69"/>
        <v>44530</v>
      </c>
      <c r="J1095" s="60">
        <f t="shared" si="68"/>
        <v>2021</v>
      </c>
      <c r="K1095" s="64">
        <v>21.4453</v>
      </c>
      <c r="L1095" s="64">
        <v>21.7333</v>
      </c>
      <c r="M1095" s="64">
        <v>21.8185</v>
      </c>
    </row>
    <row r="1096" spans="1:13">
      <c r="A1096" s="65" t="s">
        <v>2492</v>
      </c>
      <c r="B1096" s="66">
        <f t="shared" si="66"/>
        <v>39783</v>
      </c>
      <c r="C1096" s="67">
        <f t="shared" si="67"/>
        <v>2008</v>
      </c>
      <c r="D1096" s="68">
        <v>13.58</v>
      </c>
      <c r="E1096" s="68">
        <v>13.3225</v>
      </c>
      <c r="F1096" s="68">
        <v>13.2325</v>
      </c>
      <c r="H1096" s="69" t="s">
        <v>2493</v>
      </c>
      <c r="I1096" s="66">
        <f t="shared" si="69"/>
        <v>44531</v>
      </c>
      <c r="J1096" s="70">
        <f t="shared" si="68"/>
        <v>2021</v>
      </c>
      <c r="K1096" s="71">
        <v>21.271000000000001</v>
      </c>
      <c r="L1096" s="71">
        <v>21.4453</v>
      </c>
      <c r="M1096" s="71">
        <v>21.7333</v>
      </c>
    </row>
    <row r="1097" spans="1:13">
      <c r="A1097" s="57" t="s">
        <v>2494</v>
      </c>
      <c r="B1097" s="58">
        <f t="shared" si="66"/>
        <v>39784</v>
      </c>
      <c r="C1097" s="59">
        <f t="shared" si="67"/>
        <v>2008</v>
      </c>
      <c r="D1097" s="61">
        <v>13.53</v>
      </c>
      <c r="E1097" s="61">
        <v>13.58</v>
      </c>
      <c r="F1097" s="61">
        <v>13.3225</v>
      </c>
      <c r="H1097" s="62" t="s">
        <v>2495</v>
      </c>
      <c r="I1097" s="58">
        <f t="shared" si="69"/>
        <v>44532</v>
      </c>
      <c r="J1097" s="60">
        <f t="shared" si="68"/>
        <v>2021</v>
      </c>
      <c r="K1097" s="64">
        <v>21.3033</v>
      </c>
      <c r="L1097" s="64">
        <v>21.271000000000001</v>
      </c>
      <c r="M1097" s="64">
        <v>21.4453</v>
      </c>
    </row>
    <row r="1098" spans="1:13">
      <c r="A1098" s="65" t="s">
        <v>2496</v>
      </c>
      <c r="B1098" s="66">
        <f t="shared" si="66"/>
        <v>39785</v>
      </c>
      <c r="C1098" s="67">
        <f t="shared" si="67"/>
        <v>2008</v>
      </c>
      <c r="D1098" s="68">
        <v>13.599600000000001</v>
      </c>
      <c r="E1098" s="68">
        <v>13.53</v>
      </c>
      <c r="F1098" s="68">
        <v>13.58</v>
      </c>
      <c r="H1098" s="69" t="s">
        <v>2497</v>
      </c>
      <c r="I1098" s="66">
        <f t="shared" si="69"/>
        <v>44533</v>
      </c>
      <c r="J1098" s="70">
        <f t="shared" si="68"/>
        <v>2021</v>
      </c>
      <c r="K1098" s="71">
        <v>21.4177</v>
      </c>
      <c r="L1098" s="71">
        <v>21.3033</v>
      </c>
      <c r="M1098" s="71">
        <v>21.271000000000001</v>
      </c>
    </row>
    <row r="1099" spans="1:13">
      <c r="A1099" s="57" t="s">
        <v>2498</v>
      </c>
      <c r="B1099" s="58">
        <f t="shared" si="66"/>
        <v>39786</v>
      </c>
      <c r="C1099" s="59">
        <f t="shared" si="67"/>
        <v>2008</v>
      </c>
      <c r="D1099" s="61">
        <v>13.5358</v>
      </c>
      <c r="E1099" s="61">
        <v>13.599600000000001</v>
      </c>
      <c r="F1099" s="61">
        <v>13.53</v>
      </c>
      <c r="H1099" s="62" t="s">
        <v>2499</v>
      </c>
      <c r="I1099" s="58">
        <f t="shared" si="69"/>
        <v>44534</v>
      </c>
      <c r="J1099" s="60">
        <f t="shared" si="68"/>
        <v>2021</v>
      </c>
      <c r="K1099" s="63" t="s">
        <v>362</v>
      </c>
      <c r="L1099" s="63" t="s">
        <v>362</v>
      </c>
      <c r="M1099" s="64">
        <v>21.3033</v>
      </c>
    </row>
    <row r="1100" spans="1:13">
      <c r="A1100" s="65" t="s">
        <v>2500</v>
      </c>
      <c r="B1100" s="66">
        <f t="shared" si="66"/>
        <v>39787</v>
      </c>
      <c r="C1100" s="67">
        <f t="shared" si="67"/>
        <v>2008</v>
      </c>
      <c r="D1100" s="68">
        <v>13.7567</v>
      </c>
      <c r="E1100" s="68">
        <v>13.5358</v>
      </c>
      <c r="F1100" s="68">
        <v>13.599600000000001</v>
      </c>
      <c r="H1100" s="69" t="s">
        <v>2501</v>
      </c>
      <c r="I1100" s="66">
        <f t="shared" si="69"/>
        <v>44535</v>
      </c>
      <c r="J1100" s="70">
        <f t="shared" si="68"/>
        <v>2021</v>
      </c>
      <c r="K1100" s="72" t="s">
        <v>362</v>
      </c>
      <c r="L1100" s="72" t="s">
        <v>362</v>
      </c>
      <c r="M1100" s="71">
        <v>21.3033</v>
      </c>
    </row>
    <row r="1101" spans="1:13">
      <c r="A1101" s="57" t="s">
        <v>2502</v>
      </c>
      <c r="B1101" s="58">
        <f t="shared" si="66"/>
        <v>39788</v>
      </c>
      <c r="C1101" s="59">
        <f t="shared" si="67"/>
        <v>2008</v>
      </c>
      <c r="D1101" s="60" t="s">
        <v>362</v>
      </c>
      <c r="E1101" s="60" t="s">
        <v>362</v>
      </c>
      <c r="F1101" s="61">
        <v>13.5358</v>
      </c>
      <c r="H1101" s="62" t="s">
        <v>2503</v>
      </c>
      <c r="I1101" s="58">
        <f t="shared" si="69"/>
        <v>44536</v>
      </c>
      <c r="J1101" s="60">
        <f t="shared" si="68"/>
        <v>2021</v>
      </c>
      <c r="K1101" s="64">
        <v>21.204699999999999</v>
      </c>
      <c r="L1101" s="64">
        <v>21.4177</v>
      </c>
      <c r="M1101" s="64">
        <v>21.3033</v>
      </c>
    </row>
    <row r="1102" spans="1:13">
      <c r="A1102" s="65" t="s">
        <v>2504</v>
      </c>
      <c r="B1102" s="66">
        <f t="shared" si="66"/>
        <v>39789</v>
      </c>
      <c r="C1102" s="67">
        <f t="shared" si="67"/>
        <v>2008</v>
      </c>
      <c r="D1102" s="70" t="s">
        <v>362</v>
      </c>
      <c r="E1102" s="70" t="s">
        <v>362</v>
      </c>
      <c r="F1102" s="68">
        <v>13.5358</v>
      </c>
      <c r="H1102" s="69" t="s">
        <v>2505</v>
      </c>
      <c r="I1102" s="66">
        <f t="shared" si="69"/>
        <v>44537</v>
      </c>
      <c r="J1102" s="70">
        <f t="shared" si="68"/>
        <v>2021</v>
      </c>
      <c r="K1102" s="71">
        <v>21.090699999999998</v>
      </c>
      <c r="L1102" s="71">
        <v>21.204699999999999</v>
      </c>
      <c r="M1102" s="71">
        <v>21.4177</v>
      </c>
    </row>
    <row r="1103" spans="1:13">
      <c r="A1103" s="57" t="s">
        <v>2506</v>
      </c>
      <c r="B1103" s="58">
        <f t="shared" si="66"/>
        <v>39790</v>
      </c>
      <c r="C1103" s="59">
        <f t="shared" si="67"/>
        <v>2008</v>
      </c>
      <c r="D1103" s="61">
        <v>13.4597</v>
      </c>
      <c r="E1103" s="61">
        <v>13.7567</v>
      </c>
      <c r="F1103" s="61">
        <v>13.5358</v>
      </c>
      <c r="H1103" s="62" t="s">
        <v>2507</v>
      </c>
      <c r="I1103" s="58">
        <f t="shared" si="69"/>
        <v>44538</v>
      </c>
      <c r="J1103" s="60">
        <f t="shared" si="68"/>
        <v>2021</v>
      </c>
      <c r="K1103" s="64">
        <v>20.933</v>
      </c>
      <c r="L1103" s="64">
        <v>21.090699999999998</v>
      </c>
      <c r="M1103" s="64">
        <v>21.204699999999999</v>
      </c>
    </row>
    <row r="1104" spans="1:13">
      <c r="A1104" s="65" t="s">
        <v>2508</v>
      </c>
      <c r="B1104" s="66">
        <f t="shared" si="66"/>
        <v>39791</v>
      </c>
      <c r="C1104" s="67">
        <f t="shared" si="67"/>
        <v>2008</v>
      </c>
      <c r="D1104" s="68">
        <v>13.492100000000001</v>
      </c>
      <c r="E1104" s="68">
        <v>13.4597</v>
      </c>
      <c r="F1104" s="68">
        <v>13.7567</v>
      </c>
      <c r="H1104" s="69" t="s">
        <v>2509</v>
      </c>
      <c r="I1104" s="66">
        <f t="shared" si="69"/>
        <v>44539</v>
      </c>
      <c r="J1104" s="70">
        <f t="shared" si="68"/>
        <v>2021</v>
      </c>
      <c r="K1104" s="71">
        <v>21.032800000000002</v>
      </c>
      <c r="L1104" s="71">
        <v>20.933</v>
      </c>
      <c r="M1104" s="71">
        <v>21.090699999999998</v>
      </c>
    </row>
    <row r="1105" spans="1:13">
      <c r="A1105" s="57" t="s">
        <v>2510</v>
      </c>
      <c r="B1105" s="58">
        <f t="shared" si="66"/>
        <v>39792</v>
      </c>
      <c r="C1105" s="59">
        <f t="shared" si="67"/>
        <v>2008</v>
      </c>
      <c r="D1105" s="61">
        <v>13.472200000000001</v>
      </c>
      <c r="E1105" s="61">
        <v>13.492100000000001</v>
      </c>
      <c r="F1105" s="61">
        <v>13.4597</v>
      </c>
      <c r="H1105" s="62" t="s">
        <v>2511</v>
      </c>
      <c r="I1105" s="58">
        <f t="shared" si="69"/>
        <v>44540</v>
      </c>
      <c r="J1105" s="60">
        <f t="shared" si="68"/>
        <v>2021</v>
      </c>
      <c r="K1105" s="64">
        <v>20.892199999999999</v>
      </c>
      <c r="L1105" s="64">
        <v>21.032800000000002</v>
      </c>
      <c r="M1105" s="64">
        <v>20.933</v>
      </c>
    </row>
    <row r="1106" spans="1:13">
      <c r="A1106" s="65" t="s">
        <v>2512</v>
      </c>
      <c r="B1106" s="66">
        <f t="shared" si="66"/>
        <v>39793</v>
      </c>
      <c r="C1106" s="67">
        <f t="shared" si="67"/>
        <v>2008</v>
      </c>
      <c r="D1106" s="68">
        <v>13.1821</v>
      </c>
      <c r="E1106" s="68">
        <v>13.472200000000001</v>
      </c>
      <c r="F1106" s="68">
        <v>13.492100000000001</v>
      </c>
      <c r="H1106" s="69" t="s">
        <v>2513</v>
      </c>
      <c r="I1106" s="66">
        <f t="shared" si="69"/>
        <v>44541</v>
      </c>
      <c r="J1106" s="70">
        <f t="shared" si="68"/>
        <v>2021</v>
      </c>
      <c r="K1106" s="72" t="s">
        <v>362</v>
      </c>
      <c r="L1106" s="72" t="s">
        <v>362</v>
      </c>
      <c r="M1106" s="71">
        <v>21.032800000000002</v>
      </c>
    </row>
    <row r="1107" spans="1:13">
      <c r="A1107" s="57" t="s">
        <v>2514</v>
      </c>
      <c r="B1107" s="58">
        <f t="shared" si="66"/>
        <v>39794</v>
      </c>
      <c r="C1107" s="59">
        <f t="shared" si="67"/>
        <v>2008</v>
      </c>
      <c r="D1107" s="60" t="s">
        <v>362</v>
      </c>
      <c r="E1107" s="60" t="s">
        <v>362</v>
      </c>
      <c r="F1107" s="61">
        <v>13.472200000000001</v>
      </c>
      <c r="H1107" s="62" t="s">
        <v>2515</v>
      </c>
      <c r="I1107" s="58">
        <f t="shared" si="69"/>
        <v>44542</v>
      </c>
      <c r="J1107" s="60">
        <f t="shared" si="68"/>
        <v>2021</v>
      </c>
      <c r="K1107" s="63" t="s">
        <v>362</v>
      </c>
      <c r="L1107" s="63" t="s">
        <v>362</v>
      </c>
      <c r="M1107" s="64">
        <v>21.032800000000002</v>
      </c>
    </row>
    <row r="1108" spans="1:13">
      <c r="A1108" s="65" t="s">
        <v>2516</v>
      </c>
      <c r="B1108" s="66">
        <f t="shared" si="66"/>
        <v>39795</v>
      </c>
      <c r="C1108" s="67">
        <f t="shared" si="67"/>
        <v>2008</v>
      </c>
      <c r="D1108" s="70" t="s">
        <v>362</v>
      </c>
      <c r="E1108" s="70" t="s">
        <v>362</v>
      </c>
      <c r="F1108" s="68">
        <v>13.472200000000001</v>
      </c>
      <c r="H1108" s="69" t="s">
        <v>2517</v>
      </c>
      <c r="I1108" s="66">
        <f t="shared" si="69"/>
        <v>44543</v>
      </c>
      <c r="J1108" s="70">
        <f t="shared" si="68"/>
        <v>2021</v>
      </c>
      <c r="K1108" s="71">
        <v>20.938300000000002</v>
      </c>
      <c r="L1108" s="71">
        <v>20.892199999999999</v>
      </c>
      <c r="M1108" s="71">
        <v>21.032800000000002</v>
      </c>
    </row>
    <row r="1109" spans="1:13">
      <c r="A1109" s="57" t="s">
        <v>2518</v>
      </c>
      <c r="B1109" s="58">
        <f t="shared" si="66"/>
        <v>39796</v>
      </c>
      <c r="C1109" s="59">
        <f t="shared" si="67"/>
        <v>2008</v>
      </c>
      <c r="D1109" s="60" t="s">
        <v>362</v>
      </c>
      <c r="E1109" s="60" t="s">
        <v>362</v>
      </c>
      <c r="F1109" s="61">
        <v>13.472200000000001</v>
      </c>
      <c r="H1109" s="62" t="s">
        <v>2519</v>
      </c>
      <c r="I1109" s="58">
        <f t="shared" si="69"/>
        <v>44544</v>
      </c>
      <c r="J1109" s="60">
        <f t="shared" si="68"/>
        <v>2021</v>
      </c>
      <c r="K1109" s="64">
        <v>21.164999999999999</v>
      </c>
      <c r="L1109" s="64">
        <v>20.938300000000002</v>
      </c>
      <c r="M1109" s="64">
        <v>20.892199999999999</v>
      </c>
    </row>
    <row r="1110" spans="1:13">
      <c r="A1110" s="65" t="s">
        <v>2520</v>
      </c>
      <c r="B1110" s="66">
        <f t="shared" si="66"/>
        <v>39797</v>
      </c>
      <c r="C1110" s="67">
        <f t="shared" si="67"/>
        <v>2008</v>
      </c>
      <c r="D1110" s="68">
        <v>13.3317</v>
      </c>
      <c r="E1110" s="68">
        <v>13.1821</v>
      </c>
      <c r="F1110" s="68">
        <v>13.472200000000001</v>
      </c>
      <c r="H1110" s="69" t="s">
        <v>2521</v>
      </c>
      <c r="I1110" s="66">
        <f t="shared" si="69"/>
        <v>44545</v>
      </c>
      <c r="J1110" s="70">
        <f t="shared" si="68"/>
        <v>2021</v>
      </c>
      <c r="K1110" s="71">
        <v>21.2393</v>
      </c>
      <c r="L1110" s="71">
        <v>21.164999999999999</v>
      </c>
      <c r="M1110" s="71">
        <v>20.938300000000002</v>
      </c>
    </row>
    <row r="1111" spans="1:13">
      <c r="A1111" s="57" t="s">
        <v>2522</v>
      </c>
      <c r="B1111" s="58">
        <f t="shared" si="66"/>
        <v>39798</v>
      </c>
      <c r="C1111" s="59">
        <f t="shared" si="67"/>
        <v>2008</v>
      </c>
      <c r="D1111" s="61">
        <v>13.271699999999999</v>
      </c>
      <c r="E1111" s="61">
        <v>13.3317</v>
      </c>
      <c r="F1111" s="61">
        <v>13.1821</v>
      </c>
      <c r="H1111" s="62" t="s">
        <v>2523</v>
      </c>
      <c r="I1111" s="58">
        <f t="shared" si="69"/>
        <v>44546</v>
      </c>
      <c r="J1111" s="60">
        <f t="shared" si="68"/>
        <v>2021</v>
      </c>
      <c r="K1111" s="64">
        <v>20.9238</v>
      </c>
      <c r="L1111" s="64">
        <v>21.2393</v>
      </c>
      <c r="M1111" s="64">
        <v>21.164999999999999</v>
      </c>
    </row>
    <row r="1112" spans="1:13">
      <c r="A1112" s="65" t="s">
        <v>2524</v>
      </c>
      <c r="B1112" s="66">
        <f t="shared" si="66"/>
        <v>39799</v>
      </c>
      <c r="C1112" s="67">
        <f t="shared" si="67"/>
        <v>2008</v>
      </c>
      <c r="D1112" s="68">
        <v>13.1275</v>
      </c>
      <c r="E1112" s="68">
        <v>13.271699999999999</v>
      </c>
      <c r="F1112" s="68">
        <v>13.3317</v>
      </c>
      <c r="H1112" s="69" t="s">
        <v>2525</v>
      </c>
      <c r="I1112" s="66">
        <f t="shared" si="69"/>
        <v>44547</v>
      </c>
      <c r="J1112" s="70">
        <f t="shared" si="68"/>
        <v>2021</v>
      </c>
      <c r="K1112" s="71">
        <v>20.733699999999999</v>
      </c>
      <c r="L1112" s="71">
        <v>20.9238</v>
      </c>
      <c r="M1112" s="71">
        <v>21.2393</v>
      </c>
    </row>
    <row r="1113" spans="1:13">
      <c r="A1113" s="57" t="s">
        <v>2526</v>
      </c>
      <c r="B1113" s="58">
        <f t="shared" si="66"/>
        <v>39800</v>
      </c>
      <c r="C1113" s="59">
        <f t="shared" si="67"/>
        <v>2008</v>
      </c>
      <c r="D1113" s="61">
        <v>13.215</v>
      </c>
      <c r="E1113" s="61">
        <v>13.1275</v>
      </c>
      <c r="F1113" s="61">
        <v>13.271699999999999</v>
      </c>
      <c r="H1113" s="62" t="s">
        <v>2527</v>
      </c>
      <c r="I1113" s="58">
        <f t="shared" si="69"/>
        <v>44548</v>
      </c>
      <c r="J1113" s="60">
        <f t="shared" si="68"/>
        <v>2021</v>
      </c>
      <c r="K1113" s="63" t="s">
        <v>362</v>
      </c>
      <c r="L1113" s="63" t="s">
        <v>362</v>
      </c>
      <c r="M1113" s="64">
        <v>20.9238</v>
      </c>
    </row>
    <row r="1114" spans="1:13">
      <c r="A1114" s="65" t="s">
        <v>2528</v>
      </c>
      <c r="B1114" s="66">
        <f t="shared" si="66"/>
        <v>39801</v>
      </c>
      <c r="C1114" s="67">
        <f t="shared" si="67"/>
        <v>2008</v>
      </c>
      <c r="D1114" s="68">
        <v>13.1197</v>
      </c>
      <c r="E1114" s="68">
        <v>13.215</v>
      </c>
      <c r="F1114" s="68">
        <v>13.1275</v>
      </c>
      <c r="H1114" s="69" t="s">
        <v>2529</v>
      </c>
      <c r="I1114" s="66">
        <f t="shared" si="69"/>
        <v>44549</v>
      </c>
      <c r="J1114" s="70">
        <f t="shared" si="68"/>
        <v>2021</v>
      </c>
      <c r="K1114" s="72" t="s">
        <v>362</v>
      </c>
      <c r="L1114" s="72" t="s">
        <v>362</v>
      </c>
      <c r="M1114" s="71">
        <v>20.9238</v>
      </c>
    </row>
    <row r="1115" spans="1:13">
      <c r="A1115" s="57" t="s">
        <v>2530</v>
      </c>
      <c r="B1115" s="58">
        <f t="shared" si="66"/>
        <v>39802</v>
      </c>
      <c r="C1115" s="59">
        <f t="shared" si="67"/>
        <v>2008</v>
      </c>
      <c r="D1115" s="60" t="s">
        <v>362</v>
      </c>
      <c r="E1115" s="60" t="s">
        <v>362</v>
      </c>
      <c r="F1115" s="61">
        <v>13.215</v>
      </c>
      <c r="H1115" s="62" t="s">
        <v>2531</v>
      </c>
      <c r="I1115" s="58">
        <f t="shared" si="69"/>
        <v>44550</v>
      </c>
      <c r="J1115" s="60">
        <f t="shared" si="68"/>
        <v>2021</v>
      </c>
      <c r="K1115" s="64">
        <v>20.7363</v>
      </c>
      <c r="L1115" s="64">
        <v>20.733699999999999</v>
      </c>
      <c r="M1115" s="64">
        <v>20.9238</v>
      </c>
    </row>
    <row r="1116" spans="1:13">
      <c r="A1116" s="65" t="s">
        <v>2532</v>
      </c>
      <c r="B1116" s="66">
        <f t="shared" si="66"/>
        <v>39803</v>
      </c>
      <c r="C1116" s="67">
        <f t="shared" si="67"/>
        <v>2008</v>
      </c>
      <c r="D1116" s="70" t="s">
        <v>362</v>
      </c>
      <c r="E1116" s="70" t="s">
        <v>362</v>
      </c>
      <c r="F1116" s="68">
        <v>13.215</v>
      </c>
      <c r="H1116" s="69" t="s">
        <v>2533</v>
      </c>
      <c r="I1116" s="66">
        <f t="shared" si="69"/>
        <v>44551</v>
      </c>
      <c r="J1116" s="70">
        <f t="shared" si="68"/>
        <v>2021</v>
      </c>
      <c r="K1116" s="71">
        <v>20.782299999999999</v>
      </c>
      <c r="L1116" s="71">
        <v>20.7363</v>
      </c>
      <c r="M1116" s="71">
        <v>20.733699999999999</v>
      </c>
    </row>
    <row r="1117" spans="1:13">
      <c r="A1117" s="57" t="s">
        <v>2534</v>
      </c>
      <c r="B1117" s="58">
        <f t="shared" si="66"/>
        <v>39804</v>
      </c>
      <c r="C1117" s="59">
        <f t="shared" si="67"/>
        <v>2008</v>
      </c>
      <c r="D1117" s="61">
        <v>13.174200000000001</v>
      </c>
      <c r="E1117" s="61">
        <v>13.1197</v>
      </c>
      <c r="F1117" s="61">
        <v>13.215</v>
      </c>
      <c r="H1117" s="62" t="s">
        <v>2535</v>
      </c>
      <c r="I1117" s="58">
        <f t="shared" si="69"/>
        <v>44552</v>
      </c>
      <c r="J1117" s="60">
        <f t="shared" si="68"/>
        <v>2021</v>
      </c>
      <c r="K1117" s="64">
        <v>20.752700000000001</v>
      </c>
      <c r="L1117" s="64">
        <v>20.782299999999999</v>
      </c>
      <c r="M1117" s="64">
        <v>20.7363</v>
      </c>
    </row>
    <row r="1118" spans="1:13">
      <c r="A1118" s="65" t="s">
        <v>2536</v>
      </c>
      <c r="B1118" s="66">
        <f t="shared" si="66"/>
        <v>39805</v>
      </c>
      <c r="C1118" s="67">
        <f t="shared" si="67"/>
        <v>2008</v>
      </c>
      <c r="D1118" s="68">
        <v>13.217499999999999</v>
      </c>
      <c r="E1118" s="68">
        <v>13.174200000000001</v>
      </c>
      <c r="F1118" s="68">
        <v>13.1197</v>
      </c>
      <c r="H1118" s="69" t="s">
        <v>2537</v>
      </c>
      <c r="I1118" s="66">
        <f t="shared" si="69"/>
        <v>44553</v>
      </c>
      <c r="J1118" s="70">
        <f t="shared" si="68"/>
        <v>2021</v>
      </c>
      <c r="K1118" s="71">
        <v>20.658200000000001</v>
      </c>
      <c r="L1118" s="71">
        <v>20.752700000000001</v>
      </c>
      <c r="M1118" s="71">
        <v>20.782299999999999</v>
      </c>
    </row>
    <row r="1119" spans="1:13">
      <c r="A1119" s="57" t="s">
        <v>2538</v>
      </c>
      <c r="B1119" s="58">
        <f t="shared" ref="B1119:B1182" si="70">DATE(RIGHT(A1119,4),LEFT(RIGHT(A1119,7),2),LEFT(A1119,2))</f>
        <v>39806</v>
      </c>
      <c r="C1119" s="59">
        <f t="shared" ref="C1119:C1182" si="71">YEAR(B1119)</f>
        <v>2008</v>
      </c>
      <c r="D1119" s="61">
        <v>13.311400000000001</v>
      </c>
      <c r="E1119" s="61">
        <v>13.217499999999999</v>
      </c>
      <c r="F1119" s="61">
        <v>13.174200000000001</v>
      </c>
      <c r="H1119" s="62" t="s">
        <v>2539</v>
      </c>
      <c r="I1119" s="58">
        <f t="shared" si="69"/>
        <v>44554</v>
      </c>
      <c r="J1119" s="60">
        <f t="shared" ref="J1119:J1182" si="72">YEAR(I1119)</f>
        <v>2021</v>
      </c>
      <c r="K1119" s="64">
        <v>20.6112</v>
      </c>
      <c r="L1119" s="64">
        <v>20.658200000000001</v>
      </c>
      <c r="M1119" s="64">
        <v>20.752700000000001</v>
      </c>
    </row>
    <row r="1120" spans="1:13">
      <c r="A1120" s="65" t="s">
        <v>2540</v>
      </c>
      <c r="B1120" s="66">
        <f t="shared" si="70"/>
        <v>39807</v>
      </c>
      <c r="C1120" s="67">
        <f t="shared" si="71"/>
        <v>2008</v>
      </c>
      <c r="D1120" s="70" t="s">
        <v>362</v>
      </c>
      <c r="E1120" s="70" t="s">
        <v>362</v>
      </c>
      <c r="F1120" s="68">
        <v>13.217499999999999</v>
      </c>
      <c r="H1120" s="69" t="s">
        <v>2541</v>
      </c>
      <c r="I1120" s="66">
        <f t="shared" ref="I1120:I1183" si="73">DATE(RIGHT(H1120,4),LEFT(RIGHT(A1120,7),2),LEFT(A1120,2))</f>
        <v>44555</v>
      </c>
      <c r="J1120" s="70">
        <f t="shared" si="72"/>
        <v>2021</v>
      </c>
      <c r="K1120" s="72" t="s">
        <v>362</v>
      </c>
      <c r="L1120" s="72" t="s">
        <v>362</v>
      </c>
      <c r="M1120" s="71">
        <v>20.658200000000001</v>
      </c>
    </row>
    <row r="1121" spans="1:13">
      <c r="A1121" s="57" t="s">
        <v>2542</v>
      </c>
      <c r="B1121" s="58">
        <f t="shared" si="70"/>
        <v>39808</v>
      </c>
      <c r="C1121" s="59">
        <f t="shared" si="71"/>
        <v>2008</v>
      </c>
      <c r="D1121" s="61">
        <v>13.3538</v>
      </c>
      <c r="E1121" s="61">
        <v>13.311400000000001</v>
      </c>
      <c r="F1121" s="61">
        <v>13.217499999999999</v>
      </c>
      <c r="H1121" s="62" t="s">
        <v>2543</v>
      </c>
      <c r="I1121" s="58">
        <f t="shared" si="73"/>
        <v>44556</v>
      </c>
      <c r="J1121" s="60">
        <f t="shared" si="72"/>
        <v>2021</v>
      </c>
      <c r="K1121" s="63" t="s">
        <v>362</v>
      </c>
      <c r="L1121" s="63" t="s">
        <v>362</v>
      </c>
      <c r="M1121" s="64">
        <v>20.658200000000001</v>
      </c>
    </row>
    <row r="1122" spans="1:13">
      <c r="A1122" s="65" t="s">
        <v>2544</v>
      </c>
      <c r="B1122" s="66">
        <f t="shared" si="70"/>
        <v>39809</v>
      </c>
      <c r="C1122" s="67">
        <f t="shared" si="71"/>
        <v>2008</v>
      </c>
      <c r="D1122" s="70" t="s">
        <v>362</v>
      </c>
      <c r="E1122" s="70" t="s">
        <v>362</v>
      </c>
      <c r="F1122" s="68">
        <v>13.311400000000001</v>
      </c>
      <c r="H1122" s="69" t="s">
        <v>2545</v>
      </c>
      <c r="I1122" s="66">
        <f t="shared" si="73"/>
        <v>44557</v>
      </c>
      <c r="J1122" s="70">
        <f t="shared" si="72"/>
        <v>2021</v>
      </c>
      <c r="K1122" s="71">
        <v>20.6828</v>
      </c>
      <c r="L1122" s="71">
        <v>20.6112</v>
      </c>
      <c r="M1122" s="71">
        <v>20.658200000000001</v>
      </c>
    </row>
    <row r="1123" spans="1:13">
      <c r="A1123" s="57" t="s">
        <v>2546</v>
      </c>
      <c r="B1123" s="58">
        <f t="shared" si="70"/>
        <v>39810</v>
      </c>
      <c r="C1123" s="59">
        <f t="shared" si="71"/>
        <v>2008</v>
      </c>
      <c r="D1123" s="60" t="s">
        <v>362</v>
      </c>
      <c r="E1123" s="60" t="s">
        <v>362</v>
      </c>
      <c r="F1123" s="61">
        <v>13.311400000000001</v>
      </c>
      <c r="H1123" s="62" t="s">
        <v>2547</v>
      </c>
      <c r="I1123" s="58">
        <f t="shared" si="73"/>
        <v>44558</v>
      </c>
      <c r="J1123" s="60">
        <f t="shared" si="72"/>
        <v>2021</v>
      </c>
      <c r="K1123" s="64">
        <v>20.577000000000002</v>
      </c>
      <c r="L1123" s="64">
        <v>20.6828</v>
      </c>
      <c r="M1123" s="64">
        <v>20.6112</v>
      </c>
    </row>
    <row r="1124" spans="1:13">
      <c r="A1124" s="65" t="s">
        <v>2548</v>
      </c>
      <c r="B1124" s="66">
        <f t="shared" si="70"/>
        <v>39811</v>
      </c>
      <c r="C1124" s="67">
        <f t="shared" si="71"/>
        <v>2008</v>
      </c>
      <c r="D1124" s="68">
        <v>13.5383</v>
      </c>
      <c r="E1124" s="68">
        <v>13.3538</v>
      </c>
      <c r="F1124" s="68">
        <v>13.311400000000001</v>
      </c>
      <c r="H1124" s="69" t="s">
        <v>2549</v>
      </c>
      <c r="I1124" s="66">
        <f t="shared" si="73"/>
        <v>44559</v>
      </c>
      <c r="J1124" s="70">
        <f t="shared" si="72"/>
        <v>2021</v>
      </c>
      <c r="K1124" s="71">
        <v>20.583500000000001</v>
      </c>
      <c r="L1124" s="71">
        <v>20.577000000000002</v>
      </c>
      <c r="M1124" s="71">
        <v>20.6828</v>
      </c>
    </row>
    <row r="1125" spans="1:13">
      <c r="A1125" s="57" t="s">
        <v>2550</v>
      </c>
      <c r="B1125" s="58">
        <f t="shared" si="70"/>
        <v>39812</v>
      </c>
      <c r="C1125" s="59">
        <f t="shared" si="71"/>
        <v>2008</v>
      </c>
      <c r="D1125" s="61">
        <v>13.7738</v>
      </c>
      <c r="E1125" s="61">
        <v>13.5383</v>
      </c>
      <c r="F1125" s="61">
        <v>13.3538</v>
      </c>
      <c r="H1125" s="62" t="s">
        <v>2551</v>
      </c>
      <c r="I1125" s="58">
        <f t="shared" si="73"/>
        <v>44560</v>
      </c>
      <c r="J1125" s="60">
        <f t="shared" si="72"/>
        <v>2021</v>
      </c>
      <c r="K1125" s="64">
        <v>20.515699999999999</v>
      </c>
      <c r="L1125" s="64">
        <v>20.583500000000001</v>
      </c>
      <c r="M1125" s="64">
        <v>20.577000000000002</v>
      </c>
    </row>
    <row r="1126" spans="1:13">
      <c r="A1126" s="65" t="s">
        <v>2552</v>
      </c>
      <c r="B1126" s="66">
        <f t="shared" si="70"/>
        <v>39813</v>
      </c>
      <c r="C1126" s="67">
        <f t="shared" si="71"/>
        <v>2008</v>
      </c>
      <c r="D1126" s="68">
        <v>13.8325</v>
      </c>
      <c r="E1126" s="68">
        <v>13.7738</v>
      </c>
      <c r="F1126" s="68">
        <v>13.5383</v>
      </c>
      <c r="H1126" s="69" t="s">
        <v>2553</v>
      </c>
      <c r="I1126" s="66">
        <f t="shared" si="73"/>
        <v>44561</v>
      </c>
      <c r="J1126" s="70">
        <f t="shared" si="72"/>
        <v>2021</v>
      </c>
      <c r="K1126" s="71">
        <v>20.467199999999998</v>
      </c>
      <c r="L1126" s="71">
        <v>20.515699999999999</v>
      </c>
      <c r="M1126" s="71">
        <v>20.583500000000001</v>
      </c>
    </row>
    <row r="1127" spans="1:13">
      <c r="A1127" s="57" t="s">
        <v>2554</v>
      </c>
      <c r="B1127" s="58">
        <f t="shared" si="70"/>
        <v>39814</v>
      </c>
      <c r="C1127" s="59">
        <f t="shared" si="71"/>
        <v>2009</v>
      </c>
      <c r="D1127" s="60" t="s">
        <v>362</v>
      </c>
      <c r="E1127" s="60" t="s">
        <v>362</v>
      </c>
      <c r="F1127" s="61">
        <v>13.7738</v>
      </c>
      <c r="H1127" s="62" t="s">
        <v>2555</v>
      </c>
      <c r="I1127" s="58">
        <f t="shared" si="73"/>
        <v>44562</v>
      </c>
      <c r="J1127" s="60">
        <f t="shared" si="72"/>
        <v>2022</v>
      </c>
      <c r="K1127" s="63" t="s">
        <v>362</v>
      </c>
      <c r="L1127" s="63" t="s">
        <v>362</v>
      </c>
      <c r="M1127" s="64">
        <v>20.515699999999999</v>
      </c>
    </row>
    <row r="1128" spans="1:13">
      <c r="A1128" s="65" t="s">
        <v>2556</v>
      </c>
      <c r="B1128" s="66">
        <f t="shared" si="70"/>
        <v>39815</v>
      </c>
      <c r="C1128" s="67">
        <f t="shared" si="71"/>
        <v>2009</v>
      </c>
      <c r="D1128" s="68">
        <v>13.767799999999999</v>
      </c>
      <c r="E1128" s="68">
        <v>13.8325</v>
      </c>
      <c r="F1128" s="68">
        <v>13.7738</v>
      </c>
      <c r="H1128" s="69" t="s">
        <v>2557</v>
      </c>
      <c r="I1128" s="66">
        <f t="shared" si="73"/>
        <v>44563</v>
      </c>
      <c r="J1128" s="70">
        <f t="shared" si="72"/>
        <v>2022</v>
      </c>
      <c r="K1128" s="72" t="s">
        <v>362</v>
      </c>
      <c r="L1128" s="72" t="s">
        <v>362</v>
      </c>
      <c r="M1128" s="71">
        <v>20.515699999999999</v>
      </c>
    </row>
    <row r="1129" spans="1:13">
      <c r="A1129" s="57" t="s">
        <v>2558</v>
      </c>
      <c r="B1129" s="58">
        <f t="shared" si="70"/>
        <v>39816</v>
      </c>
      <c r="C1129" s="59">
        <f t="shared" si="71"/>
        <v>2009</v>
      </c>
      <c r="D1129" s="60" t="s">
        <v>362</v>
      </c>
      <c r="E1129" s="60" t="s">
        <v>362</v>
      </c>
      <c r="F1129" s="61">
        <v>13.8325</v>
      </c>
      <c r="H1129" s="62" t="s">
        <v>2559</v>
      </c>
      <c r="I1129" s="58">
        <f t="shared" si="73"/>
        <v>44564</v>
      </c>
      <c r="J1129" s="60">
        <f t="shared" si="72"/>
        <v>2022</v>
      </c>
      <c r="K1129" s="64">
        <v>20.588999999999999</v>
      </c>
      <c r="L1129" s="64">
        <v>20.467199999999998</v>
      </c>
      <c r="M1129" s="64">
        <v>20.515699999999999</v>
      </c>
    </row>
    <row r="1130" spans="1:13">
      <c r="A1130" s="65" t="s">
        <v>2560</v>
      </c>
      <c r="B1130" s="66">
        <f t="shared" si="70"/>
        <v>39817</v>
      </c>
      <c r="C1130" s="67">
        <f t="shared" si="71"/>
        <v>2009</v>
      </c>
      <c r="D1130" s="70" t="s">
        <v>362</v>
      </c>
      <c r="E1130" s="70" t="s">
        <v>362</v>
      </c>
      <c r="F1130" s="68">
        <v>13.8325</v>
      </c>
      <c r="H1130" s="69" t="s">
        <v>2561</v>
      </c>
      <c r="I1130" s="66">
        <f t="shared" si="73"/>
        <v>44565</v>
      </c>
      <c r="J1130" s="70">
        <f t="shared" si="72"/>
        <v>2022</v>
      </c>
      <c r="K1130" s="71">
        <v>20.4742</v>
      </c>
      <c r="L1130" s="71">
        <v>20.588999999999999</v>
      </c>
      <c r="M1130" s="71">
        <v>20.467199999999998</v>
      </c>
    </row>
    <row r="1131" spans="1:13">
      <c r="A1131" s="57" t="s">
        <v>2562</v>
      </c>
      <c r="B1131" s="58">
        <f t="shared" si="70"/>
        <v>39818</v>
      </c>
      <c r="C1131" s="59">
        <f t="shared" si="71"/>
        <v>2009</v>
      </c>
      <c r="D1131" s="61">
        <v>13.550700000000001</v>
      </c>
      <c r="E1131" s="61">
        <v>13.767799999999999</v>
      </c>
      <c r="F1131" s="61">
        <v>13.8325</v>
      </c>
      <c r="H1131" s="62" t="s">
        <v>2563</v>
      </c>
      <c r="I1131" s="58">
        <f t="shared" si="73"/>
        <v>44566</v>
      </c>
      <c r="J1131" s="60">
        <f t="shared" si="72"/>
        <v>2022</v>
      </c>
      <c r="K1131" s="64">
        <v>20.3977</v>
      </c>
      <c r="L1131" s="64">
        <v>20.4742</v>
      </c>
      <c r="M1131" s="64">
        <v>20.588999999999999</v>
      </c>
    </row>
    <row r="1132" spans="1:13">
      <c r="A1132" s="65" t="s">
        <v>2564</v>
      </c>
      <c r="B1132" s="66">
        <f t="shared" si="70"/>
        <v>39819</v>
      </c>
      <c r="C1132" s="67">
        <f t="shared" si="71"/>
        <v>2009</v>
      </c>
      <c r="D1132" s="68">
        <v>13.345800000000001</v>
      </c>
      <c r="E1132" s="68">
        <v>13.550700000000001</v>
      </c>
      <c r="F1132" s="68">
        <v>13.767799999999999</v>
      </c>
      <c r="H1132" s="69" t="s">
        <v>2565</v>
      </c>
      <c r="I1132" s="66">
        <f t="shared" si="73"/>
        <v>44567</v>
      </c>
      <c r="J1132" s="70">
        <f t="shared" si="72"/>
        <v>2022</v>
      </c>
      <c r="K1132" s="71">
        <v>20.4588</v>
      </c>
      <c r="L1132" s="71">
        <v>20.3977</v>
      </c>
      <c r="M1132" s="71">
        <v>20.4742</v>
      </c>
    </row>
    <row r="1133" spans="1:13">
      <c r="A1133" s="57" t="s">
        <v>2566</v>
      </c>
      <c r="B1133" s="58">
        <f t="shared" si="70"/>
        <v>39820</v>
      </c>
      <c r="C1133" s="59">
        <f t="shared" si="71"/>
        <v>2009</v>
      </c>
      <c r="D1133" s="61">
        <v>13.413600000000001</v>
      </c>
      <c r="E1133" s="61">
        <v>13.345800000000001</v>
      </c>
      <c r="F1133" s="61">
        <v>13.550700000000001</v>
      </c>
      <c r="H1133" s="62" t="s">
        <v>2567</v>
      </c>
      <c r="I1133" s="58">
        <f t="shared" si="73"/>
        <v>44568</v>
      </c>
      <c r="J1133" s="60">
        <f t="shared" si="72"/>
        <v>2022</v>
      </c>
      <c r="K1133" s="64">
        <v>20.4237</v>
      </c>
      <c r="L1133" s="64">
        <v>20.4588</v>
      </c>
      <c r="M1133" s="64">
        <v>20.3977</v>
      </c>
    </row>
    <row r="1134" spans="1:13">
      <c r="A1134" s="65" t="s">
        <v>2568</v>
      </c>
      <c r="B1134" s="66">
        <f t="shared" si="70"/>
        <v>39821</v>
      </c>
      <c r="C1134" s="67">
        <f t="shared" si="71"/>
        <v>2009</v>
      </c>
      <c r="D1134" s="68">
        <v>13.5045</v>
      </c>
      <c r="E1134" s="68">
        <v>13.413600000000001</v>
      </c>
      <c r="F1134" s="68">
        <v>13.345800000000001</v>
      </c>
      <c r="H1134" s="69" t="s">
        <v>2569</v>
      </c>
      <c r="I1134" s="66">
        <f t="shared" si="73"/>
        <v>44569</v>
      </c>
      <c r="J1134" s="70">
        <f t="shared" si="72"/>
        <v>2022</v>
      </c>
      <c r="K1134" s="72" t="s">
        <v>362</v>
      </c>
      <c r="L1134" s="72" t="s">
        <v>362</v>
      </c>
      <c r="M1134" s="71">
        <v>20.4588</v>
      </c>
    </row>
    <row r="1135" spans="1:13">
      <c r="A1135" s="57" t="s">
        <v>2570</v>
      </c>
      <c r="B1135" s="58">
        <f t="shared" si="70"/>
        <v>39822</v>
      </c>
      <c r="C1135" s="59">
        <f t="shared" si="71"/>
        <v>2009</v>
      </c>
      <c r="D1135" s="61">
        <v>13.700799999999999</v>
      </c>
      <c r="E1135" s="61">
        <v>13.5045</v>
      </c>
      <c r="F1135" s="61">
        <v>13.413600000000001</v>
      </c>
      <c r="H1135" s="62" t="s">
        <v>2571</v>
      </c>
      <c r="I1135" s="58">
        <f t="shared" si="73"/>
        <v>44570</v>
      </c>
      <c r="J1135" s="60">
        <f t="shared" si="72"/>
        <v>2022</v>
      </c>
      <c r="K1135" s="63" t="s">
        <v>362</v>
      </c>
      <c r="L1135" s="63" t="s">
        <v>362</v>
      </c>
      <c r="M1135" s="64">
        <v>20.4588</v>
      </c>
    </row>
    <row r="1136" spans="1:13">
      <c r="A1136" s="65" t="s">
        <v>2572</v>
      </c>
      <c r="B1136" s="66">
        <f t="shared" si="70"/>
        <v>39823</v>
      </c>
      <c r="C1136" s="67">
        <f t="shared" si="71"/>
        <v>2009</v>
      </c>
      <c r="D1136" s="70" t="s">
        <v>362</v>
      </c>
      <c r="E1136" s="70" t="s">
        <v>362</v>
      </c>
      <c r="F1136" s="68">
        <v>13.5045</v>
      </c>
      <c r="H1136" s="69" t="s">
        <v>2573</v>
      </c>
      <c r="I1136" s="66">
        <f t="shared" si="73"/>
        <v>44571</v>
      </c>
      <c r="J1136" s="70">
        <f t="shared" si="72"/>
        <v>2022</v>
      </c>
      <c r="K1136" s="71">
        <v>20.4453</v>
      </c>
      <c r="L1136" s="71">
        <v>20.4237</v>
      </c>
      <c r="M1136" s="71">
        <v>20.4588</v>
      </c>
    </row>
    <row r="1137" spans="1:13">
      <c r="A1137" s="57" t="s">
        <v>2574</v>
      </c>
      <c r="B1137" s="58">
        <f t="shared" si="70"/>
        <v>39824</v>
      </c>
      <c r="C1137" s="59">
        <f t="shared" si="71"/>
        <v>2009</v>
      </c>
      <c r="D1137" s="60" t="s">
        <v>362</v>
      </c>
      <c r="E1137" s="60" t="s">
        <v>362</v>
      </c>
      <c r="F1137" s="61">
        <v>13.5045</v>
      </c>
      <c r="H1137" s="62" t="s">
        <v>2575</v>
      </c>
      <c r="I1137" s="58">
        <f t="shared" si="73"/>
        <v>44572</v>
      </c>
      <c r="J1137" s="60">
        <f t="shared" si="72"/>
        <v>2022</v>
      </c>
      <c r="K1137" s="64">
        <v>20.378499999999999</v>
      </c>
      <c r="L1137" s="64">
        <v>20.4453</v>
      </c>
      <c r="M1137" s="64">
        <v>20.4237</v>
      </c>
    </row>
    <row r="1138" spans="1:13">
      <c r="A1138" s="65" t="s">
        <v>2576</v>
      </c>
      <c r="B1138" s="66">
        <f t="shared" si="70"/>
        <v>39825</v>
      </c>
      <c r="C1138" s="67">
        <f t="shared" si="71"/>
        <v>2009</v>
      </c>
      <c r="D1138" s="68">
        <v>13.7608</v>
      </c>
      <c r="E1138" s="68">
        <v>13.700799999999999</v>
      </c>
      <c r="F1138" s="68">
        <v>13.5045</v>
      </c>
      <c r="H1138" s="69" t="s">
        <v>2577</v>
      </c>
      <c r="I1138" s="66">
        <f t="shared" si="73"/>
        <v>44573</v>
      </c>
      <c r="J1138" s="70">
        <f t="shared" si="72"/>
        <v>2022</v>
      </c>
      <c r="K1138" s="71">
        <v>20.366</v>
      </c>
      <c r="L1138" s="71">
        <v>20.378499999999999</v>
      </c>
      <c r="M1138" s="71">
        <v>20.4453</v>
      </c>
    </row>
    <row r="1139" spans="1:13">
      <c r="A1139" s="57" t="s">
        <v>2578</v>
      </c>
      <c r="B1139" s="58">
        <f t="shared" si="70"/>
        <v>39826</v>
      </c>
      <c r="C1139" s="59">
        <f t="shared" si="71"/>
        <v>2009</v>
      </c>
      <c r="D1139" s="61">
        <v>13.839</v>
      </c>
      <c r="E1139" s="61">
        <v>13.7608</v>
      </c>
      <c r="F1139" s="61">
        <v>13.700799999999999</v>
      </c>
      <c r="H1139" s="62" t="s">
        <v>2579</v>
      </c>
      <c r="I1139" s="58">
        <f t="shared" si="73"/>
        <v>44574</v>
      </c>
      <c r="J1139" s="60">
        <f t="shared" si="72"/>
        <v>2022</v>
      </c>
      <c r="K1139" s="64">
        <v>20.360700000000001</v>
      </c>
      <c r="L1139" s="64">
        <v>20.366</v>
      </c>
      <c r="M1139" s="64">
        <v>20.378499999999999</v>
      </c>
    </row>
    <row r="1140" spans="1:13">
      <c r="A1140" s="65" t="s">
        <v>2580</v>
      </c>
      <c r="B1140" s="66">
        <f t="shared" si="70"/>
        <v>39827</v>
      </c>
      <c r="C1140" s="67">
        <f t="shared" si="71"/>
        <v>2009</v>
      </c>
      <c r="D1140" s="68">
        <v>14.1083</v>
      </c>
      <c r="E1140" s="68">
        <v>13.839</v>
      </c>
      <c r="F1140" s="68">
        <v>13.7608</v>
      </c>
      <c r="H1140" s="69" t="s">
        <v>2581</v>
      </c>
      <c r="I1140" s="66">
        <f t="shared" si="73"/>
        <v>44575</v>
      </c>
      <c r="J1140" s="70">
        <f t="shared" si="72"/>
        <v>2022</v>
      </c>
      <c r="K1140" s="71">
        <v>20.311800000000002</v>
      </c>
      <c r="L1140" s="71">
        <v>20.360700000000001</v>
      </c>
      <c r="M1140" s="71">
        <v>20.366</v>
      </c>
    </row>
    <row r="1141" spans="1:13">
      <c r="A1141" s="57" t="s">
        <v>2582</v>
      </c>
      <c r="B1141" s="58">
        <f t="shared" si="70"/>
        <v>39828</v>
      </c>
      <c r="C1141" s="59">
        <f t="shared" si="71"/>
        <v>2009</v>
      </c>
      <c r="D1141" s="61">
        <v>14.219200000000001</v>
      </c>
      <c r="E1141" s="61">
        <v>14.1083</v>
      </c>
      <c r="F1141" s="61">
        <v>13.839</v>
      </c>
      <c r="H1141" s="62" t="s">
        <v>2583</v>
      </c>
      <c r="I1141" s="58">
        <f t="shared" si="73"/>
        <v>44576</v>
      </c>
      <c r="J1141" s="60">
        <f t="shared" si="72"/>
        <v>2022</v>
      </c>
      <c r="K1141" s="63" t="s">
        <v>362</v>
      </c>
      <c r="L1141" s="63" t="s">
        <v>362</v>
      </c>
      <c r="M1141" s="64">
        <v>20.360700000000001</v>
      </c>
    </row>
    <row r="1142" spans="1:13">
      <c r="A1142" s="65" t="s">
        <v>2584</v>
      </c>
      <c r="B1142" s="66">
        <f t="shared" si="70"/>
        <v>39829</v>
      </c>
      <c r="C1142" s="67">
        <f t="shared" si="71"/>
        <v>2009</v>
      </c>
      <c r="D1142" s="68">
        <v>13.905799999999999</v>
      </c>
      <c r="E1142" s="68">
        <v>14.219200000000001</v>
      </c>
      <c r="F1142" s="68">
        <v>14.1083</v>
      </c>
      <c r="H1142" s="69" t="s">
        <v>2585</v>
      </c>
      <c r="I1142" s="66">
        <f t="shared" si="73"/>
        <v>44577</v>
      </c>
      <c r="J1142" s="70">
        <f t="shared" si="72"/>
        <v>2022</v>
      </c>
      <c r="K1142" s="72" t="s">
        <v>362</v>
      </c>
      <c r="L1142" s="72" t="s">
        <v>362</v>
      </c>
      <c r="M1142" s="71">
        <v>20.360700000000001</v>
      </c>
    </row>
    <row r="1143" spans="1:13">
      <c r="A1143" s="57" t="s">
        <v>2586</v>
      </c>
      <c r="B1143" s="58">
        <f t="shared" si="70"/>
        <v>39830</v>
      </c>
      <c r="C1143" s="59">
        <f t="shared" si="71"/>
        <v>2009</v>
      </c>
      <c r="D1143" s="60" t="s">
        <v>362</v>
      </c>
      <c r="E1143" s="60" t="s">
        <v>362</v>
      </c>
      <c r="F1143" s="61">
        <v>14.219200000000001</v>
      </c>
      <c r="H1143" s="62" t="s">
        <v>2587</v>
      </c>
      <c r="I1143" s="58">
        <f t="shared" si="73"/>
        <v>44578</v>
      </c>
      <c r="J1143" s="60">
        <f t="shared" si="72"/>
        <v>2022</v>
      </c>
      <c r="K1143" s="64">
        <v>20.3002</v>
      </c>
      <c r="L1143" s="64">
        <v>20.311800000000002</v>
      </c>
      <c r="M1143" s="64">
        <v>20.360700000000001</v>
      </c>
    </row>
    <row r="1144" spans="1:13">
      <c r="A1144" s="65" t="s">
        <v>2588</v>
      </c>
      <c r="B1144" s="66">
        <f t="shared" si="70"/>
        <v>39831</v>
      </c>
      <c r="C1144" s="67">
        <f t="shared" si="71"/>
        <v>2009</v>
      </c>
      <c r="D1144" s="70" t="s">
        <v>362</v>
      </c>
      <c r="E1144" s="70" t="s">
        <v>362</v>
      </c>
      <c r="F1144" s="68">
        <v>14.219200000000001</v>
      </c>
      <c r="H1144" s="69" t="s">
        <v>2589</v>
      </c>
      <c r="I1144" s="66">
        <f t="shared" si="73"/>
        <v>44579</v>
      </c>
      <c r="J1144" s="70">
        <f t="shared" si="72"/>
        <v>2022</v>
      </c>
      <c r="K1144" s="71">
        <v>20.402999999999999</v>
      </c>
      <c r="L1144" s="71">
        <v>20.3002</v>
      </c>
      <c r="M1144" s="71">
        <v>20.311800000000002</v>
      </c>
    </row>
    <row r="1145" spans="1:13">
      <c r="A1145" s="57" t="s">
        <v>2590</v>
      </c>
      <c r="B1145" s="58">
        <f t="shared" si="70"/>
        <v>39832</v>
      </c>
      <c r="C1145" s="59">
        <f t="shared" si="71"/>
        <v>2009</v>
      </c>
      <c r="D1145" s="61">
        <v>13.9777</v>
      </c>
      <c r="E1145" s="61">
        <v>13.905799999999999</v>
      </c>
      <c r="F1145" s="61">
        <v>14.219200000000001</v>
      </c>
      <c r="H1145" s="62" t="s">
        <v>2591</v>
      </c>
      <c r="I1145" s="58">
        <f t="shared" si="73"/>
        <v>44580</v>
      </c>
      <c r="J1145" s="60">
        <f t="shared" si="72"/>
        <v>2022</v>
      </c>
      <c r="K1145" s="64">
        <v>20.46</v>
      </c>
      <c r="L1145" s="64">
        <v>20.402999999999999</v>
      </c>
      <c r="M1145" s="64">
        <v>20.3002</v>
      </c>
    </row>
    <row r="1146" spans="1:13">
      <c r="A1146" s="65" t="s">
        <v>2592</v>
      </c>
      <c r="B1146" s="66">
        <f t="shared" si="70"/>
        <v>39833</v>
      </c>
      <c r="C1146" s="67">
        <f t="shared" si="71"/>
        <v>2009</v>
      </c>
      <c r="D1146" s="68">
        <v>13.9382</v>
      </c>
      <c r="E1146" s="68">
        <v>13.9777</v>
      </c>
      <c r="F1146" s="68">
        <v>13.905799999999999</v>
      </c>
      <c r="H1146" s="69" t="s">
        <v>2593</v>
      </c>
      <c r="I1146" s="66">
        <f t="shared" si="73"/>
        <v>44581</v>
      </c>
      <c r="J1146" s="70">
        <f t="shared" si="72"/>
        <v>2022</v>
      </c>
      <c r="K1146" s="71">
        <v>20.450700000000001</v>
      </c>
      <c r="L1146" s="71">
        <v>20.46</v>
      </c>
      <c r="M1146" s="71">
        <v>20.402999999999999</v>
      </c>
    </row>
    <row r="1147" spans="1:13">
      <c r="A1147" s="57" t="s">
        <v>2594</v>
      </c>
      <c r="B1147" s="58">
        <f t="shared" si="70"/>
        <v>39834</v>
      </c>
      <c r="C1147" s="59">
        <f t="shared" si="71"/>
        <v>2009</v>
      </c>
      <c r="D1147" s="61">
        <v>13.9145</v>
      </c>
      <c r="E1147" s="61">
        <v>13.9382</v>
      </c>
      <c r="F1147" s="61">
        <v>13.9777</v>
      </c>
      <c r="H1147" s="62" t="s">
        <v>2595</v>
      </c>
      <c r="I1147" s="58">
        <f t="shared" si="73"/>
        <v>44582</v>
      </c>
      <c r="J1147" s="60">
        <f t="shared" si="72"/>
        <v>2022</v>
      </c>
      <c r="K1147" s="64">
        <v>20.459800000000001</v>
      </c>
      <c r="L1147" s="64">
        <v>20.450700000000001</v>
      </c>
      <c r="M1147" s="64">
        <v>20.46</v>
      </c>
    </row>
    <row r="1148" spans="1:13">
      <c r="A1148" s="65" t="s">
        <v>2596</v>
      </c>
      <c r="B1148" s="66">
        <f t="shared" si="70"/>
        <v>39835</v>
      </c>
      <c r="C1148" s="67">
        <f t="shared" si="71"/>
        <v>2009</v>
      </c>
      <c r="D1148" s="68">
        <v>13.932499999999999</v>
      </c>
      <c r="E1148" s="68">
        <v>13.9145</v>
      </c>
      <c r="F1148" s="68">
        <v>13.9382</v>
      </c>
      <c r="H1148" s="69" t="s">
        <v>2597</v>
      </c>
      <c r="I1148" s="66">
        <f t="shared" si="73"/>
        <v>44583</v>
      </c>
      <c r="J1148" s="70">
        <f t="shared" si="72"/>
        <v>2022</v>
      </c>
      <c r="K1148" s="72" t="s">
        <v>362</v>
      </c>
      <c r="L1148" s="72" t="s">
        <v>362</v>
      </c>
      <c r="M1148" s="71">
        <v>20.450700000000001</v>
      </c>
    </row>
    <row r="1149" spans="1:13">
      <c r="A1149" s="57" t="s">
        <v>2598</v>
      </c>
      <c r="B1149" s="58">
        <f t="shared" si="70"/>
        <v>39836</v>
      </c>
      <c r="C1149" s="59">
        <f t="shared" si="71"/>
        <v>2009</v>
      </c>
      <c r="D1149" s="61">
        <v>14.095000000000001</v>
      </c>
      <c r="E1149" s="61">
        <v>13.932499999999999</v>
      </c>
      <c r="F1149" s="61">
        <v>13.9145</v>
      </c>
      <c r="H1149" s="62" t="s">
        <v>2599</v>
      </c>
      <c r="I1149" s="58">
        <f t="shared" si="73"/>
        <v>44584</v>
      </c>
      <c r="J1149" s="60">
        <f t="shared" si="72"/>
        <v>2022</v>
      </c>
      <c r="K1149" s="63" t="s">
        <v>362</v>
      </c>
      <c r="L1149" s="63" t="s">
        <v>362</v>
      </c>
      <c r="M1149" s="64">
        <v>20.450700000000001</v>
      </c>
    </row>
    <row r="1150" spans="1:13">
      <c r="A1150" s="65" t="s">
        <v>2600</v>
      </c>
      <c r="B1150" s="66">
        <f t="shared" si="70"/>
        <v>39837</v>
      </c>
      <c r="C1150" s="67">
        <f t="shared" si="71"/>
        <v>2009</v>
      </c>
      <c r="D1150" s="70" t="s">
        <v>362</v>
      </c>
      <c r="E1150" s="70" t="s">
        <v>362</v>
      </c>
      <c r="F1150" s="68">
        <v>13.932499999999999</v>
      </c>
      <c r="H1150" s="69" t="s">
        <v>2601</v>
      </c>
      <c r="I1150" s="66">
        <f t="shared" si="73"/>
        <v>44585</v>
      </c>
      <c r="J1150" s="70">
        <f t="shared" si="72"/>
        <v>2022</v>
      </c>
      <c r="K1150" s="71">
        <v>20.630800000000001</v>
      </c>
      <c r="L1150" s="71">
        <v>20.459800000000001</v>
      </c>
      <c r="M1150" s="71">
        <v>20.450700000000001</v>
      </c>
    </row>
    <row r="1151" spans="1:13">
      <c r="A1151" s="57" t="s">
        <v>2602</v>
      </c>
      <c r="B1151" s="58">
        <f t="shared" si="70"/>
        <v>39838</v>
      </c>
      <c r="C1151" s="59">
        <f t="shared" si="71"/>
        <v>2009</v>
      </c>
      <c r="D1151" s="60" t="s">
        <v>362</v>
      </c>
      <c r="E1151" s="60" t="s">
        <v>362</v>
      </c>
      <c r="F1151" s="61">
        <v>13.932499999999999</v>
      </c>
      <c r="H1151" s="62" t="s">
        <v>2603</v>
      </c>
      <c r="I1151" s="58">
        <f t="shared" si="73"/>
        <v>44586</v>
      </c>
      <c r="J1151" s="60">
        <f t="shared" si="72"/>
        <v>2022</v>
      </c>
      <c r="K1151" s="64">
        <v>20.668299999999999</v>
      </c>
      <c r="L1151" s="64">
        <v>20.630800000000001</v>
      </c>
      <c r="M1151" s="64">
        <v>20.459800000000001</v>
      </c>
    </row>
    <row r="1152" spans="1:13">
      <c r="A1152" s="65" t="s">
        <v>2604</v>
      </c>
      <c r="B1152" s="66">
        <f t="shared" si="70"/>
        <v>39839</v>
      </c>
      <c r="C1152" s="67">
        <f t="shared" si="71"/>
        <v>2009</v>
      </c>
      <c r="D1152" s="68">
        <v>13.934200000000001</v>
      </c>
      <c r="E1152" s="68">
        <v>14.095000000000001</v>
      </c>
      <c r="F1152" s="68">
        <v>13.932499999999999</v>
      </c>
      <c r="H1152" s="69" t="s">
        <v>2605</v>
      </c>
      <c r="I1152" s="66">
        <f t="shared" si="73"/>
        <v>44587</v>
      </c>
      <c r="J1152" s="70">
        <f t="shared" si="72"/>
        <v>2022</v>
      </c>
      <c r="K1152" s="71">
        <v>20.641500000000001</v>
      </c>
      <c r="L1152" s="71">
        <v>20.668299999999999</v>
      </c>
      <c r="M1152" s="71">
        <v>20.630800000000001</v>
      </c>
    </row>
    <row r="1153" spans="1:13">
      <c r="A1153" s="57" t="s">
        <v>2606</v>
      </c>
      <c r="B1153" s="58">
        <f t="shared" si="70"/>
        <v>39840</v>
      </c>
      <c r="C1153" s="59">
        <f t="shared" si="71"/>
        <v>2009</v>
      </c>
      <c r="D1153" s="61">
        <v>14.1675</v>
      </c>
      <c r="E1153" s="61">
        <v>13.934200000000001</v>
      </c>
      <c r="F1153" s="61">
        <v>14.095000000000001</v>
      </c>
      <c r="H1153" s="62" t="s">
        <v>2607</v>
      </c>
      <c r="I1153" s="58">
        <f t="shared" si="73"/>
        <v>44588</v>
      </c>
      <c r="J1153" s="60">
        <f t="shared" si="72"/>
        <v>2022</v>
      </c>
      <c r="K1153" s="64">
        <v>20.738299999999999</v>
      </c>
      <c r="L1153" s="64">
        <v>20.641500000000001</v>
      </c>
      <c r="M1153" s="64">
        <v>20.668299999999999</v>
      </c>
    </row>
    <row r="1154" spans="1:13">
      <c r="A1154" s="65" t="s">
        <v>2608</v>
      </c>
      <c r="B1154" s="66">
        <f t="shared" si="70"/>
        <v>39841</v>
      </c>
      <c r="C1154" s="67">
        <f t="shared" si="71"/>
        <v>2009</v>
      </c>
      <c r="D1154" s="68">
        <v>14.151300000000001</v>
      </c>
      <c r="E1154" s="68">
        <v>14.1675</v>
      </c>
      <c r="F1154" s="68">
        <v>13.934200000000001</v>
      </c>
      <c r="H1154" s="69" t="s">
        <v>2609</v>
      </c>
      <c r="I1154" s="66">
        <f t="shared" si="73"/>
        <v>44589</v>
      </c>
      <c r="J1154" s="70">
        <f t="shared" si="72"/>
        <v>2022</v>
      </c>
      <c r="K1154" s="71">
        <v>20.8597</v>
      </c>
      <c r="L1154" s="71">
        <v>20.738299999999999</v>
      </c>
      <c r="M1154" s="71">
        <v>20.641500000000001</v>
      </c>
    </row>
    <row r="1155" spans="1:13">
      <c r="A1155" s="57" t="s">
        <v>2610</v>
      </c>
      <c r="B1155" s="58">
        <f t="shared" si="70"/>
        <v>39842</v>
      </c>
      <c r="C1155" s="59">
        <f t="shared" si="71"/>
        <v>2009</v>
      </c>
      <c r="D1155" s="61">
        <v>14.1975</v>
      </c>
      <c r="E1155" s="61">
        <v>14.151300000000001</v>
      </c>
      <c r="F1155" s="61">
        <v>14.1675</v>
      </c>
      <c r="H1155" s="62" t="s">
        <v>2611</v>
      </c>
      <c r="I1155" s="58">
        <f t="shared" si="73"/>
        <v>44590</v>
      </c>
      <c r="J1155" s="60">
        <f t="shared" si="72"/>
        <v>2022</v>
      </c>
      <c r="K1155" s="63" t="s">
        <v>362</v>
      </c>
      <c r="L1155" s="63" t="s">
        <v>362</v>
      </c>
      <c r="M1155" s="64">
        <v>20.738299999999999</v>
      </c>
    </row>
    <row r="1156" spans="1:13">
      <c r="A1156" s="65" t="s">
        <v>2612</v>
      </c>
      <c r="B1156" s="66">
        <f t="shared" si="70"/>
        <v>39843</v>
      </c>
      <c r="C1156" s="67">
        <f t="shared" si="71"/>
        <v>2009</v>
      </c>
      <c r="D1156" s="68">
        <v>14.309699999999999</v>
      </c>
      <c r="E1156" s="68">
        <v>14.1975</v>
      </c>
      <c r="F1156" s="68">
        <v>14.151300000000001</v>
      </c>
      <c r="H1156" s="69" t="s">
        <v>2613</v>
      </c>
      <c r="I1156" s="66">
        <f t="shared" si="73"/>
        <v>44591</v>
      </c>
      <c r="J1156" s="70">
        <f t="shared" si="72"/>
        <v>2022</v>
      </c>
      <c r="K1156" s="72" t="s">
        <v>362</v>
      </c>
      <c r="L1156" s="72" t="s">
        <v>362</v>
      </c>
      <c r="M1156" s="71">
        <v>20.738299999999999</v>
      </c>
    </row>
    <row r="1157" spans="1:13">
      <c r="A1157" s="57" t="s">
        <v>2614</v>
      </c>
      <c r="B1157" s="58">
        <f t="shared" si="70"/>
        <v>39844</v>
      </c>
      <c r="C1157" s="59">
        <f t="shared" si="71"/>
        <v>2009</v>
      </c>
      <c r="D1157" s="60" t="s">
        <v>362</v>
      </c>
      <c r="E1157" s="60" t="s">
        <v>362</v>
      </c>
      <c r="F1157" s="61">
        <v>14.1975</v>
      </c>
      <c r="H1157" s="62" t="s">
        <v>2615</v>
      </c>
      <c r="I1157" s="58">
        <f t="shared" si="73"/>
        <v>44592</v>
      </c>
      <c r="J1157" s="60">
        <f t="shared" si="72"/>
        <v>2022</v>
      </c>
      <c r="K1157" s="64">
        <v>20.635200000000001</v>
      </c>
      <c r="L1157" s="64">
        <v>20.8597</v>
      </c>
      <c r="M1157" s="64">
        <v>20.738299999999999</v>
      </c>
    </row>
    <row r="1158" spans="1:13">
      <c r="A1158" s="65" t="s">
        <v>2616</v>
      </c>
      <c r="B1158" s="66">
        <f t="shared" si="70"/>
        <v>39845</v>
      </c>
      <c r="C1158" s="67">
        <f t="shared" si="71"/>
        <v>2009</v>
      </c>
      <c r="D1158" s="70" t="s">
        <v>362</v>
      </c>
      <c r="E1158" s="70" t="s">
        <v>362</v>
      </c>
      <c r="F1158" s="68">
        <v>14.1975</v>
      </c>
      <c r="H1158" s="69" t="s">
        <v>2617</v>
      </c>
      <c r="I1158" s="66">
        <f t="shared" si="73"/>
        <v>44593</v>
      </c>
      <c r="J1158" s="70">
        <f t="shared" si="72"/>
        <v>2022</v>
      </c>
      <c r="K1158" s="71">
        <v>20.58</v>
      </c>
      <c r="L1158" s="71">
        <v>20.635200000000001</v>
      </c>
      <c r="M1158" s="71">
        <v>20.8597</v>
      </c>
    </row>
    <row r="1159" spans="1:13">
      <c r="A1159" s="57" t="s">
        <v>2618</v>
      </c>
      <c r="B1159" s="58">
        <f t="shared" si="70"/>
        <v>39846</v>
      </c>
      <c r="C1159" s="59">
        <f t="shared" si="71"/>
        <v>2009</v>
      </c>
      <c r="D1159" s="60" t="s">
        <v>362</v>
      </c>
      <c r="E1159" s="60" t="s">
        <v>362</v>
      </c>
      <c r="F1159" s="61">
        <v>14.1975</v>
      </c>
      <c r="H1159" s="62" t="s">
        <v>2619</v>
      </c>
      <c r="I1159" s="58">
        <f t="shared" si="73"/>
        <v>44594</v>
      </c>
      <c r="J1159" s="60">
        <f t="shared" si="72"/>
        <v>2022</v>
      </c>
      <c r="K1159" s="64">
        <v>20.600300000000001</v>
      </c>
      <c r="L1159" s="64">
        <v>20.58</v>
      </c>
      <c r="M1159" s="64">
        <v>20.635200000000001</v>
      </c>
    </row>
    <row r="1160" spans="1:13">
      <c r="A1160" s="65" t="s">
        <v>2620</v>
      </c>
      <c r="B1160" s="66">
        <f t="shared" si="70"/>
        <v>39847</v>
      </c>
      <c r="C1160" s="67">
        <f t="shared" si="71"/>
        <v>2009</v>
      </c>
      <c r="D1160" s="68">
        <v>14.5404</v>
      </c>
      <c r="E1160" s="68">
        <v>14.309699999999999</v>
      </c>
      <c r="F1160" s="68">
        <v>14.1975</v>
      </c>
      <c r="H1160" s="69" t="s">
        <v>2621</v>
      </c>
      <c r="I1160" s="66">
        <f t="shared" si="73"/>
        <v>44595</v>
      </c>
      <c r="J1160" s="70">
        <f t="shared" si="72"/>
        <v>2022</v>
      </c>
      <c r="K1160" s="71">
        <v>20.5562</v>
      </c>
      <c r="L1160" s="71">
        <v>20.600300000000001</v>
      </c>
      <c r="M1160" s="71">
        <v>20.58</v>
      </c>
    </row>
    <row r="1161" spans="1:13">
      <c r="A1161" s="57" t="s">
        <v>2622</v>
      </c>
      <c r="B1161" s="58">
        <f t="shared" si="70"/>
        <v>39848</v>
      </c>
      <c r="C1161" s="59">
        <f t="shared" si="71"/>
        <v>2009</v>
      </c>
      <c r="D1161" s="61">
        <v>14.466699999999999</v>
      </c>
      <c r="E1161" s="61">
        <v>14.5404</v>
      </c>
      <c r="F1161" s="61">
        <v>14.309699999999999</v>
      </c>
      <c r="H1161" s="62" t="s">
        <v>2623</v>
      </c>
      <c r="I1161" s="58">
        <f t="shared" si="73"/>
        <v>44596</v>
      </c>
      <c r="J1161" s="60">
        <f t="shared" si="72"/>
        <v>2022</v>
      </c>
      <c r="K1161" s="64">
        <v>20.732500000000002</v>
      </c>
      <c r="L1161" s="64">
        <v>20.5562</v>
      </c>
      <c r="M1161" s="64">
        <v>20.600300000000001</v>
      </c>
    </row>
    <row r="1162" spans="1:13">
      <c r="A1162" s="65" t="s">
        <v>2624</v>
      </c>
      <c r="B1162" s="66">
        <f t="shared" si="70"/>
        <v>39849</v>
      </c>
      <c r="C1162" s="67">
        <f t="shared" si="71"/>
        <v>2009</v>
      </c>
      <c r="D1162" s="68">
        <v>14.294499999999999</v>
      </c>
      <c r="E1162" s="68">
        <v>14.466699999999999</v>
      </c>
      <c r="F1162" s="68">
        <v>14.5404</v>
      </c>
      <c r="H1162" s="69" t="s">
        <v>2625</v>
      </c>
      <c r="I1162" s="66">
        <f t="shared" si="73"/>
        <v>44597</v>
      </c>
      <c r="J1162" s="70">
        <f t="shared" si="72"/>
        <v>2022</v>
      </c>
      <c r="K1162" s="72" t="s">
        <v>362</v>
      </c>
      <c r="L1162" s="72" t="s">
        <v>362</v>
      </c>
      <c r="M1162" s="71">
        <v>20.5562</v>
      </c>
    </row>
    <row r="1163" spans="1:13">
      <c r="A1163" s="57" t="s">
        <v>2626</v>
      </c>
      <c r="B1163" s="58">
        <f t="shared" si="70"/>
        <v>39850</v>
      </c>
      <c r="C1163" s="59">
        <f t="shared" si="71"/>
        <v>2009</v>
      </c>
      <c r="D1163" s="61">
        <v>14.1778</v>
      </c>
      <c r="E1163" s="61">
        <v>14.294499999999999</v>
      </c>
      <c r="F1163" s="61">
        <v>14.466699999999999</v>
      </c>
      <c r="H1163" s="62" t="s">
        <v>2627</v>
      </c>
      <c r="I1163" s="58">
        <f t="shared" si="73"/>
        <v>44598</v>
      </c>
      <c r="J1163" s="60">
        <f t="shared" si="72"/>
        <v>2022</v>
      </c>
      <c r="K1163" s="63" t="s">
        <v>362</v>
      </c>
      <c r="L1163" s="63" t="s">
        <v>362</v>
      </c>
      <c r="M1163" s="64">
        <v>20.5562</v>
      </c>
    </row>
    <row r="1164" spans="1:13">
      <c r="A1164" s="65" t="s">
        <v>2628</v>
      </c>
      <c r="B1164" s="66">
        <f t="shared" si="70"/>
        <v>39851</v>
      </c>
      <c r="C1164" s="67">
        <f t="shared" si="71"/>
        <v>2009</v>
      </c>
      <c r="D1164" s="70" t="s">
        <v>362</v>
      </c>
      <c r="E1164" s="70" t="s">
        <v>362</v>
      </c>
      <c r="F1164" s="68">
        <v>14.294499999999999</v>
      </c>
      <c r="H1164" s="69" t="s">
        <v>2629</v>
      </c>
      <c r="I1164" s="66">
        <f t="shared" si="73"/>
        <v>44599</v>
      </c>
      <c r="J1164" s="70">
        <f t="shared" si="72"/>
        <v>2022</v>
      </c>
      <c r="K1164" s="72" t="s">
        <v>362</v>
      </c>
      <c r="L1164" s="72" t="s">
        <v>362</v>
      </c>
      <c r="M1164" s="71">
        <v>20.5562</v>
      </c>
    </row>
    <row r="1165" spans="1:13">
      <c r="A1165" s="57" t="s">
        <v>2630</v>
      </c>
      <c r="B1165" s="58">
        <f t="shared" si="70"/>
        <v>39852</v>
      </c>
      <c r="C1165" s="59">
        <f t="shared" si="71"/>
        <v>2009</v>
      </c>
      <c r="D1165" s="60" t="s">
        <v>362</v>
      </c>
      <c r="E1165" s="60" t="s">
        <v>362</v>
      </c>
      <c r="F1165" s="61">
        <v>14.294499999999999</v>
      </c>
      <c r="H1165" s="62" t="s">
        <v>2631</v>
      </c>
      <c r="I1165" s="58">
        <f t="shared" si="73"/>
        <v>44600</v>
      </c>
      <c r="J1165" s="60">
        <f t="shared" si="72"/>
        <v>2022</v>
      </c>
      <c r="K1165" s="64">
        <v>20.641300000000001</v>
      </c>
      <c r="L1165" s="64">
        <v>20.732500000000002</v>
      </c>
      <c r="M1165" s="64">
        <v>20.5562</v>
      </c>
    </row>
    <row r="1166" spans="1:13">
      <c r="A1166" s="65" t="s">
        <v>2632</v>
      </c>
      <c r="B1166" s="66">
        <f t="shared" si="70"/>
        <v>39853</v>
      </c>
      <c r="C1166" s="67">
        <f t="shared" si="71"/>
        <v>2009</v>
      </c>
      <c r="D1166" s="68">
        <v>14.139200000000001</v>
      </c>
      <c r="E1166" s="68">
        <v>14.1778</v>
      </c>
      <c r="F1166" s="68">
        <v>14.294499999999999</v>
      </c>
      <c r="H1166" s="69" t="s">
        <v>2633</v>
      </c>
      <c r="I1166" s="66">
        <f t="shared" si="73"/>
        <v>44601</v>
      </c>
      <c r="J1166" s="70">
        <f t="shared" si="72"/>
        <v>2022</v>
      </c>
      <c r="K1166" s="71">
        <v>20.500800000000002</v>
      </c>
      <c r="L1166" s="71">
        <v>20.641300000000001</v>
      </c>
      <c r="M1166" s="71">
        <v>20.732500000000002</v>
      </c>
    </row>
    <row r="1167" spans="1:13">
      <c r="A1167" s="57" t="s">
        <v>2634</v>
      </c>
      <c r="B1167" s="58">
        <f t="shared" si="70"/>
        <v>39854</v>
      </c>
      <c r="C1167" s="59">
        <f t="shared" si="71"/>
        <v>2009</v>
      </c>
      <c r="D1167" s="61">
        <v>14.3575</v>
      </c>
      <c r="E1167" s="61">
        <v>14.139200000000001</v>
      </c>
      <c r="F1167" s="61">
        <v>14.1778</v>
      </c>
      <c r="H1167" s="62" t="s">
        <v>2635</v>
      </c>
      <c r="I1167" s="58">
        <f t="shared" si="73"/>
        <v>44602</v>
      </c>
      <c r="J1167" s="60">
        <f t="shared" si="72"/>
        <v>2022</v>
      </c>
      <c r="K1167" s="64">
        <v>20.4148</v>
      </c>
      <c r="L1167" s="64">
        <v>20.500800000000002</v>
      </c>
      <c r="M1167" s="64">
        <v>20.641300000000001</v>
      </c>
    </row>
    <row r="1168" spans="1:13">
      <c r="A1168" s="65" t="s">
        <v>2636</v>
      </c>
      <c r="B1168" s="66">
        <f t="shared" si="70"/>
        <v>39855</v>
      </c>
      <c r="C1168" s="67">
        <f t="shared" si="71"/>
        <v>2009</v>
      </c>
      <c r="D1168" s="68">
        <v>14.5313</v>
      </c>
      <c r="E1168" s="68">
        <v>14.3575</v>
      </c>
      <c r="F1168" s="68">
        <v>14.139200000000001</v>
      </c>
      <c r="H1168" s="69" t="s">
        <v>2637</v>
      </c>
      <c r="I1168" s="66">
        <f t="shared" si="73"/>
        <v>44603</v>
      </c>
      <c r="J1168" s="70">
        <f t="shared" si="72"/>
        <v>2022</v>
      </c>
      <c r="K1168" s="71">
        <v>20.418800000000001</v>
      </c>
      <c r="L1168" s="71">
        <v>20.4148</v>
      </c>
      <c r="M1168" s="71">
        <v>20.500800000000002</v>
      </c>
    </row>
    <row r="1169" spans="1:13">
      <c r="A1169" s="57" t="s">
        <v>2638</v>
      </c>
      <c r="B1169" s="58">
        <f t="shared" si="70"/>
        <v>39856</v>
      </c>
      <c r="C1169" s="59">
        <f t="shared" si="71"/>
        <v>2009</v>
      </c>
      <c r="D1169" s="61">
        <v>14.6013</v>
      </c>
      <c r="E1169" s="61">
        <v>14.5313</v>
      </c>
      <c r="F1169" s="61">
        <v>14.3575</v>
      </c>
      <c r="H1169" s="62" t="s">
        <v>2639</v>
      </c>
      <c r="I1169" s="58">
        <f t="shared" si="73"/>
        <v>44604</v>
      </c>
      <c r="J1169" s="60">
        <f t="shared" si="72"/>
        <v>2022</v>
      </c>
      <c r="K1169" s="63" t="s">
        <v>362</v>
      </c>
      <c r="L1169" s="63" t="s">
        <v>362</v>
      </c>
      <c r="M1169" s="64">
        <v>20.4148</v>
      </c>
    </row>
    <row r="1170" spans="1:13">
      <c r="A1170" s="65" t="s">
        <v>2640</v>
      </c>
      <c r="B1170" s="66">
        <f t="shared" si="70"/>
        <v>39857</v>
      </c>
      <c r="C1170" s="67">
        <f t="shared" si="71"/>
        <v>2009</v>
      </c>
      <c r="D1170" s="68">
        <v>14.432600000000001</v>
      </c>
      <c r="E1170" s="68">
        <v>14.6013</v>
      </c>
      <c r="F1170" s="68">
        <v>14.5313</v>
      </c>
      <c r="H1170" s="69" t="s">
        <v>2641</v>
      </c>
      <c r="I1170" s="66">
        <f t="shared" si="73"/>
        <v>44605</v>
      </c>
      <c r="J1170" s="70">
        <f t="shared" si="72"/>
        <v>2022</v>
      </c>
      <c r="K1170" s="72" t="s">
        <v>362</v>
      </c>
      <c r="L1170" s="72" t="s">
        <v>362</v>
      </c>
      <c r="M1170" s="71">
        <v>20.4148</v>
      </c>
    </row>
    <row r="1171" spans="1:13">
      <c r="A1171" s="57" t="s">
        <v>2642</v>
      </c>
      <c r="B1171" s="58">
        <f t="shared" si="70"/>
        <v>39858</v>
      </c>
      <c r="C1171" s="59">
        <f t="shared" si="71"/>
        <v>2009</v>
      </c>
      <c r="D1171" s="60" t="s">
        <v>362</v>
      </c>
      <c r="E1171" s="60" t="s">
        <v>362</v>
      </c>
      <c r="F1171" s="61">
        <v>14.6013</v>
      </c>
      <c r="H1171" s="62" t="s">
        <v>2643</v>
      </c>
      <c r="I1171" s="58">
        <f t="shared" si="73"/>
        <v>44606</v>
      </c>
      <c r="J1171" s="60">
        <f t="shared" si="72"/>
        <v>2022</v>
      </c>
      <c r="K1171" s="64">
        <v>20.411000000000001</v>
      </c>
      <c r="L1171" s="64">
        <v>20.418800000000001</v>
      </c>
      <c r="M1171" s="64">
        <v>20.4148</v>
      </c>
    </row>
    <row r="1172" spans="1:13">
      <c r="A1172" s="65" t="s">
        <v>2644</v>
      </c>
      <c r="B1172" s="66">
        <f t="shared" si="70"/>
        <v>39859</v>
      </c>
      <c r="C1172" s="67">
        <f t="shared" si="71"/>
        <v>2009</v>
      </c>
      <c r="D1172" s="70" t="s">
        <v>362</v>
      </c>
      <c r="E1172" s="70" t="s">
        <v>362</v>
      </c>
      <c r="F1172" s="68">
        <v>14.6013</v>
      </c>
      <c r="H1172" s="69" t="s">
        <v>2645</v>
      </c>
      <c r="I1172" s="66">
        <f t="shared" si="73"/>
        <v>44607</v>
      </c>
      <c r="J1172" s="70">
        <f t="shared" si="72"/>
        <v>2022</v>
      </c>
      <c r="K1172" s="71">
        <v>20.3992</v>
      </c>
      <c r="L1172" s="71">
        <v>20.411000000000001</v>
      </c>
      <c r="M1172" s="71">
        <v>20.418800000000001</v>
      </c>
    </row>
    <row r="1173" spans="1:13">
      <c r="A1173" s="57" t="s">
        <v>2646</v>
      </c>
      <c r="B1173" s="58">
        <f t="shared" si="70"/>
        <v>39860</v>
      </c>
      <c r="C1173" s="59">
        <f t="shared" si="71"/>
        <v>2009</v>
      </c>
      <c r="D1173" s="61">
        <v>14.5288</v>
      </c>
      <c r="E1173" s="61">
        <v>14.432600000000001</v>
      </c>
      <c r="F1173" s="61">
        <v>14.6013</v>
      </c>
      <c r="H1173" s="62" t="s">
        <v>2647</v>
      </c>
      <c r="I1173" s="58">
        <f t="shared" si="73"/>
        <v>44608</v>
      </c>
      <c r="J1173" s="60">
        <f t="shared" si="72"/>
        <v>2022</v>
      </c>
      <c r="K1173" s="64">
        <v>20.333500000000001</v>
      </c>
      <c r="L1173" s="64">
        <v>20.3992</v>
      </c>
      <c r="M1173" s="64">
        <v>20.411000000000001</v>
      </c>
    </row>
    <row r="1174" spans="1:13">
      <c r="A1174" s="65" t="s">
        <v>2648</v>
      </c>
      <c r="B1174" s="66">
        <f t="shared" si="70"/>
        <v>39861</v>
      </c>
      <c r="C1174" s="67">
        <f t="shared" si="71"/>
        <v>2009</v>
      </c>
      <c r="D1174" s="68">
        <v>14.611800000000001</v>
      </c>
      <c r="E1174" s="68">
        <v>14.5288</v>
      </c>
      <c r="F1174" s="68">
        <v>14.432600000000001</v>
      </c>
      <c r="H1174" s="69" t="s">
        <v>2649</v>
      </c>
      <c r="I1174" s="66">
        <f t="shared" si="73"/>
        <v>44609</v>
      </c>
      <c r="J1174" s="70">
        <f t="shared" si="72"/>
        <v>2022</v>
      </c>
      <c r="K1174" s="71">
        <v>20.297799999999999</v>
      </c>
      <c r="L1174" s="71">
        <v>20.333500000000001</v>
      </c>
      <c r="M1174" s="71">
        <v>20.3992</v>
      </c>
    </row>
    <row r="1175" spans="1:13">
      <c r="A1175" s="57" t="s">
        <v>2650</v>
      </c>
      <c r="B1175" s="58">
        <f t="shared" si="70"/>
        <v>39862</v>
      </c>
      <c r="C1175" s="59">
        <f t="shared" si="71"/>
        <v>2009</v>
      </c>
      <c r="D1175" s="61">
        <v>14.672499999999999</v>
      </c>
      <c r="E1175" s="61">
        <v>14.611800000000001</v>
      </c>
      <c r="F1175" s="61">
        <v>14.5288</v>
      </c>
      <c r="H1175" s="62" t="s">
        <v>2651</v>
      </c>
      <c r="I1175" s="58">
        <f t="shared" si="73"/>
        <v>44610</v>
      </c>
      <c r="J1175" s="60">
        <f t="shared" si="72"/>
        <v>2022</v>
      </c>
      <c r="K1175" s="64">
        <v>20.3063</v>
      </c>
      <c r="L1175" s="64">
        <v>20.297799999999999</v>
      </c>
      <c r="M1175" s="64">
        <v>20.333500000000001</v>
      </c>
    </row>
    <row r="1176" spans="1:13">
      <c r="A1176" s="65" t="s">
        <v>2652</v>
      </c>
      <c r="B1176" s="66">
        <f t="shared" si="70"/>
        <v>39863</v>
      </c>
      <c r="C1176" s="67">
        <f t="shared" si="71"/>
        <v>2009</v>
      </c>
      <c r="D1176" s="68">
        <v>14.5505</v>
      </c>
      <c r="E1176" s="68">
        <v>14.672499999999999</v>
      </c>
      <c r="F1176" s="68">
        <v>14.611800000000001</v>
      </c>
      <c r="H1176" s="69" t="s">
        <v>2653</v>
      </c>
      <c r="I1176" s="66">
        <f t="shared" si="73"/>
        <v>44611</v>
      </c>
      <c r="J1176" s="70">
        <f t="shared" si="72"/>
        <v>2022</v>
      </c>
      <c r="K1176" s="72" t="s">
        <v>362</v>
      </c>
      <c r="L1176" s="72" t="s">
        <v>362</v>
      </c>
      <c r="M1176" s="71">
        <v>20.297799999999999</v>
      </c>
    </row>
    <row r="1177" spans="1:13">
      <c r="A1177" s="57" t="s">
        <v>2654</v>
      </c>
      <c r="B1177" s="58">
        <f t="shared" si="70"/>
        <v>39864</v>
      </c>
      <c r="C1177" s="59">
        <f t="shared" si="71"/>
        <v>2009</v>
      </c>
      <c r="D1177" s="61">
        <v>14.8163</v>
      </c>
      <c r="E1177" s="61">
        <v>14.5505</v>
      </c>
      <c r="F1177" s="61">
        <v>14.672499999999999</v>
      </c>
      <c r="H1177" s="62" t="s">
        <v>2655</v>
      </c>
      <c r="I1177" s="58">
        <f t="shared" si="73"/>
        <v>44612</v>
      </c>
      <c r="J1177" s="60">
        <f t="shared" si="72"/>
        <v>2022</v>
      </c>
      <c r="K1177" s="63" t="s">
        <v>362</v>
      </c>
      <c r="L1177" s="63" t="s">
        <v>362</v>
      </c>
      <c r="M1177" s="64">
        <v>20.297799999999999</v>
      </c>
    </row>
    <row r="1178" spans="1:13">
      <c r="A1178" s="65" t="s">
        <v>2656</v>
      </c>
      <c r="B1178" s="66">
        <f t="shared" si="70"/>
        <v>39865</v>
      </c>
      <c r="C1178" s="67">
        <f t="shared" si="71"/>
        <v>2009</v>
      </c>
      <c r="D1178" s="70" t="s">
        <v>362</v>
      </c>
      <c r="E1178" s="70" t="s">
        <v>362</v>
      </c>
      <c r="F1178" s="68">
        <v>14.5505</v>
      </c>
      <c r="H1178" s="69" t="s">
        <v>2657</v>
      </c>
      <c r="I1178" s="66">
        <f t="shared" si="73"/>
        <v>44613</v>
      </c>
      <c r="J1178" s="70">
        <f t="shared" si="72"/>
        <v>2022</v>
      </c>
      <c r="K1178" s="71">
        <v>20.282499999999999</v>
      </c>
      <c r="L1178" s="71">
        <v>20.3063</v>
      </c>
      <c r="M1178" s="71">
        <v>20.297799999999999</v>
      </c>
    </row>
    <row r="1179" spans="1:13">
      <c r="A1179" s="57" t="s">
        <v>2658</v>
      </c>
      <c r="B1179" s="58">
        <f t="shared" si="70"/>
        <v>39866</v>
      </c>
      <c r="C1179" s="59">
        <f t="shared" si="71"/>
        <v>2009</v>
      </c>
      <c r="D1179" s="60" t="s">
        <v>362</v>
      </c>
      <c r="E1179" s="60" t="s">
        <v>362</v>
      </c>
      <c r="F1179" s="61">
        <v>14.5505</v>
      </c>
      <c r="H1179" s="62" t="s">
        <v>2659</v>
      </c>
      <c r="I1179" s="58">
        <f t="shared" si="73"/>
        <v>44614</v>
      </c>
      <c r="J1179" s="60">
        <f t="shared" si="72"/>
        <v>2022</v>
      </c>
      <c r="K1179" s="64">
        <v>20.297699999999999</v>
      </c>
      <c r="L1179" s="64">
        <v>20.282499999999999</v>
      </c>
      <c r="M1179" s="64">
        <v>20.3063</v>
      </c>
    </row>
    <row r="1180" spans="1:13">
      <c r="A1180" s="65" t="s">
        <v>2660</v>
      </c>
      <c r="B1180" s="66">
        <f t="shared" si="70"/>
        <v>39867</v>
      </c>
      <c r="C1180" s="67">
        <f t="shared" si="71"/>
        <v>2009</v>
      </c>
      <c r="D1180" s="68">
        <v>14.8528</v>
      </c>
      <c r="E1180" s="68">
        <v>14.8163</v>
      </c>
      <c r="F1180" s="68">
        <v>14.5505</v>
      </c>
      <c r="H1180" s="69" t="s">
        <v>2661</v>
      </c>
      <c r="I1180" s="66">
        <f t="shared" si="73"/>
        <v>44615</v>
      </c>
      <c r="J1180" s="70">
        <f t="shared" si="72"/>
        <v>2022</v>
      </c>
      <c r="K1180" s="71">
        <v>20.243500000000001</v>
      </c>
      <c r="L1180" s="71">
        <v>20.297699999999999</v>
      </c>
      <c r="M1180" s="71">
        <v>20.282499999999999</v>
      </c>
    </row>
    <row r="1181" spans="1:13">
      <c r="A1181" s="57" t="s">
        <v>2662</v>
      </c>
      <c r="B1181" s="58">
        <f t="shared" si="70"/>
        <v>39868</v>
      </c>
      <c r="C1181" s="59">
        <f t="shared" si="71"/>
        <v>2009</v>
      </c>
      <c r="D1181" s="61">
        <v>14.832700000000001</v>
      </c>
      <c r="E1181" s="61">
        <v>14.8528</v>
      </c>
      <c r="F1181" s="61">
        <v>14.8163</v>
      </c>
      <c r="H1181" s="62" t="s">
        <v>2663</v>
      </c>
      <c r="I1181" s="58">
        <f t="shared" si="73"/>
        <v>44616</v>
      </c>
      <c r="J1181" s="60">
        <f t="shared" si="72"/>
        <v>2022</v>
      </c>
      <c r="K1181" s="64">
        <v>20.6525</v>
      </c>
      <c r="L1181" s="64">
        <v>20.243500000000001</v>
      </c>
      <c r="M1181" s="64">
        <v>20.297699999999999</v>
      </c>
    </row>
    <row r="1182" spans="1:13">
      <c r="A1182" s="65" t="s">
        <v>2664</v>
      </c>
      <c r="B1182" s="66">
        <f t="shared" si="70"/>
        <v>39869</v>
      </c>
      <c r="C1182" s="67">
        <f t="shared" si="71"/>
        <v>2009</v>
      </c>
      <c r="D1182" s="68">
        <v>14.9275</v>
      </c>
      <c r="E1182" s="68">
        <v>14.832700000000001</v>
      </c>
      <c r="F1182" s="68">
        <v>14.8528</v>
      </c>
      <c r="H1182" s="69" t="s">
        <v>2665</v>
      </c>
      <c r="I1182" s="66">
        <f t="shared" si="73"/>
        <v>44617</v>
      </c>
      <c r="J1182" s="70">
        <f t="shared" si="72"/>
        <v>2022</v>
      </c>
      <c r="K1182" s="71">
        <v>20.4465</v>
      </c>
      <c r="L1182" s="71">
        <v>20.6525</v>
      </c>
      <c r="M1182" s="71">
        <v>20.243500000000001</v>
      </c>
    </row>
    <row r="1183" spans="1:13">
      <c r="A1183" s="57" t="s">
        <v>2666</v>
      </c>
      <c r="B1183" s="58">
        <f t="shared" ref="B1183:B1246" si="74">DATE(RIGHT(A1183,4),LEFT(RIGHT(A1183,7),2),LEFT(A1183,2))</f>
        <v>39870</v>
      </c>
      <c r="C1183" s="59">
        <f t="shared" ref="C1183:C1246" si="75">YEAR(B1183)</f>
        <v>2009</v>
      </c>
      <c r="D1183" s="61">
        <v>14.9322</v>
      </c>
      <c r="E1183" s="61">
        <v>14.9275</v>
      </c>
      <c r="F1183" s="61">
        <v>14.832700000000001</v>
      </c>
      <c r="H1183" s="62" t="s">
        <v>2667</v>
      </c>
      <c r="I1183" s="58">
        <f t="shared" si="73"/>
        <v>44618</v>
      </c>
      <c r="J1183" s="60">
        <f t="shared" ref="J1183:J1246" si="76">YEAR(I1183)</f>
        <v>2022</v>
      </c>
      <c r="K1183" s="63" t="s">
        <v>362</v>
      </c>
      <c r="L1183" s="63" t="s">
        <v>362</v>
      </c>
      <c r="M1183" s="64">
        <v>20.6525</v>
      </c>
    </row>
    <row r="1184" spans="1:13">
      <c r="A1184" s="65" t="s">
        <v>2668</v>
      </c>
      <c r="B1184" s="66">
        <f t="shared" si="74"/>
        <v>39871</v>
      </c>
      <c r="C1184" s="67">
        <f t="shared" si="75"/>
        <v>2009</v>
      </c>
      <c r="D1184" s="68">
        <v>15.069800000000001</v>
      </c>
      <c r="E1184" s="68">
        <v>14.9322</v>
      </c>
      <c r="F1184" s="68">
        <v>14.9275</v>
      </c>
      <c r="H1184" s="69" t="s">
        <v>2669</v>
      </c>
      <c r="I1184" s="66">
        <f t="shared" ref="I1184:I1247" si="77">DATE(RIGHT(H1184,4),LEFT(RIGHT(A1184,7),2),LEFT(A1184,2))</f>
        <v>44619</v>
      </c>
      <c r="J1184" s="70">
        <f t="shared" si="76"/>
        <v>2022</v>
      </c>
      <c r="K1184" s="72" t="s">
        <v>362</v>
      </c>
      <c r="L1184" s="72" t="s">
        <v>362</v>
      </c>
      <c r="M1184" s="71">
        <v>20.6525</v>
      </c>
    </row>
    <row r="1185" spans="1:13">
      <c r="A1185" s="57" t="s">
        <v>2670</v>
      </c>
      <c r="B1185" s="58">
        <f t="shared" si="74"/>
        <v>39872</v>
      </c>
      <c r="C1185" s="59">
        <f t="shared" si="75"/>
        <v>2009</v>
      </c>
      <c r="D1185" s="60" t="s">
        <v>362</v>
      </c>
      <c r="E1185" s="60" t="s">
        <v>362</v>
      </c>
      <c r="F1185" s="61">
        <v>14.9322</v>
      </c>
      <c r="H1185" s="62" t="s">
        <v>2671</v>
      </c>
      <c r="I1185" s="58">
        <f t="shared" si="77"/>
        <v>44620</v>
      </c>
      <c r="J1185" s="60">
        <f t="shared" si="76"/>
        <v>2022</v>
      </c>
      <c r="K1185" s="64">
        <v>20.425699999999999</v>
      </c>
      <c r="L1185" s="64">
        <v>20.4465</v>
      </c>
      <c r="M1185" s="64">
        <v>20.6525</v>
      </c>
    </row>
    <row r="1186" spans="1:13">
      <c r="A1186" s="65" t="s">
        <v>2672</v>
      </c>
      <c r="B1186" s="66">
        <f t="shared" si="74"/>
        <v>39873</v>
      </c>
      <c r="C1186" s="67">
        <f t="shared" si="75"/>
        <v>2009</v>
      </c>
      <c r="D1186" s="70" t="s">
        <v>362</v>
      </c>
      <c r="E1186" s="70" t="s">
        <v>362</v>
      </c>
      <c r="F1186" s="68">
        <v>14.9322</v>
      </c>
      <c r="H1186" s="69" t="s">
        <v>2673</v>
      </c>
      <c r="I1186" s="66">
        <f t="shared" si="77"/>
        <v>44621</v>
      </c>
      <c r="J1186" s="70">
        <f t="shared" si="76"/>
        <v>2022</v>
      </c>
      <c r="K1186" s="71">
        <v>20.527200000000001</v>
      </c>
      <c r="L1186" s="71">
        <v>20.425699999999999</v>
      </c>
      <c r="M1186" s="71">
        <v>20.4465</v>
      </c>
    </row>
    <row r="1187" spans="1:13">
      <c r="A1187" s="57" t="s">
        <v>2674</v>
      </c>
      <c r="B1187" s="58">
        <f t="shared" si="74"/>
        <v>39874</v>
      </c>
      <c r="C1187" s="59">
        <f t="shared" si="75"/>
        <v>2009</v>
      </c>
      <c r="D1187" s="61">
        <v>15.365</v>
      </c>
      <c r="E1187" s="61">
        <v>15.069800000000001</v>
      </c>
      <c r="F1187" s="61">
        <v>14.9322</v>
      </c>
      <c r="H1187" s="62" t="s">
        <v>2675</v>
      </c>
      <c r="I1187" s="58">
        <f t="shared" si="77"/>
        <v>44622</v>
      </c>
      <c r="J1187" s="60">
        <f t="shared" si="76"/>
        <v>2022</v>
      </c>
      <c r="K1187" s="64">
        <v>20.7193</v>
      </c>
      <c r="L1187" s="64">
        <v>20.527200000000001</v>
      </c>
      <c r="M1187" s="64">
        <v>20.425699999999999</v>
      </c>
    </row>
    <row r="1188" spans="1:13">
      <c r="A1188" s="65" t="s">
        <v>2676</v>
      </c>
      <c r="B1188" s="66">
        <f t="shared" si="74"/>
        <v>39875</v>
      </c>
      <c r="C1188" s="67">
        <f t="shared" si="75"/>
        <v>2009</v>
      </c>
      <c r="D1188" s="68">
        <v>15.337199999999999</v>
      </c>
      <c r="E1188" s="68">
        <v>15.365</v>
      </c>
      <c r="F1188" s="68">
        <v>15.069800000000001</v>
      </c>
      <c r="H1188" s="69" t="s">
        <v>2677</v>
      </c>
      <c r="I1188" s="66">
        <f t="shared" si="77"/>
        <v>44623</v>
      </c>
      <c r="J1188" s="70">
        <f t="shared" si="76"/>
        <v>2022</v>
      </c>
      <c r="K1188" s="71">
        <v>20.703299999999999</v>
      </c>
      <c r="L1188" s="71">
        <v>20.7193</v>
      </c>
      <c r="M1188" s="71">
        <v>20.527200000000001</v>
      </c>
    </row>
    <row r="1189" spans="1:13">
      <c r="A1189" s="57" t="s">
        <v>2678</v>
      </c>
      <c r="B1189" s="58">
        <f t="shared" si="74"/>
        <v>39876</v>
      </c>
      <c r="C1189" s="59">
        <f t="shared" si="75"/>
        <v>2009</v>
      </c>
      <c r="D1189" s="61">
        <v>15.2178</v>
      </c>
      <c r="E1189" s="61">
        <v>15.337199999999999</v>
      </c>
      <c r="F1189" s="61">
        <v>15.365</v>
      </c>
      <c r="H1189" s="62" t="s">
        <v>2679</v>
      </c>
      <c r="I1189" s="58">
        <f t="shared" si="77"/>
        <v>44624</v>
      </c>
      <c r="J1189" s="60">
        <f t="shared" si="76"/>
        <v>2022</v>
      </c>
      <c r="K1189" s="64">
        <v>20.926200000000001</v>
      </c>
      <c r="L1189" s="64">
        <v>20.703299999999999</v>
      </c>
      <c r="M1189" s="64">
        <v>20.7193</v>
      </c>
    </row>
    <row r="1190" spans="1:13">
      <c r="A1190" s="65" t="s">
        <v>2680</v>
      </c>
      <c r="B1190" s="66">
        <f t="shared" si="74"/>
        <v>39877</v>
      </c>
      <c r="C1190" s="67">
        <f t="shared" si="75"/>
        <v>2009</v>
      </c>
      <c r="D1190" s="68">
        <v>15.285500000000001</v>
      </c>
      <c r="E1190" s="68">
        <v>15.2178</v>
      </c>
      <c r="F1190" s="68">
        <v>15.337199999999999</v>
      </c>
      <c r="H1190" s="69" t="s">
        <v>2681</v>
      </c>
      <c r="I1190" s="66">
        <f t="shared" si="77"/>
        <v>44625</v>
      </c>
      <c r="J1190" s="70">
        <f t="shared" si="76"/>
        <v>2022</v>
      </c>
      <c r="K1190" s="72" t="s">
        <v>362</v>
      </c>
      <c r="L1190" s="72" t="s">
        <v>362</v>
      </c>
      <c r="M1190" s="71">
        <v>20.703299999999999</v>
      </c>
    </row>
    <row r="1191" spans="1:13">
      <c r="A1191" s="57" t="s">
        <v>2682</v>
      </c>
      <c r="B1191" s="58">
        <f t="shared" si="74"/>
        <v>39878</v>
      </c>
      <c r="C1191" s="59">
        <f t="shared" si="75"/>
        <v>2009</v>
      </c>
      <c r="D1191" s="61">
        <v>15.263299999999999</v>
      </c>
      <c r="E1191" s="61">
        <v>15.285500000000001</v>
      </c>
      <c r="F1191" s="61">
        <v>15.2178</v>
      </c>
      <c r="H1191" s="62" t="s">
        <v>2683</v>
      </c>
      <c r="I1191" s="58">
        <f t="shared" si="77"/>
        <v>44626</v>
      </c>
      <c r="J1191" s="60">
        <f t="shared" si="76"/>
        <v>2022</v>
      </c>
      <c r="K1191" s="63" t="s">
        <v>362</v>
      </c>
      <c r="L1191" s="63" t="s">
        <v>362</v>
      </c>
      <c r="M1191" s="64">
        <v>20.703299999999999</v>
      </c>
    </row>
    <row r="1192" spans="1:13">
      <c r="A1192" s="65" t="s">
        <v>2684</v>
      </c>
      <c r="B1192" s="66">
        <f t="shared" si="74"/>
        <v>39879</v>
      </c>
      <c r="C1192" s="67">
        <f t="shared" si="75"/>
        <v>2009</v>
      </c>
      <c r="D1192" s="70" t="s">
        <v>362</v>
      </c>
      <c r="E1192" s="70" t="s">
        <v>362</v>
      </c>
      <c r="F1192" s="68">
        <v>15.285500000000001</v>
      </c>
      <c r="H1192" s="69" t="s">
        <v>2685</v>
      </c>
      <c r="I1192" s="66">
        <f t="shared" si="77"/>
        <v>44627</v>
      </c>
      <c r="J1192" s="70">
        <f t="shared" si="76"/>
        <v>2022</v>
      </c>
      <c r="K1192" s="71">
        <v>21.194700000000001</v>
      </c>
      <c r="L1192" s="71">
        <v>20.926200000000001</v>
      </c>
      <c r="M1192" s="71">
        <v>20.703299999999999</v>
      </c>
    </row>
    <row r="1193" spans="1:13">
      <c r="A1193" s="57" t="s">
        <v>2686</v>
      </c>
      <c r="B1193" s="58">
        <f t="shared" si="74"/>
        <v>39880</v>
      </c>
      <c r="C1193" s="59">
        <f t="shared" si="75"/>
        <v>2009</v>
      </c>
      <c r="D1193" s="60" t="s">
        <v>362</v>
      </c>
      <c r="E1193" s="60" t="s">
        <v>362</v>
      </c>
      <c r="F1193" s="61">
        <v>15.285500000000001</v>
      </c>
      <c r="H1193" s="62" t="s">
        <v>2687</v>
      </c>
      <c r="I1193" s="58">
        <f t="shared" si="77"/>
        <v>44628</v>
      </c>
      <c r="J1193" s="60">
        <f t="shared" si="76"/>
        <v>2022</v>
      </c>
      <c r="K1193" s="64">
        <v>21.377500000000001</v>
      </c>
      <c r="L1193" s="64">
        <v>21.194700000000001</v>
      </c>
      <c r="M1193" s="64">
        <v>20.926200000000001</v>
      </c>
    </row>
    <row r="1194" spans="1:13">
      <c r="A1194" s="65" t="s">
        <v>2688</v>
      </c>
      <c r="B1194" s="66">
        <f t="shared" si="74"/>
        <v>39881</v>
      </c>
      <c r="C1194" s="67">
        <f t="shared" si="75"/>
        <v>2009</v>
      </c>
      <c r="D1194" s="68">
        <v>15.351699999999999</v>
      </c>
      <c r="E1194" s="68">
        <v>15.263299999999999</v>
      </c>
      <c r="F1194" s="68">
        <v>15.285500000000001</v>
      </c>
      <c r="H1194" s="69" t="s">
        <v>2689</v>
      </c>
      <c r="I1194" s="66">
        <f t="shared" si="77"/>
        <v>44629</v>
      </c>
      <c r="J1194" s="70">
        <f t="shared" si="76"/>
        <v>2022</v>
      </c>
      <c r="K1194" s="71">
        <v>20.967700000000001</v>
      </c>
      <c r="L1194" s="71">
        <v>21.377500000000001</v>
      </c>
      <c r="M1194" s="71">
        <v>21.194700000000001</v>
      </c>
    </row>
    <row r="1195" spans="1:13">
      <c r="A1195" s="57" t="s">
        <v>2690</v>
      </c>
      <c r="B1195" s="58">
        <f t="shared" si="74"/>
        <v>39882</v>
      </c>
      <c r="C1195" s="59">
        <f t="shared" si="75"/>
        <v>2009</v>
      </c>
      <c r="D1195" s="61">
        <v>15.3142</v>
      </c>
      <c r="E1195" s="61">
        <v>15.351699999999999</v>
      </c>
      <c r="F1195" s="61">
        <v>15.263299999999999</v>
      </c>
      <c r="H1195" s="62" t="s">
        <v>2691</v>
      </c>
      <c r="I1195" s="58">
        <f t="shared" si="77"/>
        <v>44630</v>
      </c>
      <c r="J1195" s="60">
        <f t="shared" si="76"/>
        <v>2022</v>
      </c>
      <c r="K1195" s="64">
        <v>20.974299999999999</v>
      </c>
      <c r="L1195" s="64">
        <v>20.967700000000001</v>
      </c>
      <c r="M1195" s="64">
        <v>21.377500000000001</v>
      </c>
    </row>
    <row r="1196" spans="1:13">
      <c r="A1196" s="65" t="s">
        <v>2692</v>
      </c>
      <c r="B1196" s="66">
        <f t="shared" si="74"/>
        <v>39883</v>
      </c>
      <c r="C1196" s="67">
        <f t="shared" si="75"/>
        <v>2009</v>
      </c>
      <c r="D1196" s="68">
        <v>15.1145</v>
      </c>
      <c r="E1196" s="68">
        <v>15.3142</v>
      </c>
      <c r="F1196" s="68">
        <v>15.351699999999999</v>
      </c>
      <c r="H1196" s="69" t="s">
        <v>2693</v>
      </c>
      <c r="I1196" s="66">
        <f t="shared" si="77"/>
        <v>44631</v>
      </c>
      <c r="J1196" s="70">
        <f t="shared" si="76"/>
        <v>2022</v>
      </c>
      <c r="K1196" s="71">
        <v>20.9695</v>
      </c>
      <c r="L1196" s="71">
        <v>20.974299999999999</v>
      </c>
      <c r="M1196" s="71">
        <v>20.967700000000001</v>
      </c>
    </row>
    <row r="1197" spans="1:13">
      <c r="A1197" s="57" t="s">
        <v>2694</v>
      </c>
      <c r="B1197" s="58">
        <f t="shared" si="74"/>
        <v>39884</v>
      </c>
      <c r="C1197" s="59">
        <f t="shared" si="75"/>
        <v>2009</v>
      </c>
      <c r="D1197" s="61">
        <v>14.908300000000001</v>
      </c>
      <c r="E1197" s="61">
        <v>15.1145</v>
      </c>
      <c r="F1197" s="61">
        <v>15.3142</v>
      </c>
      <c r="H1197" s="62" t="s">
        <v>2695</v>
      </c>
      <c r="I1197" s="58">
        <f t="shared" si="77"/>
        <v>44632</v>
      </c>
      <c r="J1197" s="60">
        <f t="shared" si="76"/>
        <v>2022</v>
      </c>
      <c r="K1197" s="63" t="s">
        <v>362</v>
      </c>
      <c r="L1197" s="63" t="s">
        <v>362</v>
      </c>
      <c r="M1197" s="64">
        <v>20.974299999999999</v>
      </c>
    </row>
    <row r="1198" spans="1:13">
      <c r="A1198" s="65" t="s">
        <v>2696</v>
      </c>
      <c r="B1198" s="66">
        <f t="shared" si="74"/>
        <v>39885</v>
      </c>
      <c r="C1198" s="67">
        <f t="shared" si="75"/>
        <v>2009</v>
      </c>
      <c r="D1198" s="68">
        <v>14.569000000000001</v>
      </c>
      <c r="E1198" s="68">
        <v>14.908300000000001</v>
      </c>
      <c r="F1198" s="68">
        <v>15.1145</v>
      </c>
      <c r="H1198" s="69" t="s">
        <v>2697</v>
      </c>
      <c r="I1198" s="66">
        <f t="shared" si="77"/>
        <v>44633</v>
      </c>
      <c r="J1198" s="70">
        <f t="shared" si="76"/>
        <v>2022</v>
      </c>
      <c r="K1198" s="72" t="s">
        <v>362</v>
      </c>
      <c r="L1198" s="72" t="s">
        <v>362</v>
      </c>
      <c r="M1198" s="71">
        <v>20.974299999999999</v>
      </c>
    </row>
    <row r="1199" spans="1:13">
      <c r="A1199" s="57" t="s">
        <v>2698</v>
      </c>
      <c r="B1199" s="58">
        <f t="shared" si="74"/>
        <v>39886</v>
      </c>
      <c r="C1199" s="59">
        <f t="shared" si="75"/>
        <v>2009</v>
      </c>
      <c r="D1199" s="60" t="s">
        <v>362</v>
      </c>
      <c r="E1199" s="60" t="s">
        <v>362</v>
      </c>
      <c r="F1199" s="61">
        <v>14.908300000000001</v>
      </c>
      <c r="H1199" s="62" t="s">
        <v>2699</v>
      </c>
      <c r="I1199" s="58">
        <f t="shared" si="77"/>
        <v>44634</v>
      </c>
      <c r="J1199" s="60">
        <f t="shared" si="76"/>
        <v>2022</v>
      </c>
      <c r="K1199" s="64">
        <v>20.890799999999999</v>
      </c>
      <c r="L1199" s="64">
        <v>20.9695</v>
      </c>
      <c r="M1199" s="64">
        <v>20.974299999999999</v>
      </c>
    </row>
    <row r="1200" spans="1:13">
      <c r="A1200" s="65" t="s">
        <v>2700</v>
      </c>
      <c r="B1200" s="66">
        <f t="shared" si="74"/>
        <v>39887</v>
      </c>
      <c r="C1200" s="67">
        <f t="shared" si="75"/>
        <v>2009</v>
      </c>
      <c r="D1200" s="70" t="s">
        <v>362</v>
      </c>
      <c r="E1200" s="70" t="s">
        <v>362</v>
      </c>
      <c r="F1200" s="68">
        <v>14.908300000000001</v>
      </c>
      <c r="H1200" s="69" t="s">
        <v>2701</v>
      </c>
      <c r="I1200" s="66">
        <f t="shared" si="77"/>
        <v>44635</v>
      </c>
      <c r="J1200" s="70">
        <f t="shared" si="76"/>
        <v>2022</v>
      </c>
      <c r="K1200" s="71">
        <v>20.874300000000002</v>
      </c>
      <c r="L1200" s="71">
        <v>20.890799999999999</v>
      </c>
      <c r="M1200" s="71">
        <v>20.9695</v>
      </c>
    </row>
    <row r="1201" spans="1:13">
      <c r="A1201" s="57" t="s">
        <v>2702</v>
      </c>
      <c r="B1201" s="58">
        <f t="shared" si="74"/>
        <v>39888</v>
      </c>
      <c r="C1201" s="59">
        <f t="shared" si="75"/>
        <v>2009</v>
      </c>
      <c r="D1201" s="60" t="s">
        <v>362</v>
      </c>
      <c r="E1201" s="60" t="s">
        <v>362</v>
      </c>
      <c r="F1201" s="61">
        <v>14.908300000000001</v>
      </c>
      <c r="H1201" s="62" t="s">
        <v>2703</v>
      </c>
      <c r="I1201" s="58">
        <f t="shared" si="77"/>
        <v>44636</v>
      </c>
      <c r="J1201" s="60">
        <f t="shared" si="76"/>
        <v>2022</v>
      </c>
      <c r="K1201" s="64">
        <v>20.703499999999998</v>
      </c>
      <c r="L1201" s="64">
        <v>20.874300000000002</v>
      </c>
      <c r="M1201" s="64">
        <v>20.890799999999999</v>
      </c>
    </row>
    <row r="1202" spans="1:13">
      <c r="A1202" s="65" t="s">
        <v>2704</v>
      </c>
      <c r="B1202" s="66">
        <f t="shared" si="74"/>
        <v>39889</v>
      </c>
      <c r="C1202" s="67">
        <f t="shared" si="75"/>
        <v>2009</v>
      </c>
      <c r="D1202" s="68">
        <v>14.0502</v>
      </c>
      <c r="E1202" s="68">
        <v>14.569000000000001</v>
      </c>
      <c r="F1202" s="68">
        <v>14.908300000000001</v>
      </c>
      <c r="H1202" s="69" t="s">
        <v>2705</v>
      </c>
      <c r="I1202" s="66">
        <f t="shared" si="77"/>
        <v>44637</v>
      </c>
      <c r="J1202" s="70">
        <f t="shared" si="76"/>
        <v>2022</v>
      </c>
      <c r="K1202" s="71">
        <v>20.558499999999999</v>
      </c>
      <c r="L1202" s="71">
        <v>20.703499999999998</v>
      </c>
      <c r="M1202" s="71">
        <v>20.874300000000002</v>
      </c>
    </row>
    <row r="1203" spans="1:13">
      <c r="A1203" s="57" t="s">
        <v>2706</v>
      </c>
      <c r="B1203" s="58">
        <f t="shared" si="74"/>
        <v>39890</v>
      </c>
      <c r="C1203" s="59">
        <f t="shared" si="75"/>
        <v>2009</v>
      </c>
      <c r="D1203" s="61">
        <v>14.1457</v>
      </c>
      <c r="E1203" s="61">
        <v>14.0502</v>
      </c>
      <c r="F1203" s="61">
        <v>14.569000000000001</v>
      </c>
      <c r="H1203" s="62" t="s">
        <v>2707</v>
      </c>
      <c r="I1203" s="58">
        <f t="shared" si="77"/>
        <v>44638</v>
      </c>
      <c r="J1203" s="60">
        <f t="shared" si="76"/>
        <v>2022</v>
      </c>
      <c r="K1203" s="64">
        <v>20.4145</v>
      </c>
      <c r="L1203" s="64">
        <v>20.558499999999999</v>
      </c>
      <c r="M1203" s="64">
        <v>20.703499999999998</v>
      </c>
    </row>
    <row r="1204" spans="1:13">
      <c r="A1204" s="65" t="s">
        <v>2708</v>
      </c>
      <c r="B1204" s="66">
        <f t="shared" si="74"/>
        <v>39891</v>
      </c>
      <c r="C1204" s="67">
        <f t="shared" si="75"/>
        <v>2009</v>
      </c>
      <c r="D1204" s="68">
        <v>14.08</v>
      </c>
      <c r="E1204" s="68">
        <v>14.1457</v>
      </c>
      <c r="F1204" s="68">
        <v>14.0502</v>
      </c>
      <c r="H1204" s="69" t="s">
        <v>2709</v>
      </c>
      <c r="I1204" s="66">
        <f t="shared" si="77"/>
        <v>44639</v>
      </c>
      <c r="J1204" s="70">
        <f t="shared" si="76"/>
        <v>2022</v>
      </c>
      <c r="K1204" s="72" t="s">
        <v>362</v>
      </c>
      <c r="L1204" s="72" t="s">
        <v>362</v>
      </c>
      <c r="M1204" s="71">
        <v>20.558499999999999</v>
      </c>
    </row>
    <row r="1205" spans="1:13">
      <c r="A1205" s="57" t="s">
        <v>2710</v>
      </c>
      <c r="B1205" s="58">
        <f t="shared" si="74"/>
        <v>39892</v>
      </c>
      <c r="C1205" s="59">
        <f t="shared" si="75"/>
        <v>2009</v>
      </c>
      <c r="D1205" s="61">
        <v>14.148</v>
      </c>
      <c r="E1205" s="61">
        <v>14.08</v>
      </c>
      <c r="F1205" s="61">
        <v>14.1457</v>
      </c>
      <c r="H1205" s="62" t="s">
        <v>2711</v>
      </c>
      <c r="I1205" s="58">
        <f t="shared" si="77"/>
        <v>44640</v>
      </c>
      <c r="J1205" s="60">
        <f t="shared" si="76"/>
        <v>2022</v>
      </c>
      <c r="K1205" s="63" t="s">
        <v>362</v>
      </c>
      <c r="L1205" s="63" t="s">
        <v>362</v>
      </c>
      <c r="M1205" s="64">
        <v>20.558499999999999</v>
      </c>
    </row>
    <row r="1206" spans="1:13">
      <c r="A1206" s="65" t="s">
        <v>2712</v>
      </c>
      <c r="B1206" s="66">
        <f t="shared" si="74"/>
        <v>39893</v>
      </c>
      <c r="C1206" s="67">
        <f t="shared" si="75"/>
        <v>2009</v>
      </c>
      <c r="D1206" s="70" t="s">
        <v>362</v>
      </c>
      <c r="E1206" s="70" t="s">
        <v>362</v>
      </c>
      <c r="F1206" s="68">
        <v>14.08</v>
      </c>
      <c r="H1206" s="69" t="s">
        <v>2713</v>
      </c>
      <c r="I1206" s="66">
        <f t="shared" si="77"/>
        <v>44641</v>
      </c>
      <c r="J1206" s="70">
        <f t="shared" si="76"/>
        <v>2022</v>
      </c>
      <c r="K1206" s="72" t="s">
        <v>362</v>
      </c>
      <c r="L1206" s="72" t="s">
        <v>362</v>
      </c>
      <c r="M1206" s="71">
        <v>20.558499999999999</v>
      </c>
    </row>
    <row r="1207" spans="1:13">
      <c r="A1207" s="57" t="s">
        <v>2714</v>
      </c>
      <c r="B1207" s="58">
        <f t="shared" si="74"/>
        <v>39894</v>
      </c>
      <c r="C1207" s="59">
        <f t="shared" si="75"/>
        <v>2009</v>
      </c>
      <c r="D1207" s="60" t="s">
        <v>362</v>
      </c>
      <c r="E1207" s="60" t="s">
        <v>362</v>
      </c>
      <c r="F1207" s="61">
        <v>14.08</v>
      </c>
      <c r="H1207" s="62" t="s">
        <v>2715</v>
      </c>
      <c r="I1207" s="58">
        <f t="shared" si="77"/>
        <v>44642</v>
      </c>
      <c r="J1207" s="60">
        <f t="shared" si="76"/>
        <v>2022</v>
      </c>
      <c r="K1207" s="64">
        <v>20.278199999999998</v>
      </c>
      <c r="L1207" s="64">
        <v>20.4145</v>
      </c>
      <c r="M1207" s="64">
        <v>20.558499999999999</v>
      </c>
    </row>
    <row r="1208" spans="1:13">
      <c r="A1208" s="65" t="s">
        <v>2716</v>
      </c>
      <c r="B1208" s="66">
        <f t="shared" si="74"/>
        <v>39895</v>
      </c>
      <c r="C1208" s="67">
        <f t="shared" si="75"/>
        <v>2009</v>
      </c>
      <c r="D1208" s="68">
        <v>14.320399999999999</v>
      </c>
      <c r="E1208" s="68">
        <v>14.148</v>
      </c>
      <c r="F1208" s="68">
        <v>14.08</v>
      </c>
      <c r="H1208" s="69" t="s">
        <v>2717</v>
      </c>
      <c r="I1208" s="66">
        <f t="shared" si="77"/>
        <v>44643</v>
      </c>
      <c r="J1208" s="70">
        <f t="shared" si="76"/>
        <v>2022</v>
      </c>
      <c r="K1208" s="71">
        <v>20.18</v>
      </c>
      <c r="L1208" s="71">
        <v>20.278199999999998</v>
      </c>
      <c r="M1208" s="71">
        <v>20.4145</v>
      </c>
    </row>
    <row r="1209" spans="1:13">
      <c r="A1209" s="57" t="s">
        <v>2718</v>
      </c>
      <c r="B1209" s="58">
        <f t="shared" si="74"/>
        <v>39896</v>
      </c>
      <c r="C1209" s="59">
        <f t="shared" si="75"/>
        <v>2009</v>
      </c>
      <c r="D1209" s="61">
        <v>14.2683</v>
      </c>
      <c r="E1209" s="61">
        <v>14.320399999999999</v>
      </c>
      <c r="F1209" s="61">
        <v>14.148</v>
      </c>
      <c r="H1209" s="62" t="s">
        <v>2719</v>
      </c>
      <c r="I1209" s="58">
        <f t="shared" si="77"/>
        <v>44644</v>
      </c>
      <c r="J1209" s="60">
        <f t="shared" si="76"/>
        <v>2022</v>
      </c>
      <c r="K1209" s="64">
        <v>20.1313</v>
      </c>
      <c r="L1209" s="64">
        <v>20.18</v>
      </c>
      <c r="M1209" s="64">
        <v>20.278199999999998</v>
      </c>
    </row>
    <row r="1210" spans="1:13">
      <c r="A1210" s="65" t="s">
        <v>2720</v>
      </c>
      <c r="B1210" s="66">
        <f t="shared" si="74"/>
        <v>39897</v>
      </c>
      <c r="C1210" s="67">
        <f t="shared" si="75"/>
        <v>2009</v>
      </c>
      <c r="D1210" s="68">
        <v>14.235799999999999</v>
      </c>
      <c r="E1210" s="68">
        <v>14.2683</v>
      </c>
      <c r="F1210" s="68">
        <v>14.320399999999999</v>
      </c>
      <c r="H1210" s="69" t="s">
        <v>2721</v>
      </c>
      <c r="I1210" s="66">
        <f t="shared" si="77"/>
        <v>44645</v>
      </c>
      <c r="J1210" s="70">
        <f t="shared" si="76"/>
        <v>2022</v>
      </c>
      <c r="K1210" s="71">
        <v>19.957699999999999</v>
      </c>
      <c r="L1210" s="71">
        <v>20.1313</v>
      </c>
      <c r="M1210" s="71">
        <v>20.18</v>
      </c>
    </row>
    <row r="1211" spans="1:13">
      <c r="A1211" s="57" t="s">
        <v>2722</v>
      </c>
      <c r="B1211" s="58">
        <f t="shared" si="74"/>
        <v>39898</v>
      </c>
      <c r="C1211" s="59">
        <f t="shared" si="75"/>
        <v>2009</v>
      </c>
      <c r="D1211" s="61">
        <v>14.2163</v>
      </c>
      <c r="E1211" s="61">
        <v>14.235799999999999</v>
      </c>
      <c r="F1211" s="61">
        <v>14.2683</v>
      </c>
      <c r="H1211" s="62" t="s">
        <v>2723</v>
      </c>
      <c r="I1211" s="58">
        <f t="shared" si="77"/>
        <v>44646</v>
      </c>
      <c r="J1211" s="60">
        <f t="shared" si="76"/>
        <v>2022</v>
      </c>
      <c r="K1211" s="63" t="s">
        <v>362</v>
      </c>
      <c r="L1211" s="63" t="s">
        <v>362</v>
      </c>
      <c r="M1211" s="64">
        <v>20.1313</v>
      </c>
    </row>
    <row r="1212" spans="1:13">
      <c r="A1212" s="65" t="s">
        <v>2724</v>
      </c>
      <c r="B1212" s="66">
        <f t="shared" si="74"/>
        <v>39899</v>
      </c>
      <c r="C1212" s="67">
        <f t="shared" si="75"/>
        <v>2009</v>
      </c>
      <c r="D1212" s="68">
        <v>14.3317</v>
      </c>
      <c r="E1212" s="68">
        <v>14.2163</v>
      </c>
      <c r="F1212" s="68">
        <v>14.235799999999999</v>
      </c>
      <c r="H1212" s="69" t="s">
        <v>2725</v>
      </c>
      <c r="I1212" s="66">
        <f t="shared" si="77"/>
        <v>44647</v>
      </c>
      <c r="J1212" s="70">
        <f t="shared" si="76"/>
        <v>2022</v>
      </c>
      <c r="K1212" s="72" t="s">
        <v>362</v>
      </c>
      <c r="L1212" s="72" t="s">
        <v>362</v>
      </c>
      <c r="M1212" s="71">
        <v>20.1313</v>
      </c>
    </row>
    <row r="1213" spans="1:13">
      <c r="A1213" s="57" t="s">
        <v>2726</v>
      </c>
      <c r="B1213" s="58">
        <f t="shared" si="74"/>
        <v>39900</v>
      </c>
      <c r="C1213" s="59">
        <f t="shared" si="75"/>
        <v>2009</v>
      </c>
      <c r="D1213" s="60" t="s">
        <v>362</v>
      </c>
      <c r="E1213" s="60" t="s">
        <v>362</v>
      </c>
      <c r="F1213" s="61">
        <v>14.2163</v>
      </c>
      <c r="H1213" s="62" t="s">
        <v>2727</v>
      </c>
      <c r="I1213" s="58">
        <f t="shared" si="77"/>
        <v>44648</v>
      </c>
      <c r="J1213" s="60">
        <f t="shared" si="76"/>
        <v>2022</v>
      </c>
      <c r="K1213" s="64">
        <v>20.119499999999999</v>
      </c>
      <c r="L1213" s="64">
        <v>19.957699999999999</v>
      </c>
      <c r="M1213" s="64">
        <v>20.1313</v>
      </c>
    </row>
    <row r="1214" spans="1:13">
      <c r="A1214" s="65" t="s">
        <v>2728</v>
      </c>
      <c r="B1214" s="66">
        <f t="shared" si="74"/>
        <v>39901</v>
      </c>
      <c r="C1214" s="67">
        <f t="shared" si="75"/>
        <v>2009</v>
      </c>
      <c r="D1214" s="70" t="s">
        <v>362</v>
      </c>
      <c r="E1214" s="70" t="s">
        <v>362</v>
      </c>
      <c r="F1214" s="68">
        <v>14.2163</v>
      </c>
      <c r="H1214" s="69" t="s">
        <v>2729</v>
      </c>
      <c r="I1214" s="66">
        <f t="shared" si="77"/>
        <v>44649</v>
      </c>
      <c r="J1214" s="70">
        <f t="shared" si="76"/>
        <v>2022</v>
      </c>
      <c r="K1214" s="71">
        <v>19.994199999999999</v>
      </c>
      <c r="L1214" s="71">
        <v>20.119499999999999</v>
      </c>
      <c r="M1214" s="71">
        <v>19.957699999999999</v>
      </c>
    </row>
    <row r="1215" spans="1:13">
      <c r="A1215" s="57" t="s">
        <v>2730</v>
      </c>
      <c r="B1215" s="58">
        <f t="shared" si="74"/>
        <v>39902</v>
      </c>
      <c r="C1215" s="59">
        <f t="shared" si="75"/>
        <v>2009</v>
      </c>
      <c r="D1215" s="61">
        <v>14.3855</v>
      </c>
      <c r="E1215" s="61">
        <v>14.3317</v>
      </c>
      <c r="F1215" s="61">
        <v>14.2163</v>
      </c>
      <c r="H1215" s="62" t="s">
        <v>2731</v>
      </c>
      <c r="I1215" s="58">
        <f t="shared" si="77"/>
        <v>44650</v>
      </c>
      <c r="J1215" s="60">
        <f t="shared" si="76"/>
        <v>2022</v>
      </c>
      <c r="K1215" s="64">
        <v>19.863199999999999</v>
      </c>
      <c r="L1215" s="64">
        <v>19.994199999999999</v>
      </c>
      <c r="M1215" s="64">
        <v>20.119499999999999</v>
      </c>
    </row>
    <row r="1216" spans="1:13">
      <c r="A1216" s="65" t="s">
        <v>2732</v>
      </c>
      <c r="B1216" s="66">
        <f t="shared" si="74"/>
        <v>39903</v>
      </c>
      <c r="C1216" s="67">
        <f t="shared" si="75"/>
        <v>2009</v>
      </c>
      <c r="D1216" s="68">
        <v>14.1517</v>
      </c>
      <c r="E1216" s="68">
        <v>14.3855</v>
      </c>
      <c r="F1216" s="68">
        <v>14.3317</v>
      </c>
      <c r="H1216" s="69" t="s">
        <v>2733</v>
      </c>
      <c r="I1216" s="66">
        <f t="shared" si="77"/>
        <v>44651</v>
      </c>
      <c r="J1216" s="70">
        <f t="shared" si="76"/>
        <v>2022</v>
      </c>
      <c r="K1216" s="71">
        <v>19.911200000000001</v>
      </c>
      <c r="L1216" s="71">
        <v>19.863199999999999</v>
      </c>
      <c r="M1216" s="71">
        <v>19.994199999999999</v>
      </c>
    </row>
    <row r="1217" spans="1:13">
      <c r="A1217" s="57" t="s">
        <v>2734</v>
      </c>
      <c r="B1217" s="58">
        <f t="shared" si="74"/>
        <v>39904</v>
      </c>
      <c r="C1217" s="59">
        <f t="shared" si="75"/>
        <v>2009</v>
      </c>
      <c r="D1217" s="61">
        <v>13.9108</v>
      </c>
      <c r="E1217" s="61">
        <v>14.1517</v>
      </c>
      <c r="F1217" s="61">
        <v>14.3855</v>
      </c>
      <c r="H1217" s="62" t="s">
        <v>2735</v>
      </c>
      <c r="I1217" s="58">
        <f t="shared" si="77"/>
        <v>44652</v>
      </c>
      <c r="J1217" s="60">
        <f t="shared" si="76"/>
        <v>2022</v>
      </c>
      <c r="K1217" s="64">
        <v>19.8432</v>
      </c>
      <c r="L1217" s="64">
        <v>19.911200000000001</v>
      </c>
      <c r="M1217" s="64">
        <v>19.863199999999999</v>
      </c>
    </row>
    <row r="1218" spans="1:13">
      <c r="A1218" s="65" t="s">
        <v>2736</v>
      </c>
      <c r="B1218" s="66">
        <f t="shared" si="74"/>
        <v>39905</v>
      </c>
      <c r="C1218" s="67">
        <f t="shared" si="75"/>
        <v>2009</v>
      </c>
      <c r="D1218" s="68">
        <v>13.792400000000001</v>
      </c>
      <c r="E1218" s="68">
        <v>13.9108</v>
      </c>
      <c r="F1218" s="68">
        <v>14.1517</v>
      </c>
      <c r="H1218" s="69" t="s">
        <v>2737</v>
      </c>
      <c r="I1218" s="66">
        <f t="shared" si="77"/>
        <v>44653</v>
      </c>
      <c r="J1218" s="70">
        <f t="shared" si="76"/>
        <v>2022</v>
      </c>
      <c r="K1218" s="72" t="s">
        <v>362</v>
      </c>
      <c r="L1218" s="72" t="s">
        <v>362</v>
      </c>
      <c r="M1218" s="71">
        <v>19.911200000000001</v>
      </c>
    </row>
    <row r="1219" spans="1:13">
      <c r="A1219" s="57" t="s">
        <v>2738</v>
      </c>
      <c r="B1219" s="58">
        <f t="shared" si="74"/>
        <v>39906</v>
      </c>
      <c r="C1219" s="59">
        <f t="shared" si="75"/>
        <v>2009</v>
      </c>
      <c r="D1219" s="61">
        <v>13.6137</v>
      </c>
      <c r="E1219" s="61">
        <v>13.792400000000001</v>
      </c>
      <c r="F1219" s="61">
        <v>13.9108</v>
      </c>
      <c r="H1219" s="62" t="s">
        <v>2739</v>
      </c>
      <c r="I1219" s="58">
        <f t="shared" si="77"/>
        <v>44654</v>
      </c>
      <c r="J1219" s="60">
        <f t="shared" si="76"/>
        <v>2022</v>
      </c>
      <c r="K1219" s="63" t="s">
        <v>362</v>
      </c>
      <c r="L1219" s="63" t="s">
        <v>362</v>
      </c>
      <c r="M1219" s="64">
        <v>19.911200000000001</v>
      </c>
    </row>
    <row r="1220" spans="1:13">
      <c r="A1220" s="65" t="s">
        <v>2740</v>
      </c>
      <c r="B1220" s="66">
        <f t="shared" si="74"/>
        <v>39907</v>
      </c>
      <c r="C1220" s="67">
        <f t="shared" si="75"/>
        <v>2009</v>
      </c>
      <c r="D1220" s="70" t="s">
        <v>362</v>
      </c>
      <c r="E1220" s="70" t="s">
        <v>362</v>
      </c>
      <c r="F1220" s="68">
        <v>13.792400000000001</v>
      </c>
      <c r="H1220" s="69" t="s">
        <v>2741</v>
      </c>
      <c r="I1220" s="66">
        <f t="shared" si="77"/>
        <v>44655</v>
      </c>
      <c r="J1220" s="70">
        <f t="shared" si="76"/>
        <v>2022</v>
      </c>
      <c r="K1220" s="71">
        <v>19.744299999999999</v>
      </c>
      <c r="L1220" s="71">
        <v>19.8432</v>
      </c>
      <c r="M1220" s="71">
        <v>19.911200000000001</v>
      </c>
    </row>
    <row r="1221" spans="1:13">
      <c r="A1221" s="57" t="s">
        <v>2742</v>
      </c>
      <c r="B1221" s="58">
        <f t="shared" si="74"/>
        <v>39908</v>
      </c>
      <c r="C1221" s="59">
        <f t="shared" si="75"/>
        <v>2009</v>
      </c>
      <c r="D1221" s="60" t="s">
        <v>362</v>
      </c>
      <c r="E1221" s="60" t="s">
        <v>362</v>
      </c>
      <c r="F1221" s="61">
        <v>13.792400000000001</v>
      </c>
      <c r="H1221" s="62" t="s">
        <v>2743</v>
      </c>
      <c r="I1221" s="58">
        <f t="shared" si="77"/>
        <v>44656</v>
      </c>
      <c r="J1221" s="60">
        <f t="shared" si="76"/>
        <v>2022</v>
      </c>
      <c r="K1221" s="64">
        <v>19.901199999999999</v>
      </c>
      <c r="L1221" s="64">
        <v>19.744299999999999</v>
      </c>
      <c r="M1221" s="64">
        <v>19.8432</v>
      </c>
    </row>
    <row r="1222" spans="1:13">
      <c r="A1222" s="65" t="s">
        <v>2744</v>
      </c>
      <c r="B1222" s="66">
        <f t="shared" si="74"/>
        <v>39909</v>
      </c>
      <c r="C1222" s="67">
        <f t="shared" si="75"/>
        <v>2009</v>
      </c>
      <c r="D1222" s="68">
        <v>13.6325</v>
      </c>
      <c r="E1222" s="68">
        <v>13.6137</v>
      </c>
      <c r="F1222" s="68">
        <v>13.792400000000001</v>
      </c>
      <c r="H1222" s="69" t="s">
        <v>2745</v>
      </c>
      <c r="I1222" s="66">
        <f t="shared" si="77"/>
        <v>44657</v>
      </c>
      <c r="J1222" s="70">
        <f t="shared" si="76"/>
        <v>2022</v>
      </c>
      <c r="K1222" s="71">
        <v>20.066500000000001</v>
      </c>
      <c r="L1222" s="71">
        <v>19.901199999999999</v>
      </c>
      <c r="M1222" s="71">
        <v>19.744299999999999</v>
      </c>
    </row>
    <row r="1223" spans="1:13">
      <c r="A1223" s="57" t="s">
        <v>2746</v>
      </c>
      <c r="B1223" s="58">
        <f t="shared" si="74"/>
        <v>39910</v>
      </c>
      <c r="C1223" s="59">
        <f t="shared" si="75"/>
        <v>2009</v>
      </c>
      <c r="D1223" s="61">
        <v>13.571199999999999</v>
      </c>
      <c r="E1223" s="61">
        <v>13.6325</v>
      </c>
      <c r="F1223" s="61">
        <v>13.6137</v>
      </c>
      <c r="H1223" s="62" t="s">
        <v>2747</v>
      </c>
      <c r="I1223" s="58">
        <f t="shared" si="77"/>
        <v>44658</v>
      </c>
      <c r="J1223" s="60">
        <f t="shared" si="76"/>
        <v>2022</v>
      </c>
      <c r="K1223" s="64">
        <v>20.160499999999999</v>
      </c>
      <c r="L1223" s="64">
        <v>20.066500000000001</v>
      </c>
      <c r="M1223" s="64">
        <v>19.901199999999999</v>
      </c>
    </row>
    <row r="1224" spans="1:13">
      <c r="A1224" s="65" t="s">
        <v>2748</v>
      </c>
      <c r="B1224" s="66">
        <f t="shared" si="74"/>
        <v>39911</v>
      </c>
      <c r="C1224" s="67">
        <f t="shared" si="75"/>
        <v>2009</v>
      </c>
      <c r="D1224" s="68">
        <v>13.364800000000001</v>
      </c>
      <c r="E1224" s="68">
        <v>13.571199999999999</v>
      </c>
      <c r="F1224" s="68">
        <v>13.6325</v>
      </c>
      <c r="H1224" s="69" t="s">
        <v>2749</v>
      </c>
      <c r="I1224" s="66">
        <f t="shared" si="77"/>
        <v>44659</v>
      </c>
      <c r="J1224" s="70">
        <f t="shared" si="76"/>
        <v>2022</v>
      </c>
      <c r="K1224" s="71">
        <v>20.12</v>
      </c>
      <c r="L1224" s="71">
        <v>20.160499999999999</v>
      </c>
      <c r="M1224" s="71">
        <v>20.066500000000001</v>
      </c>
    </row>
    <row r="1225" spans="1:13">
      <c r="A1225" s="57" t="s">
        <v>2750</v>
      </c>
      <c r="B1225" s="58">
        <f t="shared" si="74"/>
        <v>39912</v>
      </c>
      <c r="C1225" s="59">
        <f t="shared" si="75"/>
        <v>2009</v>
      </c>
      <c r="D1225" s="60" t="s">
        <v>362</v>
      </c>
      <c r="E1225" s="60" t="s">
        <v>362</v>
      </c>
      <c r="F1225" s="61">
        <v>13.571199999999999</v>
      </c>
      <c r="H1225" s="62" t="s">
        <v>2751</v>
      </c>
      <c r="I1225" s="58">
        <f t="shared" si="77"/>
        <v>44660</v>
      </c>
      <c r="J1225" s="60">
        <f t="shared" si="76"/>
        <v>2022</v>
      </c>
      <c r="K1225" s="63" t="s">
        <v>362</v>
      </c>
      <c r="L1225" s="63" t="s">
        <v>362</v>
      </c>
      <c r="M1225" s="64">
        <v>20.160499999999999</v>
      </c>
    </row>
    <row r="1226" spans="1:13">
      <c r="A1226" s="65" t="s">
        <v>2752</v>
      </c>
      <c r="B1226" s="66">
        <f t="shared" si="74"/>
        <v>39913</v>
      </c>
      <c r="C1226" s="67">
        <f t="shared" si="75"/>
        <v>2009</v>
      </c>
      <c r="D1226" s="70" t="s">
        <v>362</v>
      </c>
      <c r="E1226" s="70" t="s">
        <v>362</v>
      </c>
      <c r="F1226" s="68">
        <v>13.571199999999999</v>
      </c>
      <c r="H1226" s="69" t="s">
        <v>2753</v>
      </c>
      <c r="I1226" s="66">
        <f t="shared" si="77"/>
        <v>44661</v>
      </c>
      <c r="J1226" s="70">
        <f t="shared" si="76"/>
        <v>2022</v>
      </c>
      <c r="K1226" s="72" t="s">
        <v>362</v>
      </c>
      <c r="L1226" s="72" t="s">
        <v>362</v>
      </c>
      <c r="M1226" s="71">
        <v>20.160499999999999</v>
      </c>
    </row>
    <row r="1227" spans="1:13">
      <c r="A1227" s="57" t="s">
        <v>2754</v>
      </c>
      <c r="B1227" s="58">
        <f t="shared" si="74"/>
        <v>39914</v>
      </c>
      <c r="C1227" s="59">
        <f t="shared" si="75"/>
        <v>2009</v>
      </c>
      <c r="D1227" s="60" t="s">
        <v>362</v>
      </c>
      <c r="E1227" s="60" t="s">
        <v>362</v>
      </c>
      <c r="F1227" s="61">
        <v>13.571199999999999</v>
      </c>
      <c r="H1227" s="62" t="s">
        <v>2755</v>
      </c>
      <c r="I1227" s="58">
        <f t="shared" si="77"/>
        <v>44662</v>
      </c>
      <c r="J1227" s="60">
        <f t="shared" si="76"/>
        <v>2022</v>
      </c>
      <c r="K1227" s="64">
        <v>20.0093</v>
      </c>
      <c r="L1227" s="64">
        <v>20.12</v>
      </c>
      <c r="M1227" s="64">
        <v>20.160499999999999</v>
      </c>
    </row>
    <row r="1228" spans="1:13">
      <c r="A1228" s="65" t="s">
        <v>2756</v>
      </c>
      <c r="B1228" s="66">
        <f t="shared" si="74"/>
        <v>39915</v>
      </c>
      <c r="C1228" s="67">
        <f t="shared" si="75"/>
        <v>2009</v>
      </c>
      <c r="D1228" s="70" t="s">
        <v>362</v>
      </c>
      <c r="E1228" s="70" t="s">
        <v>362</v>
      </c>
      <c r="F1228" s="68">
        <v>13.571199999999999</v>
      </c>
      <c r="H1228" s="69" t="s">
        <v>2757</v>
      </c>
      <c r="I1228" s="66">
        <f t="shared" si="77"/>
        <v>44663</v>
      </c>
      <c r="J1228" s="70">
        <f t="shared" si="76"/>
        <v>2022</v>
      </c>
      <c r="K1228" s="71">
        <v>19.840699999999998</v>
      </c>
      <c r="L1228" s="71">
        <v>20.0093</v>
      </c>
      <c r="M1228" s="71">
        <v>20.12</v>
      </c>
    </row>
    <row r="1229" spans="1:13">
      <c r="A1229" s="57" t="s">
        <v>2758</v>
      </c>
      <c r="B1229" s="58">
        <f t="shared" si="74"/>
        <v>39916</v>
      </c>
      <c r="C1229" s="59">
        <f t="shared" si="75"/>
        <v>2009</v>
      </c>
      <c r="D1229" s="61">
        <v>13.0914</v>
      </c>
      <c r="E1229" s="61">
        <v>13.364800000000001</v>
      </c>
      <c r="F1229" s="61">
        <v>13.571199999999999</v>
      </c>
      <c r="H1229" s="62" t="s">
        <v>2759</v>
      </c>
      <c r="I1229" s="58">
        <f t="shared" si="77"/>
        <v>44664</v>
      </c>
      <c r="J1229" s="60">
        <f t="shared" si="76"/>
        <v>2022</v>
      </c>
      <c r="K1229" s="64">
        <v>19.796700000000001</v>
      </c>
      <c r="L1229" s="64">
        <v>19.840699999999998</v>
      </c>
      <c r="M1229" s="64">
        <v>20.0093</v>
      </c>
    </row>
    <row r="1230" spans="1:13">
      <c r="A1230" s="65" t="s">
        <v>2760</v>
      </c>
      <c r="B1230" s="66">
        <f t="shared" si="74"/>
        <v>39917</v>
      </c>
      <c r="C1230" s="67">
        <f t="shared" si="75"/>
        <v>2009</v>
      </c>
      <c r="D1230" s="68">
        <v>13.086</v>
      </c>
      <c r="E1230" s="68">
        <v>13.0914</v>
      </c>
      <c r="F1230" s="68">
        <v>13.364800000000001</v>
      </c>
      <c r="H1230" s="69" t="s">
        <v>2761</v>
      </c>
      <c r="I1230" s="66">
        <f t="shared" si="77"/>
        <v>44665</v>
      </c>
      <c r="J1230" s="70">
        <f t="shared" si="76"/>
        <v>2022</v>
      </c>
      <c r="K1230" s="72" t="s">
        <v>362</v>
      </c>
      <c r="L1230" s="72" t="s">
        <v>362</v>
      </c>
      <c r="M1230" s="71">
        <v>19.840699999999998</v>
      </c>
    </row>
    <row r="1231" spans="1:13">
      <c r="A1231" s="57" t="s">
        <v>2762</v>
      </c>
      <c r="B1231" s="58">
        <f t="shared" si="74"/>
        <v>39918</v>
      </c>
      <c r="C1231" s="59">
        <f t="shared" si="75"/>
        <v>2009</v>
      </c>
      <c r="D1231" s="61">
        <v>13.1683</v>
      </c>
      <c r="E1231" s="61">
        <v>13.086</v>
      </c>
      <c r="F1231" s="61">
        <v>13.0914</v>
      </c>
      <c r="H1231" s="62" t="s">
        <v>2763</v>
      </c>
      <c r="I1231" s="58">
        <f t="shared" si="77"/>
        <v>44666</v>
      </c>
      <c r="J1231" s="60">
        <f t="shared" si="76"/>
        <v>2022</v>
      </c>
      <c r="K1231" s="63" t="s">
        <v>362</v>
      </c>
      <c r="L1231" s="63" t="s">
        <v>362</v>
      </c>
      <c r="M1231" s="64">
        <v>19.840699999999998</v>
      </c>
    </row>
    <row r="1232" spans="1:13">
      <c r="A1232" s="65" t="s">
        <v>2764</v>
      </c>
      <c r="B1232" s="66">
        <f t="shared" si="74"/>
        <v>39919</v>
      </c>
      <c r="C1232" s="67">
        <f t="shared" si="75"/>
        <v>2009</v>
      </c>
      <c r="D1232" s="68">
        <v>13.0511</v>
      </c>
      <c r="E1232" s="68">
        <v>13.1683</v>
      </c>
      <c r="F1232" s="68">
        <v>13.086</v>
      </c>
      <c r="H1232" s="69" t="s">
        <v>2765</v>
      </c>
      <c r="I1232" s="66">
        <f t="shared" si="77"/>
        <v>44667</v>
      </c>
      <c r="J1232" s="70">
        <f t="shared" si="76"/>
        <v>2022</v>
      </c>
      <c r="K1232" s="72" t="s">
        <v>362</v>
      </c>
      <c r="L1232" s="72" t="s">
        <v>362</v>
      </c>
      <c r="M1232" s="71">
        <v>19.840699999999998</v>
      </c>
    </row>
    <row r="1233" spans="1:13">
      <c r="A1233" s="57" t="s">
        <v>2766</v>
      </c>
      <c r="B1233" s="58">
        <f t="shared" si="74"/>
        <v>39920</v>
      </c>
      <c r="C1233" s="59">
        <f t="shared" si="75"/>
        <v>2009</v>
      </c>
      <c r="D1233" s="61">
        <v>13.155799999999999</v>
      </c>
      <c r="E1233" s="61">
        <v>13.0511</v>
      </c>
      <c r="F1233" s="61">
        <v>13.1683</v>
      </c>
      <c r="H1233" s="62" t="s">
        <v>2767</v>
      </c>
      <c r="I1233" s="58">
        <f t="shared" si="77"/>
        <v>44668</v>
      </c>
      <c r="J1233" s="60">
        <f t="shared" si="76"/>
        <v>2022</v>
      </c>
      <c r="K1233" s="63" t="s">
        <v>362</v>
      </c>
      <c r="L1233" s="63" t="s">
        <v>362</v>
      </c>
      <c r="M1233" s="64">
        <v>19.840699999999998</v>
      </c>
    </row>
    <row r="1234" spans="1:13">
      <c r="A1234" s="65" t="s">
        <v>2768</v>
      </c>
      <c r="B1234" s="66">
        <f t="shared" si="74"/>
        <v>39921</v>
      </c>
      <c r="C1234" s="67">
        <f t="shared" si="75"/>
        <v>2009</v>
      </c>
      <c r="D1234" s="70" t="s">
        <v>362</v>
      </c>
      <c r="E1234" s="70" t="s">
        <v>362</v>
      </c>
      <c r="F1234" s="68">
        <v>13.0511</v>
      </c>
      <c r="H1234" s="69" t="s">
        <v>2769</v>
      </c>
      <c r="I1234" s="66">
        <f t="shared" si="77"/>
        <v>44669</v>
      </c>
      <c r="J1234" s="70">
        <f t="shared" si="76"/>
        <v>2022</v>
      </c>
      <c r="K1234" s="71">
        <v>19.9377</v>
      </c>
      <c r="L1234" s="71">
        <v>19.796700000000001</v>
      </c>
      <c r="M1234" s="71">
        <v>19.840699999999998</v>
      </c>
    </row>
    <row r="1235" spans="1:13">
      <c r="A1235" s="57" t="s">
        <v>2770</v>
      </c>
      <c r="B1235" s="58">
        <f t="shared" si="74"/>
        <v>39922</v>
      </c>
      <c r="C1235" s="59">
        <f t="shared" si="75"/>
        <v>2009</v>
      </c>
      <c r="D1235" s="60" t="s">
        <v>362</v>
      </c>
      <c r="E1235" s="60" t="s">
        <v>362</v>
      </c>
      <c r="F1235" s="61">
        <v>13.0511</v>
      </c>
      <c r="H1235" s="62" t="s">
        <v>2771</v>
      </c>
      <c r="I1235" s="58">
        <f t="shared" si="77"/>
        <v>44670</v>
      </c>
      <c r="J1235" s="60">
        <f t="shared" si="76"/>
        <v>2022</v>
      </c>
      <c r="K1235" s="64">
        <v>20.044699999999999</v>
      </c>
      <c r="L1235" s="64">
        <v>19.9377</v>
      </c>
      <c r="M1235" s="64">
        <v>19.796700000000001</v>
      </c>
    </row>
    <row r="1236" spans="1:13">
      <c r="A1236" s="65" t="s">
        <v>2772</v>
      </c>
      <c r="B1236" s="66">
        <f t="shared" si="74"/>
        <v>39923</v>
      </c>
      <c r="C1236" s="67">
        <f t="shared" si="75"/>
        <v>2009</v>
      </c>
      <c r="D1236" s="68">
        <v>13.32</v>
      </c>
      <c r="E1236" s="68">
        <v>13.155799999999999</v>
      </c>
      <c r="F1236" s="68">
        <v>13.0511</v>
      </c>
      <c r="H1236" s="69" t="s">
        <v>2773</v>
      </c>
      <c r="I1236" s="66">
        <f t="shared" si="77"/>
        <v>44671</v>
      </c>
      <c r="J1236" s="70">
        <f t="shared" si="76"/>
        <v>2022</v>
      </c>
      <c r="K1236" s="71">
        <v>20.0383</v>
      </c>
      <c r="L1236" s="71">
        <v>20.044699999999999</v>
      </c>
      <c r="M1236" s="71">
        <v>19.9377</v>
      </c>
    </row>
    <row r="1237" spans="1:13">
      <c r="A1237" s="57" t="s">
        <v>2774</v>
      </c>
      <c r="B1237" s="58">
        <f t="shared" si="74"/>
        <v>39924</v>
      </c>
      <c r="C1237" s="59">
        <f t="shared" si="75"/>
        <v>2009</v>
      </c>
      <c r="D1237" s="61">
        <v>13.175000000000001</v>
      </c>
      <c r="E1237" s="61">
        <v>13.32</v>
      </c>
      <c r="F1237" s="61">
        <v>13.155799999999999</v>
      </c>
      <c r="H1237" s="62" t="s">
        <v>2775</v>
      </c>
      <c r="I1237" s="58">
        <f t="shared" si="77"/>
        <v>44672</v>
      </c>
      <c r="J1237" s="60">
        <f t="shared" si="76"/>
        <v>2022</v>
      </c>
      <c r="K1237" s="64">
        <v>20.180199999999999</v>
      </c>
      <c r="L1237" s="64">
        <v>20.0383</v>
      </c>
      <c r="M1237" s="64">
        <v>20.044699999999999</v>
      </c>
    </row>
    <row r="1238" spans="1:13">
      <c r="A1238" s="65" t="s">
        <v>2776</v>
      </c>
      <c r="B1238" s="66">
        <f t="shared" si="74"/>
        <v>39925</v>
      </c>
      <c r="C1238" s="67">
        <f t="shared" si="75"/>
        <v>2009</v>
      </c>
      <c r="D1238" s="68">
        <v>13.1457</v>
      </c>
      <c r="E1238" s="68">
        <v>13.175000000000001</v>
      </c>
      <c r="F1238" s="68">
        <v>13.32</v>
      </c>
      <c r="H1238" s="69" t="s">
        <v>2777</v>
      </c>
      <c r="I1238" s="66">
        <f t="shared" si="77"/>
        <v>44673</v>
      </c>
      <c r="J1238" s="70">
        <f t="shared" si="76"/>
        <v>2022</v>
      </c>
      <c r="K1238" s="71">
        <v>20.318300000000001</v>
      </c>
      <c r="L1238" s="71">
        <v>20.180199999999999</v>
      </c>
      <c r="M1238" s="71">
        <v>20.0383</v>
      </c>
    </row>
    <row r="1239" spans="1:13">
      <c r="A1239" s="57" t="s">
        <v>2778</v>
      </c>
      <c r="B1239" s="58">
        <f t="shared" si="74"/>
        <v>39926</v>
      </c>
      <c r="C1239" s="59">
        <f t="shared" si="75"/>
        <v>2009</v>
      </c>
      <c r="D1239" s="61">
        <v>13.309900000000001</v>
      </c>
      <c r="E1239" s="61">
        <v>13.1457</v>
      </c>
      <c r="F1239" s="61">
        <v>13.175000000000001</v>
      </c>
      <c r="H1239" s="62" t="s">
        <v>2779</v>
      </c>
      <c r="I1239" s="58">
        <f t="shared" si="77"/>
        <v>44674</v>
      </c>
      <c r="J1239" s="60">
        <f t="shared" si="76"/>
        <v>2022</v>
      </c>
      <c r="K1239" s="63" t="s">
        <v>362</v>
      </c>
      <c r="L1239" s="63" t="s">
        <v>362</v>
      </c>
      <c r="M1239" s="64">
        <v>20.180199999999999</v>
      </c>
    </row>
    <row r="1240" spans="1:13">
      <c r="A1240" s="65" t="s">
        <v>2780</v>
      </c>
      <c r="B1240" s="66">
        <f t="shared" si="74"/>
        <v>39927</v>
      </c>
      <c r="C1240" s="67">
        <f t="shared" si="75"/>
        <v>2009</v>
      </c>
      <c r="D1240" s="68">
        <v>13.2318</v>
      </c>
      <c r="E1240" s="68">
        <v>13.309900000000001</v>
      </c>
      <c r="F1240" s="68">
        <v>13.1457</v>
      </c>
      <c r="H1240" s="69" t="s">
        <v>2781</v>
      </c>
      <c r="I1240" s="66">
        <f t="shared" si="77"/>
        <v>44675</v>
      </c>
      <c r="J1240" s="70">
        <f t="shared" si="76"/>
        <v>2022</v>
      </c>
      <c r="K1240" s="72" t="s">
        <v>362</v>
      </c>
      <c r="L1240" s="72" t="s">
        <v>362</v>
      </c>
      <c r="M1240" s="71">
        <v>20.180199999999999</v>
      </c>
    </row>
    <row r="1241" spans="1:13">
      <c r="A1241" s="57" t="s">
        <v>2782</v>
      </c>
      <c r="B1241" s="58">
        <f t="shared" si="74"/>
        <v>39928</v>
      </c>
      <c r="C1241" s="59">
        <f t="shared" si="75"/>
        <v>2009</v>
      </c>
      <c r="D1241" s="60" t="s">
        <v>362</v>
      </c>
      <c r="E1241" s="60" t="s">
        <v>362</v>
      </c>
      <c r="F1241" s="61">
        <v>13.309900000000001</v>
      </c>
      <c r="H1241" s="62" t="s">
        <v>2783</v>
      </c>
      <c r="I1241" s="58">
        <f t="shared" si="77"/>
        <v>44676</v>
      </c>
      <c r="J1241" s="60">
        <f t="shared" si="76"/>
        <v>2022</v>
      </c>
      <c r="K1241" s="64">
        <v>20.299199999999999</v>
      </c>
      <c r="L1241" s="64">
        <v>20.318300000000001</v>
      </c>
      <c r="M1241" s="64">
        <v>20.180199999999999</v>
      </c>
    </row>
    <row r="1242" spans="1:13">
      <c r="A1242" s="65" t="s">
        <v>2784</v>
      </c>
      <c r="B1242" s="66">
        <f t="shared" si="74"/>
        <v>39929</v>
      </c>
      <c r="C1242" s="67">
        <f t="shared" si="75"/>
        <v>2009</v>
      </c>
      <c r="D1242" s="70" t="s">
        <v>362</v>
      </c>
      <c r="E1242" s="70" t="s">
        <v>362</v>
      </c>
      <c r="F1242" s="68">
        <v>13.309900000000001</v>
      </c>
      <c r="H1242" s="69" t="s">
        <v>2785</v>
      </c>
      <c r="I1242" s="66">
        <f t="shared" si="77"/>
        <v>44677</v>
      </c>
      <c r="J1242" s="70">
        <f t="shared" si="76"/>
        <v>2022</v>
      </c>
      <c r="K1242" s="71">
        <v>20.356000000000002</v>
      </c>
      <c r="L1242" s="71">
        <v>20.299199999999999</v>
      </c>
      <c r="M1242" s="71">
        <v>20.318300000000001</v>
      </c>
    </row>
    <row r="1243" spans="1:13">
      <c r="A1243" s="57" t="s">
        <v>2786</v>
      </c>
      <c r="B1243" s="58">
        <f t="shared" si="74"/>
        <v>39930</v>
      </c>
      <c r="C1243" s="59">
        <f t="shared" si="75"/>
        <v>2009</v>
      </c>
      <c r="D1243" s="61">
        <v>13.755000000000001</v>
      </c>
      <c r="E1243" s="61">
        <v>13.2318</v>
      </c>
      <c r="F1243" s="61">
        <v>13.309900000000001</v>
      </c>
      <c r="H1243" s="62" t="s">
        <v>2787</v>
      </c>
      <c r="I1243" s="58">
        <f t="shared" si="77"/>
        <v>44678</v>
      </c>
      <c r="J1243" s="60">
        <f t="shared" si="76"/>
        <v>2022</v>
      </c>
      <c r="K1243" s="64">
        <v>20.470700000000001</v>
      </c>
      <c r="L1243" s="64">
        <v>20.356000000000002</v>
      </c>
      <c r="M1243" s="64">
        <v>20.299199999999999</v>
      </c>
    </row>
    <row r="1244" spans="1:13">
      <c r="A1244" s="65" t="s">
        <v>2788</v>
      </c>
      <c r="B1244" s="66">
        <f t="shared" si="74"/>
        <v>39931</v>
      </c>
      <c r="C1244" s="67">
        <f t="shared" si="75"/>
        <v>2009</v>
      </c>
      <c r="D1244" s="68">
        <v>13.8667</v>
      </c>
      <c r="E1244" s="68">
        <v>13.755000000000001</v>
      </c>
      <c r="F1244" s="68">
        <v>13.2318</v>
      </c>
      <c r="H1244" s="69" t="s">
        <v>2789</v>
      </c>
      <c r="I1244" s="66">
        <f t="shared" si="77"/>
        <v>44679</v>
      </c>
      <c r="J1244" s="70">
        <f t="shared" si="76"/>
        <v>2022</v>
      </c>
      <c r="K1244" s="71">
        <v>20.567</v>
      </c>
      <c r="L1244" s="71">
        <v>20.470700000000001</v>
      </c>
      <c r="M1244" s="71">
        <v>20.356000000000002</v>
      </c>
    </row>
    <row r="1245" spans="1:13">
      <c r="A1245" s="57" t="s">
        <v>2790</v>
      </c>
      <c r="B1245" s="58">
        <f t="shared" si="74"/>
        <v>39932</v>
      </c>
      <c r="C1245" s="59">
        <f t="shared" si="75"/>
        <v>2009</v>
      </c>
      <c r="D1245" s="61">
        <v>13.6485</v>
      </c>
      <c r="E1245" s="61">
        <v>13.8667</v>
      </c>
      <c r="F1245" s="61">
        <v>13.755000000000001</v>
      </c>
      <c r="H1245" s="62" t="s">
        <v>2791</v>
      </c>
      <c r="I1245" s="58">
        <f t="shared" si="77"/>
        <v>44680</v>
      </c>
      <c r="J1245" s="60">
        <f t="shared" si="76"/>
        <v>2022</v>
      </c>
      <c r="K1245" s="64">
        <v>20.372800000000002</v>
      </c>
      <c r="L1245" s="64">
        <v>20.567</v>
      </c>
      <c r="M1245" s="64">
        <v>20.470700000000001</v>
      </c>
    </row>
    <row r="1246" spans="1:13">
      <c r="A1246" s="65" t="s">
        <v>2792</v>
      </c>
      <c r="B1246" s="66">
        <f t="shared" si="74"/>
        <v>39933</v>
      </c>
      <c r="C1246" s="67">
        <f t="shared" si="75"/>
        <v>2009</v>
      </c>
      <c r="D1246" s="68">
        <v>13.8443</v>
      </c>
      <c r="E1246" s="68">
        <v>13.6485</v>
      </c>
      <c r="F1246" s="68">
        <v>13.8667</v>
      </c>
      <c r="H1246" s="69" t="s">
        <v>2793</v>
      </c>
      <c r="I1246" s="66">
        <f t="shared" si="77"/>
        <v>44681</v>
      </c>
      <c r="J1246" s="70">
        <f t="shared" si="76"/>
        <v>2022</v>
      </c>
      <c r="K1246" s="72" t="s">
        <v>362</v>
      </c>
      <c r="L1246" s="72" t="s">
        <v>362</v>
      </c>
      <c r="M1246" s="71">
        <v>20.567</v>
      </c>
    </row>
    <row r="1247" spans="1:13">
      <c r="A1247" s="57" t="s">
        <v>2794</v>
      </c>
      <c r="B1247" s="58">
        <f t="shared" ref="B1247:B1310" si="78">DATE(RIGHT(A1247,4),LEFT(RIGHT(A1247,7),2),LEFT(A1247,2))</f>
        <v>39934</v>
      </c>
      <c r="C1247" s="59">
        <f t="shared" ref="C1247:C1310" si="79">YEAR(B1247)</f>
        <v>2009</v>
      </c>
      <c r="D1247" s="60" t="s">
        <v>362</v>
      </c>
      <c r="E1247" s="60" t="s">
        <v>362</v>
      </c>
      <c r="F1247" s="61">
        <v>13.6485</v>
      </c>
      <c r="H1247" s="62" t="s">
        <v>2795</v>
      </c>
      <c r="I1247" s="58">
        <f t="shared" si="77"/>
        <v>44682</v>
      </c>
      <c r="J1247" s="60">
        <f t="shared" ref="J1247:J1310" si="80">YEAR(I1247)</f>
        <v>2022</v>
      </c>
      <c r="K1247" s="63" t="s">
        <v>362</v>
      </c>
      <c r="L1247" s="63" t="s">
        <v>362</v>
      </c>
      <c r="M1247" s="64">
        <v>20.567</v>
      </c>
    </row>
    <row r="1248" spans="1:13">
      <c r="A1248" s="65" t="s">
        <v>2796</v>
      </c>
      <c r="B1248" s="66">
        <f t="shared" si="78"/>
        <v>39935</v>
      </c>
      <c r="C1248" s="67">
        <f t="shared" si="79"/>
        <v>2009</v>
      </c>
      <c r="D1248" s="70" t="s">
        <v>362</v>
      </c>
      <c r="E1248" s="70" t="s">
        <v>362</v>
      </c>
      <c r="F1248" s="68">
        <v>13.6485</v>
      </c>
      <c r="H1248" s="69" t="s">
        <v>2797</v>
      </c>
      <c r="I1248" s="66">
        <f t="shared" ref="I1248:I1311" si="81">DATE(RIGHT(H1248,4),LEFT(RIGHT(A1248,7),2),LEFT(A1248,2))</f>
        <v>44683</v>
      </c>
      <c r="J1248" s="70">
        <f t="shared" si="80"/>
        <v>2022</v>
      </c>
      <c r="K1248" s="71">
        <v>20.407499999999999</v>
      </c>
      <c r="L1248" s="71">
        <v>20.372800000000002</v>
      </c>
      <c r="M1248" s="71">
        <v>20.567</v>
      </c>
    </row>
    <row r="1249" spans="1:13">
      <c r="A1249" s="57" t="s">
        <v>2798</v>
      </c>
      <c r="B1249" s="58">
        <f t="shared" si="78"/>
        <v>39936</v>
      </c>
      <c r="C1249" s="59">
        <f t="shared" si="79"/>
        <v>2009</v>
      </c>
      <c r="D1249" s="60" t="s">
        <v>362</v>
      </c>
      <c r="E1249" s="60" t="s">
        <v>362</v>
      </c>
      <c r="F1249" s="61">
        <v>13.6485</v>
      </c>
      <c r="H1249" s="62" t="s">
        <v>2799</v>
      </c>
      <c r="I1249" s="58">
        <f t="shared" si="81"/>
        <v>44684</v>
      </c>
      <c r="J1249" s="60">
        <f t="shared" si="80"/>
        <v>2022</v>
      </c>
      <c r="K1249" s="64">
        <v>20.335000000000001</v>
      </c>
      <c r="L1249" s="64">
        <v>20.407499999999999</v>
      </c>
      <c r="M1249" s="64">
        <v>20.372800000000002</v>
      </c>
    </row>
    <row r="1250" spans="1:13">
      <c r="A1250" s="65" t="s">
        <v>2800</v>
      </c>
      <c r="B1250" s="66">
        <f t="shared" si="78"/>
        <v>39937</v>
      </c>
      <c r="C1250" s="67">
        <f t="shared" si="79"/>
        <v>2009</v>
      </c>
      <c r="D1250" s="68">
        <v>13.35</v>
      </c>
      <c r="E1250" s="68">
        <v>13.8443</v>
      </c>
      <c r="F1250" s="68">
        <v>13.6485</v>
      </c>
      <c r="H1250" s="69" t="s">
        <v>2801</v>
      </c>
      <c r="I1250" s="66">
        <f t="shared" si="81"/>
        <v>44685</v>
      </c>
      <c r="J1250" s="70">
        <f t="shared" si="80"/>
        <v>2022</v>
      </c>
      <c r="K1250" s="71">
        <v>20.253499999999999</v>
      </c>
      <c r="L1250" s="71">
        <v>20.335000000000001</v>
      </c>
      <c r="M1250" s="71">
        <v>20.407499999999999</v>
      </c>
    </row>
    <row r="1251" spans="1:13">
      <c r="A1251" s="57" t="s">
        <v>2802</v>
      </c>
      <c r="B1251" s="58">
        <f t="shared" si="78"/>
        <v>39938</v>
      </c>
      <c r="C1251" s="59">
        <f t="shared" si="79"/>
        <v>2009</v>
      </c>
      <c r="D1251" s="61">
        <v>13.2242</v>
      </c>
      <c r="E1251" s="61">
        <v>13.35</v>
      </c>
      <c r="F1251" s="61">
        <v>13.8443</v>
      </c>
      <c r="H1251" s="62" t="s">
        <v>2803</v>
      </c>
      <c r="I1251" s="58">
        <f t="shared" si="81"/>
        <v>44686</v>
      </c>
      <c r="J1251" s="60">
        <f t="shared" si="80"/>
        <v>2022</v>
      </c>
      <c r="K1251" s="64">
        <v>20.221800000000002</v>
      </c>
      <c r="L1251" s="64">
        <v>20.253499999999999</v>
      </c>
      <c r="M1251" s="64">
        <v>20.335000000000001</v>
      </c>
    </row>
    <row r="1252" spans="1:13">
      <c r="A1252" s="65" t="s">
        <v>2804</v>
      </c>
      <c r="B1252" s="66">
        <f t="shared" si="78"/>
        <v>39939</v>
      </c>
      <c r="C1252" s="67">
        <f t="shared" si="79"/>
        <v>2009</v>
      </c>
      <c r="D1252" s="68">
        <v>13.226800000000001</v>
      </c>
      <c r="E1252" s="68">
        <v>13.2242</v>
      </c>
      <c r="F1252" s="68">
        <v>13.35</v>
      </c>
      <c r="H1252" s="69" t="s">
        <v>2805</v>
      </c>
      <c r="I1252" s="66">
        <f t="shared" si="81"/>
        <v>44687</v>
      </c>
      <c r="J1252" s="70">
        <f t="shared" si="80"/>
        <v>2022</v>
      </c>
      <c r="K1252" s="71">
        <v>20.108499999999999</v>
      </c>
      <c r="L1252" s="71">
        <v>20.221800000000002</v>
      </c>
      <c r="M1252" s="71">
        <v>20.253499999999999</v>
      </c>
    </row>
    <row r="1253" spans="1:13">
      <c r="A1253" s="57" t="s">
        <v>2806</v>
      </c>
      <c r="B1253" s="58">
        <f t="shared" si="78"/>
        <v>39940</v>
      </c>
      <c r="C1253" s="59">
        <f t="shared" si="79"/>
        <v>2009</v>
      </c>
      <c r="D1253" s="61">
        <v>13.110300000000001</v>
      </c>
      <c r="E1253" s="61">
        <v>13.226800000000001</v>
      </c>
      <c r="F1253" s="61">
        <v>13.2242</v>
      </c>
      <c r="H1253" s="62" t="s">
        <v>2807</v>
      </c>
      <c r="I1253" s="58">
        <f t="shared" si="81"/>
        <v>44688</v>
      </c>
      <c r="J1253" s="60">
        <f t="shared" si="80"/>
        <v>2022</v>
      </c>
      <c r="K1253" s="63" t="s">
        <v>362</v>
      </c>
      <c r="L1253" s="63" t="s">
        <v>362</v>
      </c>
      <c r="M1253" s="64">
        <v>20.221800000000002</v>
      </c>
    </row>
    <row r="1254" spans="1:13">
      <c r="A1254" s="65" t="s">
        <v>2808</v>
      </c>
      <c r="B1254" s="66">
        <f t="shared" si="78"/>
        <v>39941</v>
      </c>
      <c r="C1254" s="67">
        <f t="shared" si="79"/>
        <v>2009</v>
      </c>
      <c r="D1254" s="68">
        <v>13.1067</v>
      </c>
      <c r="E1254" s="68">
        <v>13.110300000000001</v>
      </c>
      <c r="F1254" s="68">
        <v>13.226800000000001</v>
      </c>
      <c r="H1254" s="69" t="s">
        <v>2809</v>
      </c>
      <c r="I1254" s="66">
        <f t="shared" si="81"/>
        <v>44689</v>
      </c>
      <c r="J1254" s="70">
        <f t="shared" si="80"/>
        <v>2022</v>
      </c>
      <c r="K1254" s="72" t="s">
        <v>362</v>
      </c>
      <c r="L1254" s="72" t="s">
        <v>362</v>
      </c>
      <c r="M1254" s="71">
        <v>20.221800000000002</v>
      </c>
    </row>
    <row r="1255" spans="1:13">
      <c r="A1255" s="57" t="s">
        <v>2810</v>
      </c>
      <c r="B1255" s="58">
        <f t="shared" si="78"/>
        <v>39942</v>
      </c>
      <c r="C1255" s="59">
        <f t="shared" si="79"/>
        <v>2009</v>
      </c>
      <c r="D1255" s="60" t="s">
        <v>362</v>
      </c>
      <c r="E1255" s="60" t="s">
        <v>362</v>
      </c>
      <c r="F1255" s="61">
        <v>13.110300000000001</v>
      </c>
      <c r="H1255" s="62" t="s">
        <v>2811</v>
      </c>
      <c r="I1255" s="58">
        <f t="shared" si="81"/>
        <v>44690</v>
      </c>
      <c r="J1255" s="60">
        <f t="shared" si="80"/>
        <v>2022</v>
      </c>
      <c r="K1255" s="64">
        <v>20.3172</v>
      </c>
      <c r="L1255" s="64">
        <v>20.108499999999999</v>
      </c>
      <c r="M1255" s="64">
        <v>20.221800000000002</v>
      </c>
    </row>
    <row r="1256" spans="1:13">
      <c r="A1256" s="65" t="s">
        <v>2812</v>
      </c>
      <c r="B1256" s="66">
        <f t="shared" si="78"/>
        <v>39943</v>
      </c>
      <c r="C1256" s="67">
        <f t="shared" si="79"/>
        <v>2009</v>
      </c>
      <c r="D1256" s="70" t="s">
        <v>362</v>
      </c>
      <c r="E1256" s="70" t="s">
        <v>362</v>
      </c>
      <c r="F1256" s="68">
        <v>13.110300000000001</v>
      </c>
      <c r="H1256" s="69" t="s">
        <v>2813</v>
      </c>
      <c r="I1256" s="66">
        <f t="shared" si="81"/>
        <v>44691</v>
      </c>
      <c r="J1256" s="70">
        <f t="shared" si="80"/>
        <v>2022</v>
      </c>
      <c r="K1256" s="71">
        <v>20.372</v>
      </c>
      <c r="L1256" s="71">
        <v>20.3172</v>
      </c>
      <c r="M1256" s="71">
        <v>20.108499999999999</v>
      </c>
    </row>
    <row r="1257" spans="1:13">
      <c r="A1257" s="57" t="s">
        <v>2814</v>
      </c>
      <c r="B1257" s="58">
        <f t="shared" si="78"/>
        <v>39944</v>
      </c>
      <c r="C1257" s="59">
        <f t="shared" si="79"/>
        <v>2009</v>
      </c>
      <c r="D1257" s="61">
        <v>13.1008</v>
      </c>
      <c r="E1257" s="61">
        <v>13.1067</v>
      </c>
      <c r="F1257" s="61">
        <v>13.110300000000001</v>
      </c>
      <c r="H1257" s="62" t="s">
        <v>2815</v>
      </c>
      <c r="I1257" s="58">
        <f t="shared" si="81"/>
        <v>44692</v>
      </c>
      <c r="J1257" s="60">
        <f t="shared" si="80"/>
        <v>2022</v>
      </c>
      <c r="K1257" s="64">
        <v>20.2592</v>
      </c>
      <c r="L1257" s="64">
        <v>20.372</v>
      </c>
      <c r="M1257" s="64">
        <v>20.3172</v>
      </c>
    </row>
    <row r="1258" spans="1:13">
      <c r="A1258" s="65" t="s">
        <v>2816</v>
      </c>
      <c r="B1258" s="66">
        <f t="shared" si="78"/>
        <v>39945</v>
      </c>
      <c r="C1258" s="67">
        <f t="shared" si="79"/>
        <v>2009</v>
      </c>
      <c r="D1258" s="68">
        <v>13.220800000000001</v>
      </c>
      <c r="E1258" s="68">
        <v>13.1008</v>
      </c>
      <c r="F1258" s="68">
        <v>13.1067</v>
      </c>
      <c r="H1258" s="69" t="s">
        <v>2817</v>
      </c>
      <c r="I1258" s="66">
        <f t="shared" si="81"/>
        <v>44693</v>
      </c>
      <c r="J1258" s="70">
        <f t="shared" si="80"/>
        <v>2022</v>
      </c>
      <c r="K1258" s="71">
        <v>20.32</v>
      </c>
      <c r="L1258" s="71">
        <v>20.2592</v>
      </c>
      <c r="M1258" s="71">
        <v>20.372</v>
      </c>
    </row>
    <row r="1259" spans="1:13">
      <c r="A1259" s="57" t="s">
        <v>2818</v>
      </c>
      <c r="B1259" s="58">
        <f t="shared" si="78"/>
        <v>39946</v>
      </c>
      <c r="C1259" s="59">
        <f t="shared" si="79"/>
        <v>2009</v>
      </c>
      <c r="D1259" s="61">
        <v>13.3177</v>
      </c>
      <c r="E1259" s="61">
        <v>13.220800000000001</v>
      </c>
      <c r="F1259" s="61">
        <v>13.1008</v>
      </c>
      <c r="H1259" s="62" t="s">
        <v>2819</v>
      </c>
      <c r="I1259" s="58">
        <f t="shared" si="81"/>
        <v>44694</v>
      </c>
      <c r="J1259" s="60">
        <f t="shared" si="80"/>
        <v>2022</v>
      </c>
      <c r="K1259" s="64">
        <v>20.144300000000001</v>
      </c>
      <c r="L1259" s="64">
        <v>20.32</v>
      </c>
      <c r="M1259" s="64">
        <v>20.2592</v>
      </c>
    </row>
    <row r="1260" spans="1:13">
      <c r="A1260" s="65" t="s">
        <v>2820</v>
      </c>
      <c r="B1260" s="66">
        <f t="shared" si="78"/>
        <v>39947</v>
      </c>
      <c r="C1260" s="67">
        <f t="shared" si="79"/>
        <v>2009</v>
      </c>
      <c r="D1260" s="68">
        <v>13.298299999999999</v>
      </c>
      <c r="E1260" s="68">
        <v>13.3177</v>
      </c>
      <c r="F1260" s="68">
        <v>13.220800000000001</v>
      </c>
      <c r="H1260" s="69" t="s">
        <v>2821</v>
      </c>
      <c r="I1260" s="66">
        <f t="shared" si="81"/>
        <v>44695</v>
      </c>
      <c r="J1260" s="70">
        <f t="shared" si="80"/>
        <v>2022</v>
      </c>
      <c r="K1260" s="72" t="s">
        <v>362</v>
      </c>
      <c r="L1260" s="72" t="s">
        <v>362</v>
      </c>
      <c r="M1260" s="71">
        <v>20.32</v>
      </c>
    </row>
    <row r="1261" spans="1:13">
      <c r="A1261" s="57" t="s">
        <v>2822</v>
      </c>
      <c r="B1261" s="58">
        <f t="shared" si="78"/>
        <v>39948</v>
      </c>
      <c r="C1261" s="59">
        <f t="shared" si="79"/>
        <v>2009</v>
      </c>
      <c r="D1261" s="61">
        <v>13.2058</v>
      </c>
      <c r="E1261" s="61">
        <v>13.298299999999999</v>
      </c>
      <c r="F1261" s="61">
        <v>13.3177</v>
      </c>
      <c r="H1261" s="62" t="s">
        <v>2823</v>
      </c>
      <c r="I1261" s="58">
        <f t="shared" si="81"/>
        <v>44696</v>
      </c>
      <c r="J1261" s="60">
        <f t="shared" si="80"/>
        <v>2022</v>
      </c>
      <c r="K1261" s="63" t="s">
        <v>362</v>
      </c>
      <c r="L1261" s="63" t="s">
        <v>362</v>
      </c>
      <c r="M1261" s="64">
        <v>20.32</v>
      </c>
    </row>
    <row r="1262" spans="1:13">
      <c r="A1262" s="65" t="s">
        <v>2824</v>
      </c>
      <c r="B1262" s="66">
        <f t="shared" si="78"/>
        <v>39949</v>
      </c>
      <c r="C1262" s="67">
        <f t="shared" si="79"/>
        <v>2009</v>
      </c>
      <c r="D1262" s="70" t="s">
        <v>362</v>
      </c>
      <c r="E1262" s="70" t="s">
        <v>362</v>
      </c>
      <c r="F1262" s="68">
        <v>13.298299999999999</v>
      </c>
      <c r="H1262" s="69" t="s">
        <v>2825</v>
      </c>
      <c r="I1262" s="66">
        <f t="shared" si="81"/>
        <v>44697</v>
      </c>
      <c r="J1262" s="70">
        <f t="shared" si="80"/>
        <v>2022</v>
      </c>
      <c r="K1262" s="71">
        <v>20.078199999999999</v>
      </c>
      <c r="L1262" s="71">
        <v>20.144300000000001</v>
      </c>
      <c r="M1262" s="71">
        <v>20.32</v>
      </c>
    </row>
    <row r="1263" spans="1:13">
      <c r="A1263" s="57" t="s">
        <v>2826</v>
      </c>
      <c r="B1263" s="58">
        <f t="shared" si="78"/>
        <v>39950</v>
      </c>
      <c r="C1263" s="59">
        <f t="shared" si="79"/>
        <v>2009</v>
      </c>
      <c r="D1263" s="60" t="s">
        <v>362</v>
      </c>
      <c r="E1263" s="60" t="s">
        <v>362</v>
      </c>
      <c r="F1263" s="61">
        <v>13.298299999999999</v>
      </c>
      <c r="H1263" s="62" t="s">
        <v>2827</v>
      </c>
      <c r="I1263" s="58">
        <f t="shared" si="81"/>
        <v>44698</v>
      </c>
      <c r="J1263" s="60">
        <f t="shared" si="80"/>
        <v>2022</v>
      </c>
      <c r="K1263" s="64">
        <v>19.963699999999999</v>
      </c>
      <c r="L1263" s="64">
        <v>20.078199999999999</v>
      </c>
      <c r="M1263" s="64">
        <v>20.144300000000001</v>
      </c>
    </row>
    <row r="1264" spans="1:13">
      <c r="A1264" s="65" t="s">
        <v>2828</v>
      </c>
      <c r="B1264" s="66">
        <f t="shared" si="78"/>
        <v>39951</v>
      </c>
      <c r="C1264" s="67">
        <f t="shared" si="79"/>
        <v>2009</v>
      </c>
      <c r="D1264" s="68">
        <v>13.1363</v>
      </c>
      <c r="E1264" s="68">
        <v>13.2058</v>
      </c>
      <c r="F1264" s="68">
        <v>13.298299999999999</v>
      </c>
      <c r="H1264" s="69" t="s">
        <v>2829</v>
      </c>
      <c r="I1264" s="66">
        <f t="shared" si="81"/>
        <v>44699</v>
      </c>
      <c r="J1264" s="70">
        <f t="shared" si="80"/>
        <v>2022</v>
      </c>
      <c r="K1264" s="71">
        <v>19.9663</v>
      </c>
      <c r="L1264" s="71">
        <v>19.963699999999999</v>
      </c>
      <c r="M1264" s="71">
        <v>20.078199999999999</v>
      </c>
    </row>
    <row r="1265" spans="1:13">
      <c r="A1265" s="57" t="s">
        <v>2830</v>
      </c>
      <c r="B1265" s="58">
        <f t="shared" si="78"/>
        <v>39952</v>
      </c>
      <c r="C1265" s="59">
        <f t="shared" si="79"/>
        <v>2009</v>
      </c>
      <c r="D1265" s="61">
        <v>12.968</v>
      </c>
      <c r="E1265" s="61">
        <v>13.1363</v>
      </c>
      <c r="F1265" s="61">
        <v>13.2058</v>
      </c>
      <c r="H1265" s="62" t="s">
        <v>2831</v>
      </c>
      <c r="I1265" s="58">
        <f t="shared" si="81"/>
        <v>44700</v>
      </c>
      <c r="J1265" s="60">
        <f t="shared" si="80"/>
        <v>2022</v>
      </c>
      <c r="K1265" s="64">
        <v>19.9267</v>
      </c>
      <c r="L1265" s="64">
        <v>19.9663</v>
      </c>
      <c r="M1265" s="64">
        <v>19.963699999999999</v>
      </c>
    </row>
    <row r="1266" spans="1:13">
      <c r="A1266" s="65" t="s">
        <v>2832</v>
      </c>
      <c r="B1266" s="66">
        <f t="shared" si="78"/>
        <v>39953</v>
      </c>
      <c r="C1266" s="67">
        <f t="shared" si="79"/>
        <v>2009</v>
      </c>
      <c r="D1266" s="68">
        <v>12.8695</v>
      </c>
      <c r="E1266" s="68">
        <v>12.968</v>
      </c>
      <c r="F1266" s="68">
        <v>13.1363</v>
      </c>
      <c r="H1266" s="69" t="s">
        <v>2833</v>
      </c>
      <c r="I1266" s="66">
        <f t="shared" si="81"/>
        <v>44701</v>
      </c>
      <c r="J1266" s="70">
        <f t="shared" si="80"/>
        <v>2022</v>
      </c>
      <c r="K1266" s="71">
        <v>19.8657</v>
      </c>
      <c r="L1266" s="71">
        <v>19.9267</v>
      </c>
      <c r="M1266" s="71">
        <v>19.9663</v>
      </c>
    </row>
    <row r="1267" spans="1:13">
      <c r="A1267" s="57" t="s">
        <v>2834</v>
      </c>
      <c r="B1267" s="58">
        <f t="shared" si="78"/>
        <v>39954</v>
      </c>
      <c r="C1267" s="59">
        <f t="shared" si="79"/>
        <v>2009</v>
      </c>
      <c r="D1267" s="61">
        <v>13.103</v>
      </c>
      <c r="E1267" s="61">
        <v>12.8695</v>
      </c>
      <c r="F1267" s="61">
        <v>12.968</v>
      </c>
      <c r="H1267" s="62" t="s">
        <v>2835</v>
      </c>
      <c r="I1267" s="58">
        <f t="shared" si="81"/>
        <v>44702</v>
      </c>
      <c r="J1267" s="60">
        <f t="shared" si="80"/>
        <v>2022</v>
      </c>
      <c r="K1267" s="63" t="s">
        <v>362</v>
      </c>
      <c r="L1267" s="63" t="s">
        <v>362</v>
      </c>
      <c r="M1267" s="64">
        <v>19.9267</v>
      </c>
    </row>
    <row r="1268" spans="1:13">
      <c r="A1268" s="65" t="s">
        <v>2836</v>
      </c>
      <c r="B1268" s="66">
        <f t="shared" si="78"/>
        <v>39955</v>
      </c>
      <c r="C1268" s="67">
        <f t="shared" si="79"/>
        <v>2009</v>
      </c>
      <c r="D1268" s="68">
        <v>13.172800000000001</v>
      </c>
      <c r="E1268" s="68">
        <v>13.103</v>
      </c>
      <c r="F1268" s="68">
        <v>12.8695</v>
      </c>
      <c r="H1268" s="69" t="s">
        <v>2837</v>
      </c>
      <c r="I1268" s="66">
        <f t="shared" si="81"/>
        <v>44703</v>
      </c>
      <c r="J1268" s="70">
        <f t="shared" si="80"/>
        <v>2022</v>
      </c>
      <c r="K1268" s="72" t="s">
        <v>362</v>
      </c>
      <c r="L1268" s="72" t="s">
        <v>362</v>
      </c>
      <c r="M1268" s="71">
        <v>19.9267</v>
      </c>
    </row>
    <row r="1269" spans="1:13">
      <c r="A1269" s="57" t="s">
        <v>2838</v>
      </c>
      <c r="B1269" s="58">
        <f t="shared" si="78"/>
        <v>39956</v>
      </c>
      <c r="C1269" s="59">
        <f t="shared" si="79"/>
        <v>2009</v>
      </c>
      <c r="D1269" s="60" t="s">
        <v>362</v>
      </c>
      <c r="E1269" s="60" t="s">
        <v>362</v>
      </c>
      <c r="F1269" s="61">
        <v>13.103</v>
      </c>
      <c r="H1269" s="62" t="s">
        <v>2839</v>
      </c>
      <c r="I1269" s="58">
        <f t="shared" si="81"/>
        <v>44704</v>
      </c>
      <c r="J1269" s="60">
        <f t="shared" si="80"/>
        <v>2022</v>
      </c>
      <c r="K1269" s="64">
        <v>19.828199999999999</v>
      </c>
      <c r="L1269" s="64">
        <v>19.8657</v>
      </c>
      <c r="M1269" s="64">
        <v>19.9267</v>
      </c>
    </row>
    <row r="1270" spans="1:13">
      <c r="A1270" s="65" t="s">
        <v>2840</v>
      </c>
      <c r="B1270" s="66">
        <f t="shared" si="78"/>
        <v>39957</v>
      </c>
      <c r="C1270" s="67">
        <f t="shared" si="79"/>
        <v>2009</v>
      </c>
      <c r="D1270" s="70" t="s">
        <v>362</v>
      </c>
      <c r="E1270" s="70" t="s">
        <v>362</v>
      </c>
      <c r="F1270" s="68">
        <v>13.103</v>
      </c>
      <c r="H1270" s="69" t="s">
        <v>2841</v>
      </c>
      <c r="I1270" s="66">
        <f t="shared" si="81"/>
        <v>44705</v>
      </c>
      <c r="J1270" s="70">
        <f t="shared" si="80"/>
        <v>2022</v>
      </c>
      <c r="K1270" s="71">
        <v>19.887</v>
      </c>
      <c r="L1270" s="71">
        <v>19.828199999999999</v>
      </c>
      <c r="M1270" s="71">
        <v>19.8657</v>
      </c>
    </row>
    <row r="1271" spans="1:13">
      <c r="A1271" s="57" t="s">
        <v>2842</v>
      </c>
      <c r="B1271" s="58">
        <f t="shared" si="78"/>
        <v>39958</v>
      </c>
      <c r="C1271" s="59">
        <f t="shared" si="79"/>
        <v>2009</v>
      </c>
      <c r="D1271" s="61">
        <v>13.137499999999999</v>
      </c>
      <c r="E1271" s="61">
        <v>13.172800000000001</v>
      </c>
      <c r="F1271" s="61">
        <v>13.103</v>
      </c>
      <c r="H1271" s="62" t="s">
        <v>2843</v>
      </c>
      <c r="I1271" s="58">
        <f t="shared" si="81"/>
        <v>44706</v>
      </c>
      <c r="J1271" s="60">
        <f t="shared" si="80"/>
        <v>2022</v>
      </c>
      <c r="K1271" s="64">
        <v>19.837700000000002</v>
      </c>
      <c r="L1271" s="64">
        <v>19.887</v>
      </c>
      <c r="M1271" s="64">
        <v>19.828199999999999</v>
      </c>
    </row>
    <row r="1272" spans="1:13">
      <c r="A1272" s="65" t="s">
        <v>2844</v>
      </c>
      <c r="B1272" s="66">
        <f t="shared" si="78"/>
        <v>39959</v>
      </c>
      <c r="C1272" s="67">
        <f t="shared" si="79"/>
        <v>2009</v>
      </c>
      <c r="D1272" s="68">
        <v>13.133800000000001</v>
      </c>
      <c r="E1272" s="68">
        <v>13.137499999999999</v>
      </c>
      <c r="F1272" s="68">
        <v>13.172800000000001</v>
      </c>
      <c r="H1272" s="69" t="s">
        <v>2845</v>
      </c>
      <c r="I1272" s="66">
        <f t="shared" si="81"/>
        <v>44707</v>
      </c>
      <c r="J1272" s="70">
        <f t="shared" si="80"/>
        <v>2022</v>
      </c>
      <c r="K1272" s="71">
        <v>19.793299999999999</v>
      </c>
      <c r="L1272" s="71">
        <v>19.837700000000002</v>
      </c>
      <c r="M1272" s="71">
        <v>19.887</v>
      </c>
    </row>
    <row r="1273" spans="1:13">
      <c r="A1273" s="57" t="s">
        <v>2846</v>
      </c>
      <c r="B1273" s="58">
        <f t="shared" si="78"/>
        <v>39960</v>
      </c>
      <c r="C1273" s="59">
        <f t="shared" si="79"/>
        <v>2009</v>
      </c>
      <c r="D1273" s="61">
        <v>13.159000000000001</v>
      </c>
      <c r="E1273" s="61">
        <v>13.133800000000001</v>
      </c>
      <c r="F1273" s="61">
        <v>13.137499999999999</v>
      </c>
      <c r="H1273" s="62" t="s">
        <v>2847</v>
      </c>
      <c r="I1273" s="58">
        <f t="shared" si="81"/>
        <v>44708</v>
      </c>
      <c r="J1273" s="60">
        <f t="shared" si="80"/>
        <v>2022</v>
      </c>
      <c r="K1273" s="64">
        <v>19.596499999999999</v>
      </c>
      <c r="L1273" s="64">
        <v>19.793299999999999</v>
      </c>
      <c r="M1273" s="64">
        <v>19.837700000000002</v>
      </c>
    </row>
    <row r="1274" spans="1:13">
      <c r="A1274" s="65" t="s">
        <v>2848</v>
      </c>
      <c r="B1274" s="66">
        <f t="shared" si="78"/>
        <v>39961</v>
      </c>
      <c r="C1274" s="67">
        <f t="shared" si="79"/>
        <v>2009</v>
      </c>
      <c r="D1274" s="68">
        <v>13.233700000000001</v>
      </c>
      <c r="E1274" s="68">
        <v>13.159000000000001</v>
      </c>
      <c r="F1274" s="68">
        <v>13.133800000000001</v>
      </c>
      <c r="H1274" s="69" t="s">
        <v>2849</v>
      </c>
      <c r="I1274" s="66">
        <f t="shared" si="81"/>
        <v>44709</v>
      </c>
      <c r="J1274" s="70">
        <f t="shared" si="80"/>
        <v>2022</v>
      </c>
      <c r="K1274" s="72" t="s">
        <v>362</v>
      </c>
      <c r="L1274" s="72" t="s">
        <v>362</v>
      </c>
      <c r="M1274" s="71">
        <v>19.793299999999999</v>
      </c>
    </row>
    <row r="1275" spans="1:13">
      <c r="A1275" s="57" t="s">
        <v>2850</v>
      </c>
      <c r="B1275" s="58">
        <f t="shared" si="78"/>
        <v>39962</v>
      </c>
      <c r="C1275" s="59">
        <f t="shared" si="79"/>
        <v>2009</v>
      </c>
      <c r="D1275" s="61">
        <v>13.166700000000001</v>
      </c>
      <c r="E1275" s="61">
        <v>13.233700000000001</v>
      </c>
      <c r="F1275" s="61">
        <v>13.159000000000001</v>
      </c>
      <c r="H1275" s="62" t="s">
        <v>2851</v>
      </c>
      <c r="I1275" s="58">
        <f t="shared" si="81"/>
        <v>44710</v>
      </c>
      <c r="J1275" s="60">
        <f t="shared" si="80"/>
        <v>2022</v>
      </c>
      <c r="K1275" s="63" t="s">
        <v>362</v>
      </c>
      <c r="L1275" s="63" t="s">
        <v>362</v>
      </c>
      <c r="M1275" s="64">
        <v>19.793299999999999</v>
      </c>
    </row>
    <row r="1276" spans="1:13">
      <c r="A1276" s="65" t="s">
        <v>2852</v>
      </c>
      <c r="B1276" s="66">
        <f t="shared" si="78"/>
        <v>39963</v>
      </c>
      <c r="C1276" s="67">
        <f t="shared" si="79"/>
        <v>2009</v>
      </c>
      <c r="D1276" s="70" t="s">
        <v>362</v>
      </c>
      <c r="E1276" s="70" t="s">
        <v>362</v>
      </c>
      <c r="F1276" s="68">
        <v>13.233700000000001</v>
      </c>
      <c r="H1276" s="69" t="s">
        <v>2853</v>
      </c>
      <c r="I1276" s="66">
        <f t="shared" si="81"/>
        <v>44711</v>
      </c>
      <c r="J1276" s="70">
        <f t="shared" si="80"/>
        <v>2022</v>
      </c>
      <c r="K1276" s="71">
        <v>19.4953</v>
      </c>
      <c r="L1276" s="71">
        <v>19.596499999999999</v>
      </c>
      <c r="M1276" s="71">
        <v>19.793299999999999</v>
      </c>
    </row>
    <row r="1277" spans="1:13">
      <c r="A1277" s="57" t="s">
        <v>2854</v>
      </c>
      <c r="B1277" s="58">
        <f t="shared" si="78"/>
        <v>39964</v>
      </c>
      <c r="C1277" s="59">
        <f t="shared" si="79"/>
        <v>2009</v>
      </c>
      <c r="D1277" s="60" t="s">
        <v>362</v>
      </c>
      <c r="E1277" s="60" t="s">
        <v>362</v>
      </c>
      <c r="F1277" s="61">
        <v>13.233700000000001</v>
      </c>
      <c r="H1277" s="62" t="s">
        <v>2855</v>
      </c>
      <c r="I1277" s="58">
        <f t="shared" si="81"/>
        <v>44712</v>
      </c>
      <c r="J1277" s="60">
        <f t="shared" si="80"/>
        <v>2022</v>
      </c>
      <c r="K1277" s="64">
        <v>19.693999999999999</v>
      </c>
      <c r="L1277" s="64">
        <v>19.4953</v>
      </c>
      <c r="M1277" s="64">
        <v>19.596499999999999</v>
      </c>
    </row>
    <row r="1278" spans="1:13">
      <c r="A1278" s="65" t="s">
        <v>2856</v>
      </c>
      <c r="B1278" s="66">
        <f t="shared" si="78"/>
        <v>39965</v>
      </c>
      <c r="C1278" s="67">
        <f t="shared" si="79"/>
        <v>2009</v>
      </c>
      <c r="D1278" s="68">
        <v>13.154999999999999</v>
      </c>
      <c r="E1278" s="68">
        <v>13.166700000000001</v>
      </c>
      <c r="F1278" s="68">
        <v>13.233700000000001</v>
      </c>
      <c r="H1278" s="69" t="s">
        <v>2857</v>
      </c>
      <c r="I1278" s="66">
        <f t="shared" si="81"/>
        <v>44713</v>
      </c>
      <c r="J1278" s="70">
        <f t="shared" si="80"/>
        <v>2022</v>
      </c>
      <c r="K1278" s="71">
        <v>19.738800000000001</v>
      </c>
      <c r="L1278" s="71">
        <v>19.693999999999999</v>
      </c>
      <c r="M1278" s="71">
        <v>19.4953</v>
      </c>
    </row>
    <row r="1279" spans="1:13">
      <c r="A1279" s="57" t="s">
        <v>2858</v>
      </c>
      <c r="B1279" s="58">
        <f t="shared" si="78"/>
        <v>39966</v>
      </c>
      <c r="C1279" s="59">
        <f t="shared" si="79"/>
        <v>2009</v>
      </c>
      <c r="D1279" s="61">
        <v>13.260899999999999</v>
      </c>
      <c r="E1279" s="61">
        <v>13.154999999999999</v>
      </c>
      <c r="F1279" s="61">
        <v>13.166700000000001</v>
      </c>
      <c r="H1279" s="62" t="s">
        <v>2859</v>
      </c>
      <c r="I1279" s="58">
        <f t="shared" si="81"/>
        <v>44714</v>
      </c>
      <c r="J1279" s="60">
        <f t="shared" si="80"/>
        <v>2022</v>
      </c>
      <c r="K1279" s="64">
        <v>19.558499999999999</v>
      </c>
      <c r="L1279" s="64">
        <v>19.738800000000001</v>
      </c>
      <c r="M1279" s="64">
        <v>19.693999999999999</v>
      </c>
    </row>
    <row r="1280" spans="1:13">
      <c r="A1280" s="65" t="s">
        <v>2860</v>
      </c>
      <c r="B1280" s="66">
        <f t="shared" si="78"/>
        <v>39967</v>
      </c>
      <c r="C1280" s="67">
        <f t="shared" si="79"/>
        <v>2009</v>
      </c>
      <c r="D1280" s="68">
        <v>13.3172</v>
      </c>
      <c r="E1280" s="68">
        <v>13.260899999999999</v>
      </c>
      <c r="F1280" s="68">
        <v>13.154999999999999</v>
      </c>
      <c r="H1280" s="69" t="s">
        <v>2861</v>
      </c>
      <c r="I1280" s="66">
        <f t="shared" si="81"/>
        <v>44715</v>
      </c>
      <c r="J1280" s="70">
        <f t="shared" si="80"/>
        <v>2022</v>
      </c>
      <c r="K1280" s="71">
        <v>19.574200000000001</v>
      </c>
      <c r="L1280" s="71">
        <v>19.558499999999999</v>
      </c>
      <c r="M1280" s="71">
        <v>19.738800000000001</v>
      </c>
    </row>
    <row r="1281" spans="1:13">
      <c r="A1281" s="57" t="s">
        <v>2862</v>
      </c>
      <c r="B1281" s="58">
        <f t="shared" si="78"/>
        <v>39968</v>
      </c>
      <c r="C1281" s="59">
        <f t="shared" si="79"/>
        <v>2009</v>
      </c>
      <c r="D1281" s="61">
        <v>13.2675</v>
      </c>
      <c r="E1281" s="61">
        <v>13.3172</v>
      </c>
      <c r="F1281" s="61">
        <v>13.260899999999999</v>
      </c>
      <c r="H1281" s="62" t="s">
        <v>2863</v>
      </c>
      <c r="I1281" s="58">
        <f t="shared" si="81"/>
        <v>44716</v>
      </c>
      <c r="J1281" s="60">
        <f t="shared" si="80"/>
        <v>2022</v>
      </c>
      <c r="K1281" s="63" t="s">
        <v>362</v>
      </c>
      <c r="L1281" s="63" t="s">
        <v>362</v>
      </c>
      <c r="M1281" s="64">
        <v>19.558499999999999</v>
      </c>
    </row>
    <row r="1282" spans="1:13">
      <c r="A1282" s="65" t="s">
        <v>2864</v>
      </c>
      <c r="B1282" s="66">
        <f t="shared" si="78"/>
        <v>39969</v>
      </c>
      <c r="C1282" s="67">
        <f t="shared" si="79"/>
        <v>2009</v>
      </c>
      <c r="D1282" s="68">
        <v>13.2768</v>
      </c>
      <c r="E1282" s="68">
        <v>13.2675</v>
      </c>
      <c r="F1282" s="68">
        <v>13.3172</v>
      </c>
      <c r="H1282" s="69" t="s">
        <v>2865</v>
      </c>
      <c r="I1282" s="66">
        <f t="shared" si="81"/>
        <v>44717</v>
      </c>
      <c r="J1282" s="70">
        <f t="shared" si="80"/>
        <v>2022</v>
      </c>
      <c r="K1282" s="72" t="s">
        <v>362</v>
      </c>
      <c r="L1282" s="72" t="s">
        <v>362</v>
      </c>
      <c r="M1282" s="71">
        <v>19.558499999999999</v>
      </c>
    </row>
    <row r="1283" spans="1:13">
      <c r="A1283" s="57" t="s">
        <v>2866</v>
      </c>
      <c r="B1283" s="58">
        <f t="shared" si="78"/>
        <v>39970</v>
      </c>
      <c r="C1283" s="59">
        <f t="shared" si="79"/>
        <v>2009</v>
      </c>
      <c r="D1283" s="60" t="s">
        <v>362</v>
      </c>
      <c r="E1283" s="60" t="s">
        <v>362</v>
      </c>
      <c r="F1283" s="61">
        <v>13.2675</v>
      </c>
      <c r="H1283" s="62" t="s">
        <v>2867</v>
      </c>
      <c r="I1283" s="58">
        <f t="shared" si="81"/>
        <v>44718</v>
      </c>
      <c r="J1283" s="60">
        <f t="shared" si="80"/>
        <v>2022</v>
      </c>
      <c r="K1283" s="64">
        <v>19.5547</v>
      </c>
      <c r="L1283" s="64">
        <v>19.574200000000001</v>
      </c>
      <c r="M1283" s="64">
        <v>19.558499999999999</v>
      </c>
    </row>
    <row r="1284" spans="1:13">
      <c r="A1284" s="65" t="s">
        <v>2868</v>
      </c>
      <c r="B1284" s="66">
        <f t="shared" si="78"/>
        <v>39971</v>
      </c>
      <c r="C1284" s="67">
        <f t="shared" si="79"/>
        <v>2009</v>
      </c>
      <c r="D1284" s="70" t="s">
        <v>362</v>
      </c>
      <c r="E1284" s="70" t="s">
        <v>362</v>
      </c>
      <c r="F1284" s="68">
        <v>13.2675</v>
      </c>
      <c r="H1284" s="69" t="s">
        <v>2869</v>
      </c>
      <c r="I1284" s="66">
        <f t="shared" si="81"/>
        <v>44719</v>
      </c>
      <c r="J1284" s="70">
        <f t="shared" si="80"/>
        <v>2022</v>
      </c>
      <c r="K1284" s="71">
        <v>19.599799999999998</v>
      </c>
      <c r="L1284" s="71">
        <v>19.5547</v>
      </c>
      <c r="M1284" s="71">
        <v>19.574200000000001</v>
      </c>
    </row>
    <row r="1285" spans="1:13">
      <c r="A1285" s="57" t="s">
        <v>2870</v>
      </c>
      <c r="B1285" s="58">
        <f t="shared" si="78"/>
        <v>39972</v>
      </c>
      <c r="C1285" s="59">
        <f t="shared" si="79"/>
        <v>2009</v>
      </c>
      <c r="D1285" s="61">
        <v>13.45</v>
      </c>
      <c r="E1285" s="61">
        <v>13.2768</v>
      </c>
      <c r="F1285" s="61">
        <v>13.2675</v>
      </c>
      <c r="H1285" s="62" t="s">
        <v>2871</v>
      </c>
      <c r="I1285" s="58">
        <f t="shared" si="81"/>
        <v>44720</v>
      </c>
      <c r="J1285" s="60">
        <f t="shared" si="80"/>
        <v>2022</v>
      </c>
      <c r="K1285" s="64">
        <v>19.59</v>
      </c>
      <c r="L1285" s="64">
        <v>19.599799999999998</v>
      </c>
      <c r="M1285" s="64">
        <v>19.5547</v>
      </c>
    </row>
    <row r="1286" spans="1:13">
      <c r="A1286" s="65" t="s">
        <v>2872</v>
      </c>
      <c r="B1286" s="66">
        <f t="shared" si="78"/>
        <v>39973</v>
      </c>
      <c r="C1286" s="67">
        <f t="shared" si="79"/>
        <v>2009</v>
      </c>
      <c r="D1286" s="68">
        <v>13.4793</v>
      </c>
      <c r="E1286" s="68">
        <v>13.45</v>
      </c>
      <c r="F1286" s="68">
        <v>13.2768</v>
      </c>
      <c r="H1286" s="69" t="s">
        <v>2873</v>
      </c>
      <c r="I1286" s="66">
        <f t="shared" si="81"/>
        <v>44721</v>
      </c>
      <c r="J1286" s="70">
        <f t="shared" si="80"/>
        <v>2022</v>
      </c>
      <c r="K1286" s="71">
        <v>19.6128</v>
      </c>
      <c r="L1286" s="71">
        <v>19.59</v>
      </c>
      <c r="M1286" s="71">
        <v>19.599799999999998</v>
      </c>
    </row>
    <row r="1287" spans="1:13">
      <c r="A1287" s="57" t="s">
        <v>2874</v>
      </c>
      <c r="B1287" s="58">
        <f t="shared" si="78"/>
        <v>39974</v>
      </c>
      <c r="C1287" s="59">
        <f t="shared" si="79"/>
        <v>2009</v>
      </c>
      <c r="D1287" s="61">
        <v>13.650700000000001</v>
      </c>
      <c r="E1287" s="61">
        <v>13.4793</v>
      </c>
      <c r="F1287" s="61">
        <v>13.45</v>
      </c>
      <c r="H1287" s="62" t="s">
        <v>2875</v>
      </c>
      <c r="I1287" s="58">
        <f t="shared" si="81"/>
        <v>44722</v>
      </c>
      <c r="J1287" s="60">
        <f t="shared" si="80"/>
        <v>2022</v>
      </c>
      <c r="K1287" s="64">
        <v>19.9297</v>
      </c>
      <c r="L1287" s="64">
        <v>19.6128</v>
      </c>
      <c r="M1287" s="64">
        <v>19.59</v>
      </c>
    </row>
    <row r="1288" spans="1:13">
      <c r="A1288" s="65" t="s">
        <v>2876</v>
      </c>
      <c r="B1288" s="66">
        <f t="shared" si="78"/>
        <v>39975</v>
      </c>
      <c r="C1288" s="67">
        <f t="shared" si="79"/>
        <v>2009</v>
      </c>
      <c r="D1288" s="68">
        <v>13.4581</v>
      </c>
      <c r="E1288" s="68">
        <v>13.650700000000001</v>
      </c>
      <c r="F1288" s="68">
        <v>13.4793</v>
      </c>
      <c r="H1288" s="69" t="s">
        <v>2877</v>
      </c>
      <c r="I1288" s="66">
        <f t="shared" si="81"/>
        <v>44723</v>
      </c>
      <c r="J1288" s="70">
        <f t="shared" si="80"/>
        <v>2022</v>
      </c>
      <c r="K1288" s="72" t="s">
        <v>362</v>
      </c>
      <c r="L1288" s="72" t="s">
        <v>362</v>
      </c>
      <c r="M1288" s="71">
        <v>19.6128</v>
      </c>
    </row>
    <row r="1289" spans="1:13">
      <c r="A1289" s="57" t="s">
        <v>2878</v>
      </c>
      <c r="B1289" s="58">
        <f t="shared" si="78"/>
        <v>39976</v>
      </c>
      <c r="C1289" s="59">
        <f t="shared" si="79"/>
        <v>2009</v>
      </c>
      <c r="D1289" s="61">
        <v>13.399699999999999</v>
      </c>
      <c r="E1289" s="61">
        <v>13.4581</v>
      </c>
      <c r="F1289" s="61">
        <v>13.650700000000001</v>
      </c>
      <c r="H1289" s="62" t="s">
        <v>2879</v>
      </c>
      <c r="I1289" s="58">
        <f t="shared" si="81"/>
        <v>44724</v>
      </c>
      <c r="J1289" s="60">
        <f t="shared" si="80"/>
        <v>2022</v>
      </c>
      <c r="K1289" s="63" t="s">
        <v>362</v>
      </c>
      <c r="L1289" s="63" t="s">
        <v>362</v>
      </c>
      <c r="M1289" s="64">
        <v>19.6128</v>
      </c>
    </row>
    <row r="1290" spans="1:13">
      <c r="A1290" s="65" t="s">
        <v>2880</v>
      </c>
      <c r="B1290" s="66">
        <f t="shared" si="78"/>
        <v>39977</v>
      </c>
      <c r="C1290" s="67">
        <f t="shared" si="79"/>
        <v>2009</v>
      </c>
      <c r="D1290" s="70" t="s">
        <v>362</v>
      </c>
      <c r="E1290" s="70" t="s">
        <v>362</v>
      </c>
      <c r="F1290" s="68">
        <v>13.4581</v>
      </c>
      <c r="H1290" s="69" t="s">
        <v>2881</v>
      </c>
      <c r="I1290" s="66">
        <f t="shared" si="81"/>
        <v>44725</v>
      </c>
      <c r="J1290" s="70">
        <f t="shared" si="80"/>
        <v>2022</v>
      </c>
      <c r="K1290" s="71">
        <v>20.4527</v>
      </c>
      <c r="L1290" s="71">
        <v>19.9297</v>
      </c>
      <c r="M1290" s="71">
        <v>19.6128</v>
      </c>
    </row>
    <row r="1291" spans="1:13">
      <c r="A1291" s="57" t="s">
        <v>2882</v>
      </c>
      <c r="B1291" s="58">
        <f t="shared" si="78"/>
        <v>39978</v>
      </c>
      <c r="C1291" s="59">
        <f t="shared" si="79"/>
        <v>2009</v>
      </c>
      <c r="D1291" s="60" t="s">
        <v>362</v>
      </c>
      <c r="E1291" s="60" t="s">
        <v>362</v>
      </c>
      <c r="F1291" s="61">
        <v>13.4581</v>
      </c>
      <c r="H1291" s="62" t="s">
        <v>2883</v>
      </c>
      <c r="I1291" s="58">
        <f t="shared" si="81"/>
        <v>44726</v>
      </c>
      <c r="J1291" s="60">
        <f t="shared" si="80"/>
        <v>2022</v>
      </c>
      <c r="K1291" s="64">
        <v>20.658300000000001</v>
      </c>
      <c r="L1291" s="64">
        <v>20.4527</v>
      </c>
      <c r="M1291" s="64">
        <v>19.9297</v>
      </c>
    </row>
    <row r="1292" spans="1:13">
      <c r="A1292" s="65" t="s">
        <v>2884</v>
      </c>
      <c r="B1292" s="66">
        <f t="shared" si="78"/>
        <v>39979</v>
      </c>
      <c r="C1292" s="67">
        <f t="shared" si="79"/>
        <v>2009</v>
      </c>
      <c r="D1292" s="68">
        <v>13.452299999999999</v>
      </c>
      <c r="E1292" s="68">
        <v>13.399699999999999</v>
      </c>
      <c r="F1292" s="68">
        <v>13.4581</v>
      </c>
      <c r="H1292" s="69" t="s">
        <v>2885</v>
      </c>
      <c r="I1292" s="66">
        <f t="shared" si="81"/>
        <v>44727</v>
      </c>
      <c r="J1292" s="70">
        <f t="shared" si="80"/>
        <v>2022</v>
      </c>
      <c r="K1292" s="71">
        <v>20.6675</v>
      </c>
      <c r="L1292" s="71">
        <v>20.658300000000001</v>
      </c>
      <c r="M1292" s="71">
        <v>20.4527</v>
      </c>
    </row>
    <row r="1293" spans="1:13">
      <c r="A1293" s="57" t="s">
        <v>2886</v>
      </c>
      <c r="B1293" s="58">
        <f t="shared" si="78"/>
        <v>39980</v>
      </c>
      <c r="C1293" s="59">
        <f t="shared" si="79"/>
        <v>2009</v>
      </c>
      <c r="D1293" s="61">
        <v>13.352499999999999</v>
      </c>
      <c r="E1293" s="61">
        <v>13.452299999999999</v>
      </c>
      <c r="F1293" s="61">
        <v>13.399699999999999</v>
      </c>
      <c r="H1293" s="62" t="s">
        <v>2887</v>
      </c>
      <c r="I1293" s="58">
        <f t="shared" si="81"/>
        <v>44728</v>
      </c>
      <c r="J1293" s="60">
        <f t="shared" si="80"/>
        <v>2022</v>
      </c>
      <c r="K1293" s="64">
        <v>20.572800000000001</v>
      </c>
      <c r="L1293" s="64">
        <v>20.6675</v>
      </c>
      <c r="M1293" s="64">
        <v>20.658300000000001</v>
      </c>
    </row>
    <row r="1294" spans="1:13">
      <c r="A1294" s="65" t="s">
        <v>2888</v>
      </c>
      <c r="B1294" s="66">
        <f t="shared" si="78"/>
        <v>39981</v>
      </c>
      <c r="C1294" s="67">
        <f t="shared" si="79"/>
        <v>2009</v>
      </c>
      <c r="D1294" s="68">
        <v>13.469799999999999</v>
      </c>
      <c r="E1294" s="68">
        <v>13.352499999999999</v>
      </c>
      <c r="F1294" s="68">
        <v>13.452299999999999</v>
      </c>
      <c r="H1294" s="69" t="s">
        <v>2889</v>
      </c>
      <c r="I1294" s="66">
        <f t="shared" si="81"/>
        <v>44729</v>
      </c>
      <c r="J1294" s="70">
        <f t="shared" si="80"/>
        <v>2022</v>
      </c>
      <c r="K1294" s="71">
        <v>20.475999999999999</v>
      </c>
      <c r="L1294" s="71">
        <v>20.572800000000001</v>
      </c>
      <c r="M1294" s="71">
        <v>20.6675</v>
      </c>
    </row>
    <row r="1295" spans="1:13">
      <c r="A1295" s="57" t="s">
        <v>2890</v>
      </c>
      <c r="B1295" s="58">
        <f t="shared" si="78"/>
        <v>39982</v>
      </c>
      <c r="C1295" s="59">
        <f t="shared" si="79"/>
        <v>2009</v>
      </c>
      <c r="D1295" s="61">
        <v>13.369400000000001</v>
      </c>
      <c r="E1295" s="61">
        <v>13.469799999999999</v>
      </c>
      <c r="F1295" s="61">
        <v>13.352499999999999</v>
      </c>
      <c r="H1295" s="62" t="s">
        <v>2891</v>
      </c>
      <c r="I1295" s="58">
        <f t="shared" si="81"/>
        <v>44730</v>
      </c>
      <c r="J1295" s="60">
        <f t="shared" si="80"/>
        <v>2022</v>
      </c>
      <c r="K1295" s="63" t="s">
        <v>362</v>
      </c>
      <c r="L1295" s="63" t="s">
        <v>362</v>
      </c>
      <c r="M1295" s="64">
        <v>20.572800000000001</v>
      </c>
    </row>
    <row r="1296" spans="1:13">
      <c r="A1296" s="65" t="s">
        <v>2892</v>
      </c>
      <c r="B1296" s="66">
        <f t="shared" si="78"/>
        <v>39983</v>
      </c>
      <c r="C1296" s="67">
        <f t="shared" si="79"/>
        <v>2009</v>
      </c>
      <c r="D1296" s="68">
        <v>13.3248</v>
      </c>
      <c r="E1296" s="68">
        <v>13.369400000000001</v>
      </c>
      <c r="F1296" s="68">
        <v>13.469799999999999</v>
      </c>
      <c r="H1296" s="69" t="s">
        <v>2893</v>
      </c>
      <c r="I1296" s="66">
        <f t="shared" si="81"/>
        <v>44731</v>
      </c>
      <c r="J1296" s="70">
        <f t="shared" si="80"/>
        <v>2022</v>
      </c>
      <c r="K1296" s="72" t="s">
        <v>362</v>
      </c>
      <c r="L1296" s="72" t="s">
        <v>362</v>
      </c>
      <c r="M1296" s="71">
        <v>20.572800000000001</v>
      </c>
    </row>
    <row r="1297" spans="1:13">
      <c r="A1297" s="57" t="s">
        <v>2894</v>
      </c>
      <c r="B1297" s="58">
        <f t="shared" si="78"/>
        <v>39984</v>
      </c>
      <c r="C1297" s="59">
        <f t="shared" si="79"/>
        <v>2009</v>
      </c>
      <c r="D1297" s="60" t="s">
        <v>362</v>
      </c>
      <c r="E1297" s="60" t="s">
        <v>362</v>
      </c>
      <c r="F1297" s="61">
        <v>13.369400000000001</v>
      </c>
      <c r="H1297" s="62" t="s">
        <v>2895</v>
      </c>
      <c r="I1297" s="58">
        <f t="shared" si="81"/>
        <v>44732</v>
      </c>
      <c r="J1297" s="60">
        <f t="shared" si="80"/>
        <v>2022</v>
      </c>
      <c r="K1297" s="64">
        <v>20.244199999999999</v>
      </c>
      <c r="L1297" s="64">
        <v>20.475999999999999</v>
      </c>
      <c r="M1297" s="64">
        <v>20.572800000000001</v>
      </c>
    </row>
    <row r="1298" spans="1:13">
      <c r="A1298" s="65" t="s">
        <v>2896</v>
      </c>
      <c r="B1298" s="66">
        <f t="shared" si="78"/>
        <v>39985</v>
      </c>
      <c r="C1298" s="67">
        <f t="shared" si="79"/>
        <v>2009</v>
      </c>
      <c r="D1298" s="70" t="s">
        <v>362</v>
      </c>
      <c r="E1298" s="70" t="s">
        <v>362</v>
      </c>
      <c r="F1298" s="68">
        <v>13.369400000000001</v>
      </c>
      <c r="H1298" s="69" t="s">
        <v>2897</v>
      </c>
      <c r="I1298" s="66">
        <f t="shared" si="81"/>
        <v>44733</v>
      </c>
      <c r="J1298" s="70">
        <f t="shared" si="80"/>
        <v>2022</v>
      </c>
      <c r="K1298" s="71">
        <v>20.196300000000001</v>
      </c>
      <c r="L1298" s="71">
        <v>20.244199999999999</v>
      </c>
      <c r="M1298" s="71">
        <v>20.475999999999999</v>
      </c>
    </row>
    <row r="1299" spans="1:13">
      <c r="A1299" s="57" t="s">
        <v>2898</v>
      </c>
      <c r="B1299" s="58">
        <f t="shared" si="78"/>
        <v>39986</v>
      </c>
      <c r="C1299" s="59">
        <f t="shared" si="79"/>
        <v>2009</v>
      </c>
      <c r="D1299" s="61">
        <v>13.3782</v>
      </c>
      <c r="E1299" s="61">
        <v>13.3248</v>
      </c>
      <c r="F1299" s="61">
        <v>13.369400000000001</v>
      </c>
      <c r="H1299" s="62" t="s">
        <v>2899</v>
      </c>
      <c r="I1299" s="58">
        <f t="shared" si="81"/>
        <v>44734</v>
      </c>
      <c r="J1299" s="60">
        <f t="shared" si="80"/>
        <v>2022</v>
      </c>
      <c r="K1299" s="64">
        <v>20.046500000000002</v>
      </c>
      <c r="L1299" s="64">
        <v>20.196300000000001</v>
      </c>
      <c r="M1299" s="64">
        <v>20.244199999999999</v>
      </c>
    </row>
    <row r="1300" spans="1:13">
      <c r="A1300" s="65" t="s">
        <v>2900</v>
      </c>
      <c r="B1300" s="66">
        <f t="shared" si="78"/>
        <v>39987</v>
      </c>
      <c r="C1300" s="67">
        <f t="shared" si="79"/>
        <v>2009</v>
      </c>
      <c r="D1300" s="68">
        <v>13.3187</v>
      </c>
      <c r="E1300" s="68">
        <v>13.3782</v>
      </c>
      <c r="F1300" s="68">
        <v>13.3248</v>
      </c>
      <c r="H1300" s="69" t="s">
        <v>2901</v>
      </c>
      <c r="I1300" s="66">
        <f t="shared" si="81"/>
        <v>44735</v>
      </c>
      <c r="J1300" s="70">
        <f t="shared" si="80"/>
        <v>2022</v>
      </c>
      <c r="K1300" s="71">
        <v>20.0365</v>
      </c>
      <c r="L1300" s="71">
        <v>20.046500000000002</v>
      </c>
      <c r="M1300" s="71">
        <v>20.196300000000001</v>
      </c>
    </row>
    <row r="1301" spans="1:13">
      <c r="A1301" s="57" t="s">
        <v>2902</v>
      </c>
      <c r="B1301" s="58">
        <f t="shared" si="78"/>
        <v>39988</v>
      </c>
      <c r="C1301" s="59">
        <f t="shared" si="79"/>
        <v>2009</v>
      </c>
      <c r="D1301" s="61">
        <v>13.305099999999999</v>
      </c>
      <c r="E1301" s="61">
        <v>13.3187</v>
      </c>
      <c r="F1301" s="61">
        <v>13.3782</v>
      </c>
      <c r="H1301" s="62" t="s">
        <v>2903</v>
      </c>
      <c r="I1301" s="58">
        <f t="shared" si="81"/>
        <v>44736</v>
      </c>
      <c r="J1301" s="60">
        <f t="shared" si="80"/>
        <v>2022</v>
      </c>
      <c r="K1301" s="64">
        <v>19.870699999999999</v>
      </c>
      <c r="L1301" s="64">
        <v>20.0365</v>
      </c>
      <c r="M1301" s="64">
        <v>20.046500000000002</v>
      </c>
    </row>
    <row r="1302" spans="1:13">
      <c r="A1302" s="65" t="s">
        <v>2904</v>
      </c>
      <c r="B1302" s="66">
        <f t="shared" si="78"/>
        <v>39989</v>
      </c>
      <c r="C1302" s="67">
        <f t="shared" si="79"/>
        <v>2009</v>
      </c>
      <c r="D1302" s="68">
        <v>13.277799999999999</v>
      </c>
      <c r="E1302" s="68">
        <v>13.305099999999999</v>
      </c>
      <c r="F1302" s="68">
        <v>13.3187</v>
      </c>
      <c r="H1302" s="69" t="s">
        <v>2905</v>
      </c>
      <c r="I1302" s="66">
        <f t="shared" si="81"/>
        <v>44737</v>
      </c>
      <c r="J1302" s="70">
        <f t="shared" si="80"/>
        <v>2022</v>
      </c>
      <c r="K1302" s="72" t="s">
        <v>362</v>
      </c>
      <c r="L1302" s="72" t="s">
        <v>362</v>
      </c>
      <c r="M1302" s="71">
        <v>20.0365</v>
      </c>
    </row>
    <row r="1303" spans="1:13">
      <c r="A1303" s="57" t="s">
        <v>2906</v>
      </c>
      <c r="B1303" s="58">
        <f t="shared" si="78"/>
        <v>39990</v>
      </c>
      <c r="C1303" s="59">
        <f t="shared" si="79"/>
        <v>2009</v>
      </c>
      <c r="D1303" s="61">
        <v>13.202299999999999</v>
      </c>
      <c r="E1303" s="61">
        <v>13.277799999999999</v>
      </c>
      <c r="F1303" s="61">
        <v>13.305099999999999</v>
      </c>
      <c r="H1303" s="62" t="s">
        <v>2907</v>
      </c>
      <c r="I1303" s="58">
        <f t="shared" si="81"/>
        <v>44738</v>
      </c>
      <c r="J1303" s="60">
        <f t="shared" si="80"/>
        <v>2022</v>
      </c>
      <c r="K1303" s="63" t="s">
        <v>362</v>
      </c>
      <c r="L1303" s="63" t="s">
        <v>362</v>
      </c>
      <c r="M1303" s="64">
        <v>20.0365</v>
      </c>
    </row>
    <row r="1304" spans="1:13">
      <c r="A1304" s="65" t="s">
        <v>2908</v>
      </c>
      <c r="B1304" s="66">
        <f t="shared" si="78"/>
        <v>39991</v>
      </c>
      <c r="C1304" s="67">
        <f t="shared" si="79"/>
        <v>2009</v>
      </c>
      <c r="D1304" s="70" t="s">
        <v>362</v>
      </c>
      <c r="E1304" s="70" t="s">
        <v>362</v>
      </c>
      <c r="F1304" s="68">
        <v>13.277799999999999</v>
      </c>
      <c r="H1304" s="69" t="s">
        <v>2909</v>
      </c>
      <c r="I1304" s="66">
        <f t="shared" si="81"/>
        <v>44739</v>
      </c>
      <c r="J1304" s="70">
        <f t="shared" si="80"/>
        <v>2022</v>
      </c>
      <c r="K1304" s="71">
        <v>19.8797</v>
      </c>
      <c r="L1304" s="71">
        <v>19.870699999999999</v>
      </c>
      <c r="M1304" s="71">
        <v>20.0365</v>
      </c>
    </row>
    <row r="1305" spans="1:13">
      <c r="A1305" s="57" t="s">
        <v>2910</v>
      </c>
      <c r="B1305" s="58">
        <f t="shared" si="78"/>
        <v>39992</v>
      </c>
      <c r="C1305" s="59">
        <f t="shared" si="79"/>
        <v>2009</v>
      </c>
      <c r="D1305" s="60" t="s">
        <v>362</v>
      </c>
      <c r="E1305" s="60" t="s">
        <v>362</v>
      </c>
      <c r="F1305" s="61">
        <v>13.277799999999999</v>
      </c>
      <c r="H1305" s="62" t="s">
        <v>2911</v>
      </c>
      <c r="I1305" s="58">
        <f t="shared" si="81"/>
        <v>44740</v>
      </c>
      <c r="J1305" s="60">
        <f t="shared" si="80"/>
        <v>2022</v>
      </c>
      <c r="K1305" s="64">
        <v>19.9847</v>
      </c>
      <c r="L1305" s="64">
        <v>19.8797</v>
      </c>
      <c r="M1305" s="64">
        <v>19.870699999999999</v>
      </c>
    </row>
    <row r="1306" spans="1:13">
      <c r="A1306" s="65" t="s">
        <v>2912</v>
      </c>
      <c r="B1306" s="66">
        <f t="shared" si="78"/>
        <v>39993</v>
      </c>
      <c r="C1306" s="67">
        <f t="shared" si="79"/>
        <v>2009</v>
      </c>
      <c r="D1306" s="68">
        <v>13.1812</v>
      </c>
      <c r="E1306" s="68">
        <v>13.202299999999999</v>
      </c>
      <c r="F1306" s="68">
        <v>13.277799999999999</v>
      </c>
      <c r="H1306" s="69" t="s">
        <v>2913</v>
      </c>
      <c r="I1306" s="66">
        <f t="shared" si="81"/>
        <v>44741</v>
      </c>
      <c r="J1306" s="70">
        <f t="shared" si="80"/>
        <v>2022</v>
      </c>
      <c r="K1306" s="71">
        <v>20.144300000000001</v>
      </c>
      <c r="L1306" s="71">
        <v>19.9847</v>
      </c>
      <c r="M1306" s="71">
        <v>19.8797</v>
      </c>
    </row>
    <row r="1307" spans="1:13">
      <c r="A1307" s="57" t="s">
        <v>2914</v>
      </c>
      <c r="B1307" s="58">
        <f t="shared" si="78"/>
        <v>39994</v>
      </c>
      <c r="C1307" s="59">
        <f t="shared" si="79"/>
        <v>2009</v>
      </c>
      <c r="D1307" s="61">
        <v>13.1722</v>
      </c>
      <c r="E1307" s="61">
        <v>13.1812</v>
      </c>
      <c r="F1307" s="61">
        <v>13.202299999999999</v>
      </c>
      <c r="H1307" s="62" t="s">
        <v>2915</v>
      </c>
      <c r="I1307" s="58">
        <f t="shared" si="81"/>
        <v>44742</v>
      </c>
      <c r="J1307" s="60">
        <f t="shared" si="80"/>
        <v>2022</v>
      </c>
      <c r="K1307" s="64">
        <v>20.133500000000002</v>
      </c>
      <c r="L1307" s="64">
        <v>20.144300000000001</v>
      </c>
      <c r="M1307" s="64">
        <v>19.9847</v>
      </c>
    </row>
    <row r="1308" spans="1:13">
      <c r="A1308" s="65" t="s">
        <v>2916</v>
      </c>
      <c r="B1308" s="66">
        <f t="shared" si="78"/>
        <v>39995</v>
      </c>
      <c r="C1308" s="67">
        <f t="shared" si="79"/>
        <v>2009</v>
      </c>
      <c r="D1308" s="68">
        <v>13.097200000000001</v>
      </c>
      <c r="E1308" s="68">
        <v>13.1722</v>
      </c>
      <c r="F1308" s="68">
        <v>13.1812</v>
      </c>
      <c r="H1308" s="69" t="s">
        <v>2917</v>
      </c>
      <c r="I1308" s="66">
        <f t="shared" si="81"/>
        <v>44743</v>
      </c>
      <c r="J1308" s="70">
        <f t="shared" si="80"/>
        <v>2022</v>
      </c>
      <c r="K1308" s="71">
        <v>20.381699999999999</v>
      </c>
      <c r="L1308" s="71">
        <v>20.133500000000002</v>
      </c>
      <c r="M1308" s="71">
        <v>20.144300000000001</v>
      </c>
    </row>
    <row r="1309" spans="1:13">
      <c r="A1309" s="57" t="s">
        <v>2918</v>
      </c>
      <c r="B1309" s="58">
        <f t="shared" si="78"/>
        <v>39996</v>
      </c>
      <c r="C1309" s="59">
        <f t="shared" si="79"/>
        <v>2009</v>
      </c>
      <c r="D1309" s="61">
        <v>13.169499999999999</v>
      </c>
      <c r="E1309" s="61">
        <v>13.097200000000001</v>
      </c>
      <c r="F1309" s="61">
        <v>13.1722</v>
      </c>
      <c r="H1309" s="62" t="s">
        <v>2919</v>
      </c>
      <c r="I1309" s="58">
        <f t="shared" si="81"/>
        <v>44744</v>
      </c>
      <c r="J1309" s="60">
        <f t="shared" si="80"/>
        <v>2022</v>
      </c>
      <c r="K1309" s="63" t="s">
        <v>362</v>
      </c>
      <c r="L1309" s="63" t="s">
        <v>362</v>
      </c>
      <c r="M1309" s="64">
        <v>20.133500000000002</v>
      </c>
    </row>
    <row r="1310" spans="1:13">
      <c r="A1310" s="65" t="s">
        <v>2920</v>
      </c>
      <c r="B1310" s="66">
        <f t="shared" si="78"/>
        <v>39997</v>
      </c>
      <c r="C1310" s="67">
        <f t="shared" si="79"/>
        <v>2009</v>
      </c>
      <c r="D1310" s="68">
        <v>13.242800000000001</v>
      </c>
      <c r="E1310" s="68">
        <v>13.169499999999999</v>
      </c>
      <c r="F1310" s="68">
        <v>13.097200000000001</v>
      </c>
      <c r="H1310" s="69" t="s">
        <v>2921</v>
      </c>
      <c r="I1310" s="66">
        <f t="shared" si="81"/>
        <v>44745</v>
      </c>
      <c r="J1310" s="70">
        <f t="shared" si="80"/>
        <v>2022</v>
      </c>
      <c r="K1310" s="72" t="s">
        <v>362</v>
      </c>
      <c r="L1310" s="72" t="s">
        <v>362</v>
      </c>
      <c r="M1310" s="71">
        <v>20.133500000000002</v>
      </c>
    </row>
    <row r="1311" spans="1:13">
      <c r="A1311" s="57" t="s">
        <v>2922</v>
      </c>
      <c r="B1311" s="58">
        <f t="shared" ref="B1311:B1374" si="82">DATE(RIGHT(A1311,4),LEFT(RIGHT(A1311,7),2),LEFT(A1311,2))</f>
        <v>39998</v>
      </c>
      <c r="C1311" s="59">
        <f t="shared" ref="C1311:C1374" si="83">YEAR(B1311)</f>
        <v>2009</v>
      </c>
      <c r="D1311" s="60" t="s">
        <v>362</v>
      </c>
      <c r="E1311" s="60" t="s">
        <v>362</v>
      </c>
      <c r="F1311" s="61">
        <v>13.169499999999999</v>
      </c>
      <c r="H1311" s="62" t="s">
        <v>2923</v>
      </c>
      <c r="I1311" s="58">
        <f t="shared" si="81"/>
        <v>44746</v>
      </c>
      <c r="J1311" s="60">
        <f t="shared" ref="J1311:J1374" si="84">YEAR(I1311)</f>
        <v>2022</v>
      </c>
      <c r="K1311" s="64">
        <v>20.287700000000001</v>
      </c>
      <c r="L1311" s="64">
        <v>20.381699999999999</v>
      </c>
      <c r="M1311" s="64">
        <v>20.133500000000002</v>
      </c>
    </row>
    <row r="1312" spans="1:13">
      <c r="A1312" s="65" t="s">
        <v>2924</v>
      </c>
      <c r="B1312" s="66">
        <f t="shared" si="82"/>
        <v>39999</v>
      </c>
      <c r="C1312" s="67">
        <f t="shared" si="83"/>
        <v>2009</v>
      </c>
      <c r="D1312" s="70" t="s">
        <v>362</v>
      </c>
      <c r="E1312" s="70" t="s">
        <v>362</v>
      </c>
      <c r="F1312" s="68">
        <v>13.169499999999999</v>
      </c>
      <c r="H1312" s="69" t="s">
        <v>2925</v>
      </c>
      <c r="I1312" s="66">
        <f t="shared" ref="I1312:I1375" si="85">DATE(RIGHT(H1312,4),LEFT(RIGHT(A1312,7),2),LEFT(A1312,2))</f>
        <v>44747</v>
      </c>
      <c r="J1312" s="70">
        <f t="shared" si="84"/>
        <v>2022</v>
      </c>
      <c r="K1312" s="71">
        <v>20.559799999999999</v>
      </c>
      <c r="L1312" s="71">
        <v>20.287700000000001</v>
      </c>
      <c r="M1312" s="71">
        <v>20.381699999999999</v>
      </c>
    </row>
    <row r="1313" spans="1:13">
      <c r="A1313" s="57" t="s">
        <v>2926</v>
      </c>
      <c r="B1313" s="58">
        <f t="shared" si="82"/>
        <v>40000</v>
      </c>
      <c r="C1313" s="59">
        <f t="shared" si="83"/>
        <v>2009</v>
      </c>
      <c r="D1313" s="61">
        <v>13.2547</v>
      </c>
      <c r="E1313" s="61">
        <v>13.242800000000001</v>
      </c>
      <c r="F1313" s="61">
        <v>13.169499999999999</v>
      </c>
      <c r="H1313" s="62" t="s">
        <v>2927</v>
      </c>
      <c r="I1313" s="58">
        <f t="shared" si="85"/>
        <v>44748</v>
      </c>
      <c r="J1313" s="60">
        <f t="shared" si="84"/>
        <v>2022</v>
      </c>
      <c r="K1313" s="64">
        <v>20.722799999999999</v>
      </c>
      <c r="L1313" s="64">
        <v>20.559799999999999</v>
      </c>
      <c r="M1313" s="64">
        <v>20.287700000000001</v>
      </c>
    </row>
    <row r="1314" spans="1:13">
      <c r="A1314" s="65" t="s">
        <v>2928</v>
      </c>
      <c r="B1314" s="66">
        <f t="shared" si="82"/>
        <v>40001</v>
      </c>
      <c r="C1314" s="67">
        <f t="shared" si="83"/>
        <v>2009</v>
      </c>
      <c r="D1314" s="68">
        <v>13.272399999999999</v>
      </c>
      <c r="E1314" s="68">
        <v>13.2547</v>
      </c>
      <c r="F1314" s="68">
        <v>13.242800000000001</v>
      </c>
      <c r="H1314" s="69" t="s">
        <v>2929</v>
      </c>
      <c r="I1314" s="66">
        <f t="shared" si="85"/>
        <v>44749</v>
      </c>
      <c r="J1314" s="70">
        <f t="shared" si="84"/>
        <v>2022</v>
      </c>
      <c r="K1314" s="71">
        <v>20.6022</v>
      </c>
      <c r="L1314" s="71">
        <v>20.722799999999999</v>
      </c>
      <c r="M1314" s="71">
        <v>20.559799999999999</v>
      </c>
    </row>
    <row r="1315" spans="1:13">
      <c r="A1315" s="57" t="s">
        <v>2930</v>
      </c>
      <c r="B1315" s="58">
        <f t="shared" si="82"/>
        <v>40002</v>
      </c>
      <c r="C1315" s="59">
        <f t="shared" si="83"/>
        <v>2009</v>
      </c>
      <c r="D1315" s="61">
        <v>13.433299999999999</v>
      </c>
      <c r="E1315" s="61">
        <v>13.272399999999999</v>
      </c>
      <c r="F1315" s="61">
        <v>13.2547</v>
      </c>
      <c r="H1315" s="62" t="s">
        <v>2931</v>
      </c>
      <c r="I1315" s="58">
        <f t="shared" si="85"/>
        <v>44750</v>
      </c>
      <c r="J1315" s="60">
        <f t="shared" si="84"/>
        <v>2022</v>
      </c>
      <c r="K1315" s="64">
        <v>20.442299999999999</v>
      </c>
      <c r="L1315" s="64">
        <v>20.6022</v>
      </c>
      <c r="M1315" s="64">
        <v>20.722799999999999</v>
      </c>
    </row>
    <row r="1316" spans="1:13">
      <c r="A1316" s="65" t="s">
        <v>2932</v>
      </c>
      <c r="B1316" s="66">
        <f t="shared" si="82"/>
        <v>40003</v>
      </c>
      <c r="C1316" s="67">
        <f t="shared" si="83"/>
        <v>2009</v>
      </c>
      <c r="D1316" s="68">
        <v>13.575799999999999</v>
      </c>
      <c r="E1316" s="68">
        <v>13.433299999999999</v>
      </c>
      <c r="F1316" s="68">
        <v>13.272399999999999</v>
      </c>
      <c r="H1316" s="69" t="s">
        <v>2933</v>
      </c>
      <c r="I1316" s="66">
        <f t="shared" si="85"/>
        <v>44751</v>
      </c>
      <c r="J1316" s="70">
        <f t="shared" si="84"/>
        <v>2022</v>
      </c>
      <c r="K1316" s="72" t="s">
        <v>362</v>
      </c>
      <c r="L1316" s="72" t="s">
        <v>362</v>
      </c>
      <c r="M1316" s="71">
        <v>20.6022</v>
      </c>
    </row>
    <row r="1317" spans="1:13">
      <c r="A1317" s="57" t="s">
        <v>2934</v>
      </c>
      <c r="B1317" s="58">
        <f t="shared" si="82"/>
        <v>40004</v>
      </c>
      <c r="C1317" s="59">
        <f t="shared" si="83"/>
        <v>2009</v>
      </c>
      <c r="D1317" s="61">
        <v>13.7052</v>
      </c>
      <c r="E1317" s="61">
        <v>13.575799999999999</v>
      </c>
      <c r="F1317" s="61">
        <v>13.433299999999999</v>
      </c>
      <c r="H1317" s="62" t="s">
        <v>2935</v>
      </c>
      <c r="I1317" s="58">
        <f t="shared" si="85"/>
        <v>44752</v>
      </c>
      <c r="J1317" s="60">
        <f t="shared" si="84"/>
        <v>2022</v>
      </c>
      <c r="K1317" s="63" t="s">
        <v>362</v>
      </c>
      <c r="L1317" s="63" t="s">
        <v>362</v>
      </c>
      <c r="M1317" s="64">
        <v>20.6022</v>
      </c>
    </row>
    <row r="1318" spans="1:13">
      <c r="A1318" s="65" t="s">
        <v>2936</v>
      </c>
      <c r="B1318" s="66">
        <f t="shared" si="82"/>
        <v>40005</v>
      </c>
      <c r="C1318" s="67">
        <f t="shared" si="83"/>
        <v>2009</v>
      </c>
      <c r="D1318" s="70" t="s">
        <v>362</v>
      </c>
      <c r="E1318" s="70" t="s">
        <v>362</v>
      </c>
      <c r="F1318" s="68">
        <v>13.575799999999999</v>
      </c>
      <c r="H1318" s="69" t="s">
        <v>2937</v>
      </c>
      <c r="I1318" s="66">
        <f t="shared" si="85"/>
        <v>44753</v>
      </c>
      <c r="J1318" s="70">
        <f t="shared" si="84"/>
        <v>2022</v>
      </c>
      <c r="K1318" s="71">
        <v>20.747299999999999</v>
      </c>
      <c r="L1318" s="71">
        <v>20.442299999999999</v>
      </c>
      <c r="M1318" s="71">
        <v>20.6022</v>
      </c>
    </row>
    <row r="1319" spans="1:13">
      <c r="A1319" s="57" t="s">
        <v>2938</v>
      </c>
      <c r="B1319" s="58">
        <f t="shared" si="82"/>
        <v>40006</v>
      </c>
      <c r="C1319" s="59">
        <f t="shared" si="83"/>
        <v>2009</v>
      </c>
      <c r="D1319" s="60" t="s">
        <v>362</v>
      </c>
      <c r="E1319" s="60" t="s">
        <v>362</v>
      </c>
      <c r="F1319" s="61">
        <v>13.575799999999999</v>
      </c>
      <c r="H1319" s="62" t="s">
        <v>2939</v>
      </c>
      <c r="I1319" s="58">
        <f t="shared" si="85"/>
        <v>44754</v>
      </c>
      <c r="J1319" s="60">
        <f t="shared" si="84"/>
        <v>2022</v>
      </c>
      <c r="K1319" s="64">
        <v>20.7882</v>
      </c>
      <c r="L1319" s="64">
        <v>20.747299999999999</v>
      </c>
      <c r="M1319" s="64">
        <v>20.442299999999999</v>
      </c>
    </row>
    <row r="1320" spans="1:13">
      <c r="A1320" s="65" t="s">
        <v>2940</v>
      </c>
      <c r="B1320" s="66">
        <f t="shared" si="82"/>
        <v>40007</v>
      </c>
      <c r="C1320" s="67">
        <f t="shared" si="83"/>
        <v>2009</v>
      </c>
      <c r="D1320" s="68">
        <v>13.810499999999999</v>
      </c>
      <c r="E1320" s="68">
        <v>13.7052</v>
      </c>
      <c r="F1320" s="68">
        <v>13.575799999999999</v>
      </c>
      <c r="H1320" s="69" t="s">
        <v>2941</v>
      </c>
      <c r="I1320" s="66">
        <f t="shared" si="85"/>
        <v>44755</v>
      </c>
      <c r="J1320" s="70">
        <f t="shared" si="84"/>
        <v>2022</v>
      </c>
      <c r="K1320" s="71">
        <v>20.761299999999999</v>
      </c>
      <c r="L1320" s="71">
        <v>20.7882</v>
      </c>
      <c r="M1320" s="71">
        <v>20.747299999999999</v>
      </c>
    </row>
    <row r="1321" spans="1:13">
      <c r="A1321" s="57" t="s">
        <v>2942</v>
      </c>
      <c r="B1321" s="58">
        <f t="shared" si="82"/>
        <v>40008</v>
      </c>
      <c r="C1321" s="59">
        <f t="shared" si="83"/>
        <v>2009</v>
      </c>
      <c r="D1321" s="61">
        <v>13.7645</v>
      </c>
      <c r="E1321" s="61">
        <v>13.810499999999999</v>
      </c>
      <c r="F1321" s="61">
        <v>13.7052</v>
      </c>
      <c r="H1321" s="62" t="s">
        <v>2943</v>
      </c>
      <c r="I1321" s="58">
        <f t="shared" si="85"/>
        <v>44756</v>
      </c>
      <c r="J1321" s="60">
        <f t="shared" si="84"/>
        <v>2022</v>
      </c>
      <c r="K1321" s="64">
        <v>20.941500000000001</v>
      </c>
      <c r="L1321" s="64">
        <v>20.761299999999999</v>
      </c>
      <c r="M1321" s="64">
        <v>20.7882</v>
      </c>
    </row>
    <row r="1322" spans="1:13">
      <c r="A1322" s="65" t="s">
        <v>2944</v>
      </c>
      <c r="B1322" s="66">
        <f t="shared" si="82"/>
        <v>40009</v>
      </c>
      <c r="C1322" s="67">
        <f t="shared" si="83"/>
        <v>2009</v>
      </c>
      <c r="D1322" s="68">
        <v>13.6526</v>
      </c>
      <c r="E1322" s="68">
        <v>13.7645</v>
      </c>
      <c r="F1322" s="68">
        <v>13.810499999999999</v>
      </c>
      <c r="H1322" s="69" t="s">
        <v>2945</v>
      </c>
      <c r="I1322" s="66">
        <f t="shared" si="85"/>
        <v>44757</v>
      </c>
      <c r="J1322" s="70">
        <f t="shared" si="84"/>
        <v>2022</v>
      </c>
      <c r="K1322" s="71">
        <v>20.611000000000001</v>
      </c>
      <c r="L1322" s="71">
        <v>20.941500000000001</v>
      </c>
      <c r="M1322" s="71">
        <v>20.761299999999999</v>
      </c>
    </row>
    <row r="1323" spans="1:13">
      <c r="A1323" s="57" t="s">
        <v>2946</v>
      </c>
      <c r="B1323" s="58">
        <f t="shared" si="82"/>
        <v>40010</v>
      </c>
      <c r="C1323" s="59">
        <f t="shared" si="83"/>
        <v>2009</v>
      </c>
      <c r="D1323" s="61">
        <v>13.587</v>
      </c>
      <c r="E1323" s="61">
        <v>13.6526</v>
      </c>
      <c r="F1323" s="61">
        <v>13.7645</v>
      </c>
      <c r="H1323" s="62" t="s">
        <v>2947</v>
      </c>
      <c r="I1323" s="58">
        <f t="shared" si="85"/>
        <v>44758</v>
      </c>
      <c r="J1323" s="60">
        <f t="shared" si="84"/>
        <v>2022</v>
      </c>
      <c r="K1323" s="63" t="s">
        <v>362</v>
      </c>
      <c r="L1323" s="63" t="s">
        <v>362</v>
      </c>
      <c r="M1323" s="64">
        <v>20.941500000000001</v>
      </c>
    </row>
    <row r="1324" spans="1:13">
      <c r="A1324" s="65" t="s">
        <v>2948</v>
      </c>
      <c r="B1324" s="66">
        <f t="shared" si="82"/>
        <v>40011</v>
      </c>
      <c r="C1324" s="67">
        <f t="shared" si="83"/>
        <v>2009</v>
      </c>
      <c r="D1324" s="68">
        <v>13.3895</v>
      </c>
      <c r="E1324" s="68">
        <v>13.587</v>
      </c>
      <c r="F1324" s="68">
        <v>13.6526</v>
      </c>
      <c r="H1324" s="69" t="s">
        <v>2949</v>
      </c>
      <c r="I1324" s="66">
        <f t="shared" si="85"/>
        <v>44759</v>
      </c>
      <c r="J1324" s="70">
        <f t="shared" si="84"/>
        <v>2022</v>
      </c>
      <c r="K1324" s="72" t="s">
        <v>362</v>
      </c>
      <c r="L1324" s="72" t="s">
        <v>362</v>
      </c>
      <c r="M1324" s="71">
        <v>20.941500000000001</v>
      </c>
    </row>
    <row r="1325" spans="1:13">
      <c r="A1325" s="57" t="s">
        <v>2950</v>
      </c>
      <c r="B1325" s="58">
        <f t="shared" si="82"/>
        <v>40012</v>
      </c>
      <c r="C1325" s="59">
        <f t="shared" si="83"/>
        <v>2009</v>
      </c>
      <c r="D1325" s="60" t="s">
        <v>362</v>
      </c>
      <c r="E1325" s="60" t="s">
        <v>362</v>
      </c>
      <c r="F1325" s="61">
        <v>13.587</v>
      </c>
      <c r="H1325" s="62" t="s">
        <v>2951</v>
      </c>
      <c r="I1325" s="58">
        <f t="shared" si="85"/>
        <v>44760</v>
      </c>
      <c r="J1325" s="60">
        <f t="shared" si="84"/>
        <v>2022</v>
      </c>
      <c r="K1325" s="64">
        <v>20.395700000000001</v>
      </c>
      <c r="L1325" s="64">
        <v>20.611000000000001</v>
      </c>
      <c r="M1325" s="64">
        <v>20.941500000000001</v>
      </c>
    </row>
    <row r="1326" spans="1:13">
      <c r="A1326" s="65" t="s">
        <v>2952</v>
      </c>
      <c r="B1326" s="66">
        <f t="shared" si="82"/>
        <v>40013</v>
      </c>
      <c r="C1326" s="67">
        <f t="shared" si="83"/>
        <v>2009</v>
      </c>
      <c r="D1326" s="70" t="s">
        <v>362</v>
      </c>
      <c r="E1326" s="70" t="s">
        <v>362</v>
      </c>
      <c r="F1326" s="68">
        <v>13.587</v>
      </c>
      <c r="H1326" s="69" t="s">
        <v>2953</v>
      </c>
      <c r="I1326" s="66">
        <f t="shared" si="85"/>
        <v>44761</v>
      </c>
      <c r="J1326" s="70">
        <f t="shared" si="84"/>
        <v>2022</v>
      </c>
      <c r="K1326" s="71">
        <v>20.4407</v>
      </c>
      <c r="L1326" s="71">
        <v>20.395700000000001</v>
      </c>
      <c r="M1326" s="71">
        <v>20.611000000000001</v>
      </c>
    </row>
    <row r="1327" spans="1:13">
      <c r="A1327" s="57" t="s">
        <v>2954</v>
      </c>
      <c r="B1327" s="58">
        <f t="shared" si="82"/>
        <v>40014</v>
      </c>
      <c r="C1327" s="59">
        <f t="shared" si="83"/>
        <v>2009</v>
      </c>
      <c r="D1327" s="61">
        <v>13.315799999999999</v>
      </c>
      <c r="E1327" s="61">
        <v>13.3895</v>
      </c>
      <c r="F1327" s="61">
        <v>13.587</v>
      </c>
      <c r="H1327" s="62" t="s">
        <v>2955</v>
      </c>
      <c r="I1327" s="58">
        <f t="shared" si="85"/>
        <v>44762</v>
      </c>
      <c r="J1327" s="60">
        <f t="shared" si="84"/>
        <v>2022</v>
      </c>
      <c r="K1327" s="64">
        <v>20.491299999999999</v>
      </c>
      <c r="L1327" s="64">
        <v>20.4407</v>
      </c>
      <c r="M1327" s="64">
        <v>20.395700000000001</v>
      </c>
    </row>
    <row r="1328" spans="1:13">
      <c r="A1328" s="65" t="s">
        <v>2956</v>
      </c>
      <c r="B1328" s="66">
        <f t="shared" si="82"/>
        <v>40015</v>
      </c>
      <c r="C1328" s="67">
        <f t="shared" si="83"/>
        <v>2009</v>
      </c>
      <c r="D1328" s="68">
        <v>13.2879</v>
      </c>
      <c r="E1328" s="68">
        <v>13.315799999999999</v>
      </c>
      <c r="F1328" s="68">
        <v>13.3895</v>
      </c>
      <c r="H1328" s="69" t="s">
        <v>2957</v>
      </c>
      <c r="I1328" s="66">
        <f t="shared" si="85"/>
        <v>44763</v>
      </c>
      <c r="J1328" s="70">
        <f t="shared" si="84"/>
        <v>2022</v>
      </c>
      <c r="K1328" s="71">
        <v>20.656199999999998</v>
      </c>
      <c r="L1328" s="71">
        <v>20.491299999999999</v>
      </c>
      <c r="M1328" s="71">
        <v>20.4407</v>
      </c>
    </row>
    <row r="1329" spans="1:13">
      <c r="A1329" s="57" t="s">
        <v>2958</v>
      </c>
      <c r="B1329" s="58">
        <f t="shared" si="82"/>
        <v>40016</v>
      </c>
      <c r="C1329" s="59">
        <f t="shared" si="83"/>
        <v>2009</v>
      </c>
      <c r="D1329" s="61">
        <v>13.231199999999999</v>
      </c>
      <c r="E1329" s="61">
        <v>13.2879</v>
      </c>
      <c r="F1329" s="61">
        <v>13.315799999999999</v>
      </c>
      <c r="H1329" s="62" t="s">
        <v>2959</v>
      </c>
      <c r="I1329" s="58">
        <f t="shared" si="85"/>
        <v>44764</v>
      </c>
      <c r="J1329" s="60">
        <f t="shared" si="84"/>
        <v>2022</v>
      </c>
      <c r="K1329" s="64">
        <v>20.515000000000001</v>
      </c>
      <c r="L1329" s="64">
        <v>20.656199999999998</v>
      </c>
      <c r="M1329" s="64">
        <v>20.491299999999999</v>
      </c>
    </row>
    <row r="1330" spans="1:13">
      <c r="A1330" s="65" t="s">
        <v>2960</v>
      </c>
      <c r="B1330" s="66">
        <f t="shared" si="82"/>
        <v>40017</v>
      </c>
      <c r="C1330" s="67">
        <f t="shared" si="83"/>
        <v>2009</v>
      </c>
      <c r="D1330" s="68">
        <v>13.1915</v>
      </c>
      <c r="E1330" s="68">
        <v>13.231199999999999</v>
      </c>
      <c r="F1330" s="68">
        <v>13.2879</v>
      </c>
      <c r="H1330" s="69" t="s">
        <v>2961</v>
      </c>
      <c r="I1330" s="66">
        <f t="shared" si="85"/>
        <v>44765</v>
      </c>
      <c r="J1330" s="70">
        <f t="shared" si="84"/>
        <v>2022</v>
      </c>
      <c r="K1330" s="72" t="s">
        <v>362</v>
      </c>
      <c r="L1330" s="72" t="s">
        <v>362</v>
      </c>
      <c r="M1330" s="71">
        <v>20.656199999999998</v>
      </c>
    </row>
    <row r="1331" spans="1:13">
      <c r="A1331" s="57" t="s">
        <v>2962</v>
      </c>
      <c r="B1331" s="58">
        <f t="shared" si="82"/>
        <v>40018</v>
      </c>
      <c r="C1331" s="59">
        <f t="shared" si="83"/>
        <v>2009</v>
      </c>
      <c r="D1331" s="61">
        <v>13.2247</v>
      </c>
      <c r="E1331" s="61">
        <v>13.1915</v>
      </c>
      <c r="F1331" s="61">
        <v>13.231199999999999</v>
      </c>
      <c r="H1331" s="62" t="s">
        <v>2963</v>
      </c>
      <c r="I1331" s="58">
        <f t="shared" si="85"/>
        <v>44766</v>
      </c>
      <c r="J1331" s="60">
        <f t="shared" si="84"/>
        <v>2022</v>
      </c>
      <c r="K1331" s="63" t="s">
        <v>362</v>
      </c>
      <c r="L1331" s="63" t="s">
        <v>362</v>
      </c>
      <c r="M1331" s="64">
        <v>20.656199999999998</v>
      </c>
    </row>
    <row r="1332" spans="1:13">
      <c r="A1332" s="65" t="s">
        <v>2964</v>
      </c>
      <c r="B1332" s="66">
        <f t="shared" si="82"/>
        <v>40019</v>
      </c>
      <c r="C1332" s="67">
        <f t="shared" si="83"/>
        <v>2009</v>
      </c>
      <c r="D1332" s="70" t="s">
        <v>362</v>
      </c>
      <c r="E1332" s="70" t="s">
        <v>362</v>
      </c>
      <c r="F1332" s="68">
        <v>13.1915</v>
      </c>
      <c r="H1332" s="69" t="s">
        <v>2965</v>
      </c>
      <c r="I1332" s="66">
        <f t="shared" si="85"/>
        <v>44767</v>
      </c>
      <c r="J1332" s="70">
        <f t="shared" si="84"/>
        <v>2022</v>
      </c>
      <c r="K1332" s="71">
        <v>20.465199999999999</v>
      </c>
      <c r="L1332" s="71">
        <v>20.515000000000001</v>
      </c>
      <c r="M1332" s="71">
        <v>20.656199999999998</v>
      </c>
    </row>
    <row r="1333" spans="1:13">
      <c r="A1333" s="57" t="s">
        <v>2966</v>
      </c>
      <c r="B1333" s="58">
        <f t="shared" si="82"/>
        <v>40020</v>
      </c>
      <c r="C1333" s="59">
        <f t="shared" si="83"/>
        <v>2009</v>
      </c>
      <c r="D1333" s="60" t="s">
        <v>362</v>
      </c>
      <c r="E1333" s="60" t="s">
        <v>362</v>
      </c>
      <c r="F1333" s="61">
        <v>13.1915</v>
      </c>
      <c r="H1333" s="62" t="s">
        <v>2967</v>
      </c>
      <c r="I1333" s="58">
        <f t="shared" si="85"/>
        <v>44768</v>
      </c>
      <c r="J1333" s="60">
        <f t="shared" si="84"/>
        <v>2022</v>
      </c>
      <c r="K1333" s="64">
        <v>20.433</v>
      </c>
      <c r="L1333" s="64">
        <v>20.465199999999999</v>
      </c>
      <c r="M1333" s="64">
        <v>20.515000000000001</v>
      </c>
    </row>
    <row r="1334" spans="1:13">
      <c r="A1334" s="65" t="s">
        <v>2968</v>
      </c>
      <c r="B1334" s="66">
        <f t="shared" si="82"/>
        <v>40021</v>
      </c>
      <c r="C1334" s="67">
        <f t="shared" si="83"/>
        <v>2009</v>
      </c>
      <c r="D1334" s="68">
        <v>13.216699999999999</v>
      </c>
      <c r="E1334" s="68">
        <v>13.2247</v>
      </c>
      <c r="F1334" s="68">
        <v>13.1915</v>
      </c>
      <c r="H1334" s="69" t="s">
        <v>2969</v>
      </c>
      <c r="I1334" s="66">
        <f t="shared" si="85"/>
        <v>44769</v>
      </c>
      <c r="J1334" s="70">
        <f t="shared" si="84"/>
        <v>2022</v>
      </c>
      <c r="K1334" s="71">
        <v>20.512</v>
      </c>
      <c r="L1334" s="71">
        <v>20.433</v>
      </c>
      <c r="M1334" s="71">
        <v>20.465199999999999</v>
      </c>
    </row>
    <row r="1335" spans="1:13">
      <c r="A1335" s="57" t="s">
        <v>2970</v>
      </c>
      <c r="B1335" s="58">
        <f t="shared" si="82"/>
        <v>40022</v>
      </c>
      <c r="C1335" s="59">
        <f t="shared" si="83"/>
        <v>2009</v>
      </c>
      <c r="D1335" s="61">
        <v>13.282500000000001</v>
      </c>
      <c r="E1335" s="61">
        <v>13.216699999999999</v>
      </c>
      <c r="F1335" s="61">
        <v>13.2247</v>
      </c>
      <c r="H1335" s="62" t="s">
        <v>2971</v>
      </c>
      <c r="I1335" s="58">
        <f t="shared" si="85"/>
        <v>44770</v>
      </c>
      <c r="J1335" s="60">
        <f t="shared" si="84"/>
        <v>2022</v>
      </c>
      <c r="K1335" s="64">
        <v>20.377800000000001</v>
      </c>
      <c r="L1335" s="64">
        <v>20.512</v>
      </c>
      <c r="M1335" s="64">
        <v>20.433</v>
      </c>
    </row>
    <row r="1336" spans="1:13">
      <c r="A1336" s="65" t="s">
        <v>2972</v>
      </c>
      <c r="B1336" s="66">
        <f t="shared" si="82"/>
        <v>40023</v>
      </c>
      <c r="C1336" s="67">
        <f t="shared" si="83"/>
        <v>2009</v>
      </c>
      <c r="D1336" s="68">
        <v>13.2643</v>
      </c>
      <c r="E1336" s="68">
        <v>13.282500000000001</v>
      </c>
      <c r="F1336" s="68">
        <v>13.216699999999999</v>
      </c>
      <c r="H1336" s="69" t="s">
        <v>2973</v>
      </c>
      <c r="I1336" s="66">
        <f t="shared" si="85"/>
        <v>44771</v>
      </c>
      <c r="J1336" s="70">
        <f t="shared" si="84"/>
        <v>2022</v>
      </c>
      <c r="K1336" s="71">
        <v>20.348500000000001</v>
      </c>
      <c r="L1336" s="71">
        <v>20.377800000000001</v>
      </c>
      <c r="M1336" s="71">
        <v>20.512</v>
      </c>
    </row>
    <row r="1337" spans="1:13">
      <c r="A1337" s="57" t="s">
        <v>2974</v>
      </c>
      <c r="B1337" s="58">
        <f t="shared" si="82"/>
        <v>40024</v>
      </c>
      <c r="C1337" s="59">
        <f t="shared" si="83"/>
        <v>2009</v>
      </c>
      <c r="D1337" s="61">
        <v>13.222300000000001</v>
      </c>
      <c r="E1337" s="61">
        <v>13.2643</v>
      </c>
      <c r="F1337" s="61">
        <v>13.282500000000001</v>
      </c>
      <c r="H1337" s="62" t="s">
        <v>2975</v>
      </c>
      <c r="I1337" s="58">
        <f t="shared" si="85"/>
        <v>44772</v>
      </c>
      <c r="J1337" s="60">
        <f t="shared" si="84"/>
        <v>2022</v>
      </c>
      <c r="K1337" s="63" t="s">
        <v>362</v>
      </c>
      <c r="L1337" s="63" t="s">
        <v>362</v>
      </c>
      <c r="M1337" s="64">
        <v>20.377800000000001</v>
      </c>
    </row>
    <row r="1338" spans="1:13">
      <c r="A1338" s="65" t="s">
        <v>2976</v>
      </c>
      <c r="B1338" s="66">
        <f t="shared" si="82"/>
        <v>40025</v>
      </c>
      <c r="C1338" s="67">
        <f t="shared" si="83"/>
        <v>2009</v>
      </c>
      <c r="D1338" s="68">
        <v>13.2125</v>
      </c>
      <c r="E1338" s="68">
        <v>13.222300000000001</v>
      </c>
      <c r="F1338" s="68">
        <v>13.2643</v>
      </c>
      <c r="H1338" s="69" t="s">
        <v>2977</v>
      </c>
      <c r="I1338" s="66">
        <f t="shared" si="85"/>
        <v>44773</v>
      </c>
      <c r="J1338" s="70">
        <f t="shared" si="84"/>
        <v>2022</v>
      </c>
      <c r="K1338" s="72" t="s">
        <v>362</v>
      </c>
      <c r="L1338" s="72" t="s">
        <v>362</v>
      </c>
      <c r="M1338" s="71">
        <v>20.377800000000001</v>
      </c>
    </row>
    <row r="1339" spans="1:13">
      <c r="A1339" s="57" t="s">
        <v>2978</v>
      </c>
      <c r="B1339" s="58">
        <f t="shared" si="82"/>
        <v>40026</v>
      </c>
      <c r="C1339" s="59">
        <f t="shared" si="83"/>
        <v>2009</v>
      </c>
      <c r="D1339" s="60" t="s">
        <v>362</v>
      </c>
      <c r="E1339" s="60" t="s">
        <v>362</v>
      </c>
      <c r="F1339" s="61">
        <v>13.222300000000001</v>
      </c>
      <c r="H1339" s="62" t="s">
        <v>2979</v>
      </c>
      <c r="I1339" s="58">
        <f t="shared" si="85"/>
        <v>44774</v>
      </c>
      <c r="J1339" s="60">
        <f t="shared" si="84"/>
        <v>2022</v>
      </c>
      <c r="K1339" s="64">
        <v>20.263300000000001</v>
      </c>
      <c r="L1339" s="64">
        <v>20.348500000000001</v>
      </c>
      <c r="M1339" s="64">
        <v>20.377800000000001</v>
      </c>
    </row>
    <row r="1340" spans="1:13">
      <c r="A1340" s="65" t="s">
        <v>2980</v>
      </c>
      <c r="B1340" s="66">
        <f t="shared" si="82"/>
        <v>40027</v>
      </c>
      <c r="C1340" s="67">
        <f t="shared" si="83"/>
        <v>2009</v>
      </c>
      <c r="D1340" s="70" t="s">
        <v>362</v>
      </c>
      <c r="E1340" s="70" t="s">
        <v>362</v>
      </c>
      <c r="F1340" s="68">
        <v>13.222300000000001</v>
      </c>
      <c r="H1340" s="69" t="s">
        <v>2981</v>
      </c>
      <c r="I1340" s="66">
        <f t="shared" si="85"/>
        <v>44775</v>
      </c>
      <c r="J1340" s="70">
        <f t="shared" si="84"/>
        <v>2022</v>
      </c>
      <c r="K1340" s="71">
        <v>20.5152</v>
      </c>
      <c r="L1340" s="71">
        <v>20.263300000000001</v>
      </c>
      <c r="M1340" s="71">
        <v>20.348500000000001</v>
      </c>
    </row>
    <row r="1341" spans="1:13">
      <c r="A1341" s="57" t="s">
        <v>2982</v>
      </c>
      <c r="B1341" s="58">
        <f t="shared" si="82"/>
        <v>40028</v>
      </c>
      <c r="C1341" s="59">
        <f t="shared" si="83"/>
        <v>2009</v>
      </c>
      <c r="D1341" s="61">
        <v>13.129300000000001</v>
      </c>
      <c r="E1341" s="61">
        <v>13.2125</v>
      </c>
      <c r="F1341" s="61">
        <v>13.222300000000001</v>
      </c>
      <c r="H1341" s="62" t="s">
        <v>2983</v>
      </c>
      <c r="I1341" s="58">
        <f t="shared" si="85"/>
        <v>44776</v>
      </c>
      <c r="J1341" s="60">
        <f t="shared" si="84"/>
        <v>2022</v>
      </c>
      <c r="K1341" s="64">
        <v>20.630500000000001</v>
      </c>
      <c r="L1341" s="64">
        <v>20.5152</v>
      </c>
      <c r="M1341" s="64">
        <v>20.263300000000001</v>
      </c>
    </row>
    <row r="1342" spans="1:13">
      <c r="A1342" s="65" t="s">
        <v>2984</v>
      </c>
      <c r="B1342" s="66">
        <f t="shared" si="82"/>
        <v>40029</v>
      </c>
      <c r="C1342" s="67">
        <f t="shared" si="83"/>
        <v>2009</v>
      </c>
      <c r="D1342" s="68">
        <v>13.1073</v>
      </c>
      <c r="E1342" s="68">
        <v>13.129300000000001</v>
      </c>
      <c r="F1342" s="68">
        <v>13.2125</v>
      </c>
      <c r="H1342" s="69" t="s">
        <v>2985</v>
      </c>
      <c r="I1342" s="66">
        <f t="shared" si="85"/>
        <v>44777</v>
      </c>
      <c r="J1342" s="70">
        <f t="shared" si="84"/>
        <v>2022</v>
      </c>
      <c r="K1342" s="71">
        <v>20.335799999999999</v>
      </c>
      <c r="L1342" s="71">
        <v>20.630500000000001</v>
      </c>
      <c r="M1342" s="71">
        <v>20.5152</v>
      </c>
    </row>
    <row r="1343" spans="1:13">
      <c r="A1343" s="57" t="s">
        <v>2986</v>
      </c>
      <c r="B1343" s="58">
        <f t="shared" si="82"/>
        <v>40030</v>
      </c>
      <c r="C1343" s="59">
        <f t="shared" si="83"/>
        <v>2009</v>
      </c>
      <c r="D1343" s="61">
        <v>13.105</v>
      </c>
      <c r="E1343" s="61">
        <v>13.1073</v>
      </c>
      <c r="F1343" s="61">
        <v>13.129300000000001</v>
      </c>
      <c r="H1343" s="62" t="s">
        <v>2987</v>
      </c>
      <c r="I1343" s="58">
        <f t="shared" si="85"/>
        <v>44778</v>
      </c>
      <c r="J1343" s="60">
        <f t="shared" si="84"/>
        <v>2022</v>
      </c>
      <c r="K1343" s="64">
        <v>20.401</v>
      </c>
      <c r="L1343" s="64">
        <v>20.335799999999999</v>
      </c>
      <c r="M1343" s="64">
        <v>20.630500000000001</v>
      </c>
    </row>
    <row r="1344" spans="1:13">
      <c r="A1344" s="65" t="s">
        <v>2988</v>
      </c>
      <c r="B1344" s="66">
        <f t="shared" si="82"/>
        <v>40031</v>
      </c>
      <c r="C1344" s="67">
        <f t="shared" si="83"/>
        <v>2009</v>
      </c>
      <c r="D1344" s="68">
        <v>12.992599999999999</v>
      </c>
      <c r="E1344" s="68">
        <v>13.105</v>
      </c>
      <c r="F1344" s="68">
        <v>13.1073</v>
      </c>
      <c r="H1344" s="69" t="s">
        <v>2989</v>
      </c>
      <c r="I1344" s="66">
        <f t="shared" si="85"/>
        <v>44779</v>
      </c>
      <c r="J1344" s="70">
        <f t="shared" si="84"/>
        <v>2022</v>
      </c>
      <c r="K1344" s="72" t="s">
        <v>362</v>
      </c>
      <c r="L1344" s="72" t="s">
        <v>362</v>
      </c>
      <c r="M1344" s="71">
        <v>20.335799999999999</v>
      </c>
    </row>
    <row r="1345" spans="1:13">
      <c r="A1345" s="57" t="s">
        <v>2990</v>
      </c>
      <c r="B1345" s="58">
        <f t="shared" si="82"/>
        <v>40032</v>
      </c>
      <c r="C1345" s="59">
        <f t="shared" si="83"/>
        <v>2009</v>
      </c>
      <c r="D1345" s="61">
        <v>12.934900000000001</v>
      </c>
      <c r="E1345" s="61">
        <v>12.992599999999999</v>
      </c>
      <c r="F1345" s="61">
        <v>13.105</v>
      </c>
      <c r="H1345" s="62" t="s">
        <v>2991</v>
      </c>
      <c r="I1345" s="58">
        <f t="shared" si="85"/>
        <v>44780</v>
      </c>
      <c r="J1345" s="60">
        <f t="shared" si="84"/>
        <v>2022</v>
      </c>
      <c r="K1345" s="63" t="s">
        <v>362</v>
      </c>
      <c r="L1345" s="63" t="s">
        <v>362</v>
      </c>
      <c r="M1345" s="64">
        <v>20.335799999999999</v>
      </c>
    </row>
    <row r="1346" spans="1:13">
      <c r="A1346" s="65" t="s">
        <v>2992</v>
      </c>
      <c r="B1346" s="66">
        <f t="shared" si="82"/>
        <v>40033</v>
      </c>
      <c r="C1346" s="67">
        <f t="shared" si="83"/>
        <v>2009</v>
      </c>
      <c r="D1346" s="70" t="s">
        <v>362</v>
      </c>
      <c r="E1346" s="70" t="s">
        <v>362</v>
      </c>
      <c r="F1346" s="68">
        <v>12.992599999999999</v>
      </c>
      <c r="H1346" s="69" t="s">
        <v>2993</v>
      </c>
      <c r="I1346" s="66">
        <f t="shared" si="85"/>
        <v>44781</v>
      </c>
      <c r="J1346" s="70">
        <f t="shared" si="84"/>
        <v>2022</v>
      </c>
      <c r="K1346" s="71">
        <v>20.2789</v>
      </c>
      <c r="L1346" s="71">
        <v>20.401</v>
      </c>
      <c r="M1346" s="71">
        <v>20.335799999999999</v>
      </c>
    </row>
    <row r="1347" spans="1:13">
      <c r="A1347" s="57" t="s">
        <v>2994</v>
      </c>
      <c r="B1347" s="58">
        <f t="shared" si="82"/>
        <v>40034</v>
      </c>
      <c r="C1347" s="59">
        <f t="shared" si="83"/>
        <v>2009</v>
      </c>
      <c r="D1347" s="60" t="s">
        <v>362</v>
      </c>
      <c r="E1347" s="60" t="s">
        <v>362</v>
      </c>
      <c r="F1347" s="61">
        <v>12.992599999999999</v>
      </c>
      <c r="H1347" s="62" t="s">
        <v>2995</v>
      </c>
      <c r="I1347" s="58">
        <f t="shared" si="85"/>
        <v>44782</v>
      </c>
      <c r="J1347" s="60">
        <f t="shared" si="84"/>
        <v>2022</v>
      </c>
      <c r="K1347" s="64">
        <v>20.2715</v>
      </c>
      <c r="L1347" s="64">
        <v>20.2789</v>
      </c>
      <c r="M1347" s="64">
        <v>20.401</v>
      </c>
    </row>
    <row r="1348" spans="1:13">
      <c r="A1348" s="65" t="s">
        <v>2996</v>
      </c>
      <c r="B1348" s="66">
        <f t="shared" si="82"/>
        <v>40035</v>
      </c>
      <c r="C1348" s="67">
        <f t="shared" si="83"/>
        <v>2009</v>
      </c>
      <c r="D1348" s="68">
        <v>12.922000000000001</v>
      </c>
      <c r="E1348" s="68">
        <v>12.934900000000001</v>
      </c>
      <c r="F1348" s="68">
        <v>12.992599999999999</v>
      </c>
      <c r="H1348" s="69" t="s">
        <v>2997</v>
      </c>
      <c r="I1348" s="66">
        <f t="shared" si="85"/>
        <v>44783</v>
      </c>
      <c r="J1348" s="70">
        <f t="shared" si="84"/>
        <v>2022</v>
      </c>
      <c r="K1348" s="71">
        <v>19.956199999999999</v>
      </c>
      <c r="L1348" s="71">
        <v>20.2715</v>
      </c>
      <c r="M1348" s="71">
        <v>20.2789</v>
      </c>
    </row>
    <row r="1349" spans="1:13">
      <c r="A1349" s="57" t="s">
        <v>2998</v>
      </c>
      <c r="B1349" s="58">
        <f t="shared" si="82"/>
        <v>40036</v>
      </c>
      <c r="C1349" s="59">
        <f t="shared" si="83"/>
        <v>2009</v>
      </c>
      <c r="D1349" s="61">
        <v>12.9937</v>
      </c>
      <c r="E1349" s="61">
        <v>12.922000000000001</v>
      </c>
      <c r="F1349" s="61">
        <v>12.934900000000001</v>
      </c>
      <c r="H1349" s="62" t="s">
        <v>2999</v>
      </c>
      <c r="I1349" s="58">
        <f t="shared" si="85"/>
        <v>44784</v>
      </c>
      <c r="J1349" s="60">
        <f t="shared" si="84"/>
        <v>2022</v>
      </c>
      <c r="K1349" s="64">
        <v>19.959499999999998</v>
      </c>
      <c r="L1349" s="64">
        <v>19.956199999999999</v>
      </c>
      <c r="M1349" s="64">
        <v>20.2715</v>
      </c>
    </row>
    <row r="1350" spans="1:13">
      <c r="A1350" s="65" t="s">
        <v>3000</v>
      </c>
      <c r="B1350" s="66">
        <f t="shared" si="82"/>
        <v>40037</v>
      </c>
      <c r="C1350" s="67">
        <f t="shared" si="83"/>
        <v>2009</v>
      </c>
      <c r="D1350" s="68">
        <v>12.997</v>
      </c>
      <c r="E1350" s="68">
        <v>12.9937</v>
      </c>
      <c r="F1350" s="68">
        <v>12.922000000000001</v>
      </c>
      <c r="H1350" s="69" t="s">
        <v>3001</v>
      </c>
      <c r="I1350" s="66">
        <f t="shared" si="85"/>
        <v>44785</v>
      </c>
      <c r="J1350" s="70">
        <f t="shared" si="84"/>
        <v>2022</v>
      </c>
      <c r="K1350" s="71">
        <v>19.873999999999999</v>
      </c>
      <c r="L1350" s="71">
        <v>19.959499999999998</v>
      </c>
      <c r="M1350" s="71">
        <v>19.956199999999999</v>
      </c>
    </row>
    <row r="1351" spans="1:13">
      <c r="A1351" s="57" t="s">
        <v>3002</v>
      </c>
      <c r="B1351" s="58">
        <f t="shared" si="82"/>
        <v>40038</v>
      </c>
      <c r="C1351" s="59">
        <f t="shared" si="83"/>
        <v>2009</v>
      </c>
      <c r="D1351" s="61">
        <v>12.8658</v>
      </c>
      <c r="E1351" s="61">
        <v>12.997</v>
      </c>
      <c r="F1351" s="61">
        <v>12.9937</v>
      </c>
      <c r="H1351" s="62" t="s">
        <v>3003</v>
      </c>
      <c r="I1351" s="58">
        <f t="shared" si="85"/>
        <v>44786</v>
      </c>
      <c r="J1351" s="60">
        <f t="shared" si="84"/>
        <v>2022</v>
      </c>
      <c r="K1351" s="63" t="s">
        <v>362</v>
      </c>
      <c r="L1351" s="63" t="s">
        <v>362</v>
      </c>
      <c r="M1351" s="64">
        <v>19.959499999999998</v>
      </c>
    </row>
    <row r="1352" spans="1:13">
      <c r="A1352" s="65" t="s">
        <v>3004</v>
      </c>
      <c r="B1352" s="66">
        <f t="shared" si="82"/>
        <v>40039</v>
      </c>
      <c r="C1352" s="67">
        <f t="shared" si="83"/>
        <v>2009</v>
      </c>
      <c r="D1352" s="68">
        <v>12.8766</v>
      </c>
      <c r="E1352" s="68">
        <v>12.8658</v>
      </c>
      <c r="F1352" s="68">
        <v>12.997</v>
      </c>
      <c r="H1352" s="69" t="s">
        <v>3005</v>
      </c>
      <c r="I1352" s="66">
        <f t="shared" si="85"/>
        <v>44787</v>
      </c>
      <c r="J1352" s="70">
        <f t="shared" si="84"/>
        <v>2022</v>
      </c>
      <c r="K1352" s="72" t="s">
        <v>362</v>
      </c>
      <c r="L1352" s="72" t="s">
        <v>362</v>
      </c>
      <c r="M1352" s="71">
        <v>19.959499999999998</v>
      </c>
    </row>
    <row r="1353" spans="1:13">
      <c r="A1353" s="57" t="s">
        <v>3006</v>
      </c>
      <c r="B1353" s="58">
        <f t="shared" si="82"/>
        <v>40040</v>
      </c>
      <c r="C1353" s="59">
        <f t="shared" si="83"/>
        <v>2009</v>
      </c>
      <c r="D1353" s="60" t="s">
        <v>362</v>
      </c>
      <c r="E1353" s="60" t="s">
        <v>362</v>
      </c>
      <c r="F1353" s="61">
        <v>12.8658</v>
      </c>
      <c r="H1353" s="62" t="s">
        <v>3007</v>
      </c>
      <c r="I1353" s="58">
        <f t="shared" si="85"/>
        <v>44788</v>
      </c>
      <c r="J1353" s="60">
        <f t="shared" si="84"/>
        <v>2022</v>
      </c>
      <c r="K1353" s="64">
        <v>19.861799999999999</v>
      </c>
      <c r="L1353" s="64">
        <v>19.873999999999999</v>
      </c>
      <c r="M1353" s="64">
        <v>19.959499999999998</v>
      </c>
    </row>
    <row r="1354" spans="1:13">
      <c r="A1354" s="65" t="s">
        <v>3008</v>
      </c>
      <c r="B1354" s="66">
        <f t="shared" si="82"/>
        <v>40041</v>
      </c>
      <c r="C1354" s="67">
        <f t="shared" si="83"/>
        <v>2009</v>
      </c>
      <c r="D1354" s="70" t="s">
        <v>362</v>
      </c>
      <c r="E1354" s="70" t="s">
        <v>362</v>
      </c>
      <c r="F1354" s="68">
        <v>12.8658</v>
      </c>
      <c r="H1354" s="69" t="s">
        <v>3009</v>
      </c>
      <c r="I1354" s="66">
        <f t="shared" si="85"/>
        <v>44789</v>
      </c>
      <c r="J1354" s="70">
        <f t="shared" si="84"/>
        <v>2022</v>
      </c>
      <c r="K1354" s="71">
        <v>19.930299999999999</v>
      </c>
      <c r="L1354" s="71">
        <v>19.861799999999999</v>
      </c>
      <c r="M1354" s="71">
        <v>19.873999999999999</v>
      </c>
    </row>
    <row r="1355" spans="1:13">
      <c r="A1355" s="57" t="s">
        <v>3010</v>
      </c>
      <c r="B1355" s="58">
        <f t="shared" si="82"/>
        <v>40042</v>
      </c>
      <c r="C1355" s="59">
        <f t="shared" si="83"/>
        <v>2009</v>
      </c>
      <c r="D1355" s="61">
        <v>12.9963</v>
      </c>
      <c r="E1355" s="61">
        <v>12.8766</v>
      </c>
      <c r="F1355" s="61">
        <v>12.8658</v>
      </c>
      <c r="H1355" s="62" t="s">
        <v>3011</v>
      </c>
      <c r="I1355" s="58">
        <f t="shared" si="85"/>
        <v>44790</v>
      </c>
      <c r="J1355" s="60">
        <f t="shared" si="84"/>
        <v>2022</v>
      </c>
      <c r="K1355" s="64">
        <v>20.038699999999999</v>
      </c>
      <c r="L1355" s="64">
        <v>19.930299999999999</v>
      </c>
      <c r="M1355" s="64">
        <v>19.861799999999999</v>
      </c>
    </row>
    <row r="1356" spans="1:13">
      <c r="A1356" s="65" t="s">
        <v>3012</v>
      </c>
      <c r="B1356" s="66">
        <f t="shared" si="82"/>
        <v>40043</v>
      </c>
      <c r="C1356" s="67">
        <f t="shared" si="83"/>
        <v>2009</v>
      </c>
      <c r="D1356" s="68">
        <v>12.955500000000001</v>
      </c>
      <c r="E1356" s="68">
        <v>12.9963</v>
      </c>
      <c r="F1356" s="68">
        <v>12.8766</v>
      </c>
      <c r="H1356" s="69" t="s">
        <v>3013</v>
      </c>
      <c r="I1356" s="66">
        <f t="shared" si="85"/>
        <v>44791</v>
      </c>
      <c r="J1356" s="70">
        <f t="shared" si="84"/>
        <v>2022</v>
      </c>
      <c r="K1356" s="71">
        <v>20.083500000000001</v>
      </c>
      <c r="L1356" s="71">
        <v>20.038699999999999</v>
      </c>
      <c r="M1356" s="71">
        <v>19.930299999999999</v>
      </c>
    </row>
    <row r="1357" spans="1:13">
      <c r="A1357" s="57" t="s">
        <v>3014</v>
      </c>
      <c r="B1357" s="58">
        <f t="shared" si="82"/>
        <v>40044</v>
      </c>
      <c r="C1357" s="59">
        <f t="shared" si="83"/>
        <v>2009</v>
      </c>
      <c r="D1357" s="61">
        <v>12.915900000000001</v>
      </c>
      <c r="E1357" s="61">
        <v>12.955500000000001</v>
      </c>
      <c r="F1357" s="61">
        <v>12.9963</v>
      </c>
      <c r="H1357" s="62" t="s">
        <v>3015</v>
      </c>
      <c r="I1357" s="58">
        <f t="shared" si="85"/>
        <v>44792</v>
      </c>
      <c r="J1357" s="60">
        <f t="shared" si="84"/>
        <v>2022</v>
      </c>
      <c r="K1357" s="64">
        <v>20.195699999999999</v>
      </c>
      <c r="L1357" s="64">
        <v>20.083500000000001</v>
      </c>
      <c r="M1357" s="64">
        <v>20.038699999999999</v>
      </c>
    </row>
    <row r="1358" spans="1:13">
      <c r="A1358" s="65" t="s">
        <v>3016</v>
      </c>
      <c r="B1358" s="66">
        <f t="shared" si="82"/>
        <v>40045</v>
      </c>
      <c r="C1358" s="67">
        <f t="shared" si="83"/>
        <v>2009</v>
      </c>
      <c r="D1358" s="68">
        <v>12.8733</v>
      </c>
      <c r="E1358" s="68">
        <v>12.915900000000001</v>
      </c>
      <c r="F1358" s="68">
        <v>12.955500000000001</v>
      </c>
      <c r="H1358" s="69" t="s">
        <v>3017</v>
      </c>
      <c r="I1358" s="66">
        <f t="shared" si="85"/>
        <v>44793</v>
      </c>
      <c r="J1358" s="70">
        <f t="shared" si="84"/>
        <v>2022</v>
      </c>
      <c r="K1358" s="72" t="s">
        <v>362</v>
      </c>
      <c r="L1358" s="72" t="s">
        <v>362</v>
      </c>
      <c r="M1358" s="71">
        <v>20.083500000000001</v>
      </c>
    </row>
    <row r="1359" spans="1:13">
      <c r="A1359" s="57" t="s">
        <v>3018</v>
      </c>
      <c r="B1359" s="58">
        <f t="shared" si="82"/>
        <v>40046</v>
      </c>
      <c r="C1359" s="59">
        <f t="shared" si="83"/>
        <v>2009</v>
      </c>
      <c r="D1359" s="61">
        <v>12.822699999999999</v>
      </c>
      <c r="E1359" s="61">
        <v>12.8733</v>
      </c>
      <c r="F1359" s="61">
        <v>12.915900000000001</v>
      </c>
      <c r="H1359" s="62" t="s">
        <v>3019</v>
      </c>
      <c r="I1359" s="58">
        <f t="shared" si="85"/>
        <v>44794</v>
      </c>
      <c r="J1359" s="60">
        <f t="shared" si="84"/>
        <v>2022</v>
      </c>
      <c r="K1359" s="63" t="s">
        <v>362</v>
      </c>
      <c r="L1359" s="63" t="s">
        <v>362</v>
      </c>
      <c r="M1359" s="64">
        <v>20.083500000000001</v>
      </c>
    </row>
    <row r="1360" spans="1:13">
      <c r="A1360" s="65" t="s">
        <v>3020</v>
      </c>
      <c r="B1360" s="66">
        <f t="shared" si="82"/>
        <v>40047</v>
      </c>
      <c r="C1360" s="67">
        <f t="shared" si="83"/>
        <v>2009</v>
      </c>
      <c r="D1360" s="70" t="s">
        <v>362</v>
      </c>
      <c r="E1360" s="70" t="s">
        <v>362</v>
      </c>
      <c r="F1360" s="68">
        <v>12.8733</v>
      </c>
      <c r="H1360" s="69" t="s">
        <v>3021</v>
      </c>
      <c r="I1360" s="66">
        <f t="shared" si="85"/>
        <v>44795</v>
      </c>
      <c r="J1360" s="70">
        <f t="shared" si="84"/>
        <v>2022</v>
      </c>
      <c r="K1360" s="71">
        <v>20.159800000000001</v>
      </c>
      <c r="L1360" s="71">
        <v>20.195699999999999</v>
      </c>
      <c r="M1360" s="71">
        <v>20.083500000000001</v>
      </c>
    </row>
    <row r="1361" spans="1:13">
      <c r="A1361" s="57" t="s">
        <v>3022</v>
      </c>
      <c r="B1361" s="58">
        <f t="shared" si="82"/>
        <v>40048</v>
      </c>
      <c r="C1361" s="59">
        <f t="shared" si="83"/>
        <v>2009</v>
      </c>
      <c r="D1361" s="60" t="s">
        <v>362</v>
      </c>
      <c r="E1361" s="60" t="s">
        <v>362</v>
      </c>
      <c r="F1361" s="61">
        <v>12.8733</v>
      </c>
      <c r="H1361" s="62" t="s">
        <v>3023</v>
      </c>
      <c r="I1361" s="58">
        <f t="shared" si="85"/>
        <v>44796</v>
      </c>
      <c r="J1361" s="60">
        <f t="shared" si="84"/>
        <v>2022</v>
      </c>
      <c r="K1361" s="64">
        <v>19.998200000000001</v>
      </c>
      <c r="L1361" s="64">
        <v>20.159800000000001</v>
      </c>
      <c r="M1361" s="64">
        <v>20.195699999999999</v>
      </c>
    </row>
    <row r="1362" spans="1:13">
      <c r="A1362" s="65" t="s">
        <v>3024</v>
      </c>
      <c r="B1362" s="66">
        <f t="shared" si="82"/>
        <v>40049</v>
      </c>
      <c r="C1362" s="67">
        <f t="shared" si="83"/>
        <v>2009</v>
      </c>
      <c r="D1362" s="68">
        <v>12.827400000000001</v>
      </c>
      <c r="E1362" s="68">
        <v>12.822699999999999</v>
      </c>
      <c r="F1362" s="68">
        <v>12.8733</v>
      </c>
      <c r="H1362" s="69" t="s">
        <v>3025</v>
      </c>
      <c r="I1362" s="66">
        <f t="shared" si="85"/>
        <v>44797</v>
      </c>
      <c r="J1362" s="70">
        <f t="shared" si="84"/>
        <v>2022</v>
      </c>
      <c r="K1362" s="71">
        <v>19.919799999999999</v>
      </c>
      <c r="L1362" s="71">
        <v>19.998200000000001</v>
      </c>
      <c r="M1362" s="71">
        <v>20.159800000000001</v>
      </c>
    </row>
    <row r="1363" spans="1:13">
      <c r="A1363" s="57" t="s">
        <v>3026</v>
      </c>
      <c r="B1363" s="58">
        <f t="shared" si="82"/>
        <v>40050</v>
      </c>
      <c r="C1363" s="59">
        <f t="shared" si="83"/>
        <v>2009</v>
      </c>
      <c r="D1363" s="61">
        <v>12.897500000000001</v>
      </c>
      <c r="E1363" s="61">
        <v>12.827400000000001</v>
      </c>
      <c r="F1363" s="61">
        <v>12.822699999999999</v>
      </c>
      <c r="H1363" s="62" t="s">
        <v>3027</v>
      </c>
      <c r="I1363" s="58">
        <f t="shared" si="85"/>
        <v>44798</v>
      </c>
      <c r="J1363" s="60">
        <f t="shared" si="84"/>
        <v>2022</v>
      </c>
      <c r="K1363" s="64">
        <v>19.9437</v>
      </c>
      <c r="L1363" s="64">
        <v>19.919799999999999</v>
      </c>
      <c r="M1363" s="64">
        <v>19.998200000000001</v>
      </c>
    </row>
    <row r="1364" spans="1:13">
      <c r="A1364" s="65" t="s">
        <v>3028</v>
      </c>
      <c r="B1364" s="66">
        <f t="shared" si="82"/>
        <v>40051</v>
      </c>
      <c r="C1364" s="67">
        <f t="shared" si="83"/>
        <v>2009</v>
      </c>
      <c r="D1364" s="68">
        <v>13.1378</v>
      </c>
      <c r="E1364" s="68">
        <v>12.897500000000001</v>
      </c>
      <c r="F1364" s="68">
        <v>12.827400000000001</v>
      </c>
      <c r="H1364" s="69" t="s">
        <v>3029</v>
      </c>
      <c r="I1364" s="66">
        <f t="shared" si="85"/>
        <v>44799</v>
      </c>
      <c r="J1364" s="70">
        <f t="shared" si="84"/>
        <v>2022</v>
      </c>
      <c r="K1364" s="71">
        <v>19.9268</v>
      </c>
      <c r="L1364" s="71">
        <v>19.9437</v>
      </c>
      <c r="M1364" s="71">
        <v>19.919799999999999</v>
      </c>
    </row>
    <row r="1365" spans="1:13">
      <c r="A1365" s="57" t="s">
        <v>3030</v>
      </c>
      <c r="B1365" s="58">
        <f t="shared" si="82"/>
        <v>40052</v>
      </c>
      <c r="C1365" s="59">
        <f t="shared" si="83"/>
        <v>2009</v>
      </c>
      <c r="D1365" s="61">
        <v>13.2462</v>
      </c>
      <c r="E1365" s="61">
        <v>13.1378</v>
      </c>
      <c r="F1365" s="61">
        <v>12.897500000000001</v>
      </c>
      <c r="H1365" s="62" t="s">
        <v>3031</v>
      </c>
      <c r="I1365" s="58">
        <f t="shared" si="85"/>
        <v>44800</v>
      </c>
      <c r="J1365" s="60">
        <f t="shared" si="84"/>
        <v>2022</v>
      </c>
      <c r="K1365" s="63" t="s">
        <v>362</v>
      </c>
      <c r="L1365" s="63" t="s">
        <v>362</v>
      </c>
      <c r="M1365" s="64">
        <v>19.9437</v>
      </c>
    </row>
    <row r="1366" spans="1:13">
      <c r="A1366" s="65" t="s">
        <v>3032</v>
      </c>
      <c r="B1366" s="66">
        <f t="shared" si="82"/>
        <v>40053</v>
      </c>
      <c r="C1366" s="67">
        <f t="shared" si="83"/>
        <v>2009</v>
      </c>
      <c r="D1366" s="68">
        <v>13.257899999999999</v>
      </c>
      <c r="E1366" s="68">
        <v>13.2462</v>
      </c>
      <c r="F1366" s="68">
        <v>13.1378</v>
      </c>
      <c r="H1366" s="69" t="s">
        <v>3033</v>
      </c>
      <c r="I1366" s="66">
        <f t="shared" si="85"/>
        <v>44801</v>
      </c>
      <c r="J1366" s="70">
        <f t="shared" si="84"/>
        <v>2022</v>
      </c>
      <c r="K1366" s="72" t="s">
        <v>362</v>
      </c>
      <c r="L1366" s="72" t="s">
        <v>362</v>
      </c>
      <c r="M1366" s="71">
        <v>19.9437</v>
      </c>
    </row>
    <row r="1367" spans="1:13">
      <c r="A1367" s="57" t="s">
        <v>3034</v>
      </c>
      <c r="B1367" s="58">
        <f t="shared" si="82"/>
        <v>40054</v>
      </c>
      <c r="C1367" s="59">
        <f t="shared" si="83"/>
        <v>2009</v>
      </c>
      <c r="D1367" s="60" t="s">
        <v>362</v>
      </c>
      <c r="E1367" s="60" t="s">
        <v>362</v>
      </c>
      <c r="F1367" s="61">
        <v>13.2462</v>
      </c>
      <c r="H1367" s="62" t="s">
        <v>3035</v>
      </c>
      <c r="I1367" s="58">
        <f t="shared" si="85"/>
        <v>44802</v>
      </c>
      <c r="J1367" s="60">
        <f t="shared" si="84"/>
        <v>2022</v>
      </c>
      <c r="K1367" s="64">
        <v>19.994499999999999</v>
      </c>
      <c r="L1367" s="64">
        <v>19.9268</v>
      </c>
      <c r="M1367" s="64">
        <v>19.9437</v>
      </c>
    </row>
    <row r="1368" spans="1:13">
      <c r="A1368" s="65" t="s">
        <v>3036</v>
      </c>
      <c r="B1368" s="66">
        <f t="shared" si="82"/>
        <v>40055</v>
      </c>
      <c r="C1368" s="67">
        <f t="shared" si="83"/>
        <v>2009</v>
      </c>
      <c r="D1368" s="70" t="s">
        <v>362</v>
      </c>
      <c r="E1368" s="70" t="s">
        <v>362</v>
      </c>
      <c r="F1368" s="68">
        <v>13.2462</v>
      </c>
      <c r="H1368" s="69" t="s">
        <v>3037</v>
      </c>
      <c r="I1368" s="66">
        <f t="shared" si="85"/>
        <v>44803</v>
      </c>
      <c r="J1368" s="70">
        <f t="shared" si="84"/>
        <v>2022</v>
      </c>
      <c r="K1368" s="71">
        <v>20.1465</v>
      </c>
      <c r="L1368" s="71">
        <v>19.994499999999999</v>
      </c>
      <c r="M1368" s="71">
        <v>19.9268</v>
      </c>
    </row>
    <row r="1369" spans="1:13">
      <c r="A1369" s="57" t="s">
        <v>3038</v>
      </c>
      <c r="B1369" s="58">
        <f t="shared" si="82"/>
        <v>40056</v>
      </c>
      <c r="C1369" s="59">
        <f t="shared" si="83"/>
        <v>2009</v>
      </c>
      <c r="D1369" s="61">
        <v>13.314</v>
      </c>
      <c r="E1369" s="61">
        <v>13.257899999999999</v>
      </c>
      <c r="F1369" s="61">
        <v>13.2462</v>
      </c>
      <c r="H1369" s="62" t="s">
        <v>3039</v>
      </c>
      <c r="I1369" s="58">
        <f t="shared" si="85"/>
        <v>44804</v>
      </c>
      <c r="J1369" s="60">
        <f t="shared" si="84"/>
        <v>2022</v>
      </c>
      <c r="K1369" s="64">
        <v>20.0962</v>
      </c>
      <c r="L1369" s="64">
        <v>20.1465</v>
      </c>
      <c r="M1369" s="64">
        <v>19.994499999999999</v>
      </c>
    </row>
    <row r="1370" spans="1:13">
      <c r="A1370" s="65" t="s">
        <v>3040</v>
      </c>
      <c r="B1370" s="66">
        <f t="shared" si="82"/>
        <v>40057</v>
      </c>
      <c r="C1370" s="67">
        <f t="shared" si="83"/>
        <v>2009</v>
      </c>
      <c r="D1370" s="68">
        <v>13.5246</v>
      </c>
      <c r="E1370" s="68">
        <v>13.314</v>
      </c>
      <c r="F1370" s="68">
        <v>13.257899999999999</v>
      </c>
      <c r="H1370" s="69" t="s">
        <v>3041</v>
      </c>
      <c r="I1370" s="66">
        <f t="shared" si="85"/>
        <v>44805</v>
      </c>
      <c r="J1370" s="70">
        <f t="shared" si="84"/>
        <v>2022</v>
      </c>
      <c r="K1370" s="71">
        <v>20.247299999999999</v>
      </c>
      <c r="L1370" s="71">
        <v>20.0962</v>
      </c>
      <c r="M1370" s="71">
        <v>20.1465</v>
      </c>
    </row>
    <row r="1371" spans="1:13">
      <c r="A1371" s="57" t="s">
        <v>3042</v>
      </c>
      <c r="B1371" s="58">
        <f t="shared" si="82"/>
        <v>40058</v>
      </c>
      <c r="C1371" s="59">
        <f t="shared" si="83"/>
        <v>2009</v>
      </c>
      <c r="D1371" s="61">
        <v>13.6427</v>
      </c>
      <c r="E1371" s="61">
        <v>13.5246</v>
      </c>
      <c r="F1371" s="61">
        <v>13.314</v>
      </c>
      <c r="H1371" s="62" t="s">
        <v>3043</v>
      </c>
      <c r="I1371" s="58">
        <f t="shared" si="85"/>
        <v>44806</v>
      </c>
      <c r="J1371" s="60">
        <f t="shared" si="84"/>
        <v>2022</v>
      </c>
      <c r="K1371" s="64">
        <v>19.975300000000001</v>
      </c>
      <c r="L1371" s="64">
        <v>20.247299999999999</v>
      </c>
      <c r="M1371" s="64">
        <v>20.0962</v>
      </c>
    </row>
    <row r="1372" spans="1:13">
      <c r="A1372" s="65" t="s">
        <v>3044</v>
      </c>
      <c r="B1372" s="66">
        <f t="shared" si="82"/>
        <v>40059</v>
      </c>
      <c r="C1372" s="67">
        <f t="shared" si="83"/>
        <v>2009</v>
      </c>
      <c r="D1372" s="68">
        <v>13.5898</v>
      </c>
      <c r="E1372" s="68">
        <v>13.6427</v>
      </c>
      <c r="F1372" s="68">
        <v>13.5246</v>
      </c>
      <c r="H1372" s="69" t="s">
        <v>3045</v>
      </c>
      <c r="I1372" s="66">
        <f t="shared" si="85"/>
        <v>44807</v>
      </c>
      <c r="J1372" s="70">
        <f t="shared" si="84"/>
        <v>2022</v>
      </c>
      <c r="K1372" s="72" t="s">
        <v>362</v>
      </c>
      <c r="L1372" s="72" t="s">
        <v>362</v>
      </c>
      <c r="M1372" s="71">
        <v>20.247299999999999</v>
      </c>
    </row>
    <row r="1373" spans="1:13">
      <c r="A1373" s="57" t="s">
        <v>3046</v>
      </c>
      <c r="B1373" s="58">
        <f t="shared" si="82"/>
        <v>40060</v>
      </c>
      <c r="C1373" s="59">
        <f t="shared" si="83"/>
        <v>2009</v>
      </c>
      <c r="D1373" s="61">
        <v>13.4658</v>
      </c>
      <c r="E1373" s="61">
        <v>13.5898</v>
      </c>
      <c r="F1373" s="61">
        <v>13.6427</v>
      </c>
      <c r="H1373" s="62" t="s">
        <v>3047</v>
      </c>
      <c r="I1373" s="58">
        <f t="shared" si="85"/>
        <v>44808</v>
      </c>
      <c r="J1373" s="60">
        <f t="shared" si="84"/>
        <v>2022</v>
      </c>
      <c r="K1373" s="63" t="s">
        <v>362</v>
      </c>
      <c r="L1373" s="63" t="s">
        <v>362</v>
      </c>
      <c r="M1373" s="64">
        <v>20.247299999999999</v>
      </c>
    </row>
    <row r="1374" spans="1:13">
      <c r="A1374" s="65" t="s">
        <v>3048</v>
      </c>
      <c r="B1374" s="66">
        <f t="shared" si="82"/>
        <v>40061</v>
      </c>
      <c r="C1374" s="67">
        <f t="shared" si="83"/>
        <v>2009</v>
      </c>
      <c r="D1374" s="70" t="s">
        <v>362</v>
      </c>
      <c r="E1374" s="70" t="s">
        <v>362</v>
      </c>
      <c r="F1374" s="68">
        <v>13.5898</v>
      </c>
      <c r="H1374" s="69" t="s">
        <v>3049</v>
      </c>
      <c r="I1374" s="66">
        <f t="shared" si="85"/>
        <v>44809</v>
      </c>
      <c r="J1374" s="70">
        <f t="shared" si="84"/>
        <v>2022</v>
      </c>
      <c r="K1374" s="71">
        <v>19.962</v>
      </c>
      <c r="L1374" s="71">
        <v>19.975300000000001</v>
      </c>
      <c r="M1374" s="71">
        <v>20.247299999999999</v>
      </c>
    </row>
    <row r="1375" spans="1:13">
      <c r="A1375" s="57" t="s">
        <v>3050</v>
      </c>
      <c r="B1375" s="58">
        <f t="shared" ref="B1375:B1438" si="86">DATE(RIGHT(A1375,4),LEFT(RIGHT(A1375,7),2),LEFT(A1375,2))</f>
        <v>40062</v>
      </c>
      <c r="C1375" s="59">
        <f t="shared" ref="C1375:C1438" si="87">YEAR(B1375)</f>
        <v>2009</v>
      </c>
      <c r="D1375" s="60" t="s">
        <v>362</v>
      </c>
      <c r="E1375" s="60" t="s">
        <v>362</v>
      </c>
      <c r="F1375" s="61">
        <v>13.5898</v>
      </c>
      <c r="H1375" s="62" t="s">
        <v>3051</v>
      </c>
      <c r="I1375" s="58">
        <f t="shared" si="85"/>
        <v>44810</v>
      </c>
      <c r="J1375" s="60">
        <f t="shared" ref="J1375:J1438" si="88">YEAR(I1375)</f>
        <v>2022</v>
      </c>
      <c r="K1375" s="64">
        <v>20.138000000000002</v>
      </c>
      <c r="L1375" s="64">
        <v>19.962</v>
      </c>
      <c r="M1375" s="64">
        <v>19.975300000000001</v>
      </c>
    </row>
    <row r="1376" spans="1:13">
      <c r="A1376" s="65" t="s">
        <v>3052</v>
      </c>
      <c r="B1376" s="66">
        <f t="shared" si="86"/>
        <v>40063</v>
      </c>
      <c r="C1376" s="67">
        <f t="shared" si="87"/>
        <v>2009</v>
      </c>
      <c r="D1376" s="68">
        <v>13.364599999999999</v>
      </c>
      <c r="E1376" s="68">
        <v>13.4658</v>
      </c>
      <c r="F1376" s="68">
        <v>13.5898</v>
      </c>
      <c r="H1376" s="69" t="s">
        <v>3053</v>
      </c>
      <c r="I1376" s="66">
        <f t="shared" ref="I1376:I1439" si="89">DATE(RIGHT(H1376,4),LEFT(RIGHT(A1376,7),2),LEFT(A1376,2))</f>
        <v>44811</v>
      </c>
      <c r="J1376" s="70">
        <f t="shared" si="88"/>
        <v>2022</v>
      </c>
      <c r="K1376" s="71">
        <v>20.029699999999998</v>
      </c>
      <c r="L1376" s="71">
        <v>20.138000000000002</v>
      </c>
      <c r="M1376" s="71">
        <v>19.962</v>
      </c>
    </row>
    <row r="1377" spans="1:13">
      <c r="A1377" s="57" t="s">
        <v>3054</v>
      </c>
      <c r="B1377" s="58">
        <f t="shared" si="86"/>
        <v>40064</v>
      </c>
      <c r="C1377" s="59">
        <f t="shared" si="87"/>
        <v>2009</v>
      </c>
      <c r="D1377" s="61">
        <v>13.2826</v>
      </c>
      <c r="E1377" s="61">
        <v>13.364599999999999</v>
      </c>
      <c r="F1377" s="61">
        <v>13.4658</v>
      </c>
      <c r="H1377" s="62" t="s">
        <v>3055</v>
      </c>
      <c r="I1377" s="58">
        <f t="shared" si="89"/>
        <v>44812</v>
      </c>
      <c r="J1377" s="60">
        <f t="shared" si="88"/>
        <v>2022</v>
      </c>
      <c r="K1377" s="64">
        <v>20.020299999999999</v>
      </c>
      <c r="L1377" s="64">
        <v>20.029699999999998</v>
      </c>
      <c r="M1377" s="64">
        <v>20.138000000000002</v>
      </c>
    </row>
    <row r="1378" spans="1:13">
      <c r="A1378" s="65" t="s">
        <v>3056</v>
      </c>
      <c r="B1378" s="66">
        <f t="shared" si="86"/>
        <v>40065</v>
      </c>
      <c r="C1378" s="67">
        <f t="shared" si="87"/>
        <v>2009</v>
      </c>
      <c r="D1378" s="68">
        <v>13.392300000000001</v>
      </c>
      <c r="E1378" s="68">
        <v>13.2826</v>
      </c>
      <c r="F1378" s="68">
        <v>13.364599999999999</v>
      </c>
      <c r="H1378" s="69" t="s">
        <v>3057</v>
      </c>
      <c r="I1378" s="66">
        <f t="shared" si="89"/>
        <v>44813</v>
      </c>
      <c r="J1378" s="70">
        <f t="shared" si="88"/>
        <v>2022</v>
      </c>
      <c r="K1378" s="71">
        <v>19.902699999999999</v>
      </c>
      <c r="L1378" s="71">
        <v>20.020299999999999</v>
      </c>
      <c r="M1378" s="71">
        <v>20.029699999999998</v>
      </c>
    </row>
    <row r="1379" spans="1:13">
      <c r="A1379" s="57" t="s">
        <v>3058</v>
      </c>
      <c r="B1379" s="58">
        <f t="shared" si="86"/>
        <v>40066</v>
      </c>
      <c r="C1379" s="59">
        <f t="shared" si="87"/>
        <v>2009</v>
      </c>
      <c r="D1379" s="61">
        <v>13.4582</v>
      </c>
      <c r="E1379" s="61">
        <v>13.392300000000001</v>
      </c>
      <c r="F1379" s="61">
        <v>13.2826</v>
      </c>
      <c r="H1379" s="62" t="s">
        <v>3059</v>
      </c>
      <c r="I1379" s="58">
        <f t="shared" si="89"/>
        <v>44814</v>
      </c>
      <c r="J1379" s="60">
        <f t="shared" si="88"/>
        <v>2022</v>
      </c>
      <c r="K1379" s="63" t="s">
        <v>362</v>
      </c>
      <c r="L1379" s="63" t="s">
        <v>362</v>
      </c>
      <c r="M1379" s="64">
        <v>20.020299999999999</v>
      </c>
    </row>
    <row r="1380" spans="1:13">
      <c r="A1380" s="65" t="s">
        <v>3060</v>
      </c>
      <c r="B1380" s="66">
        <f t="shared" si="86"/>
        <v>40067</v>
      </c>
      <c r="C1380" s="67">
        <f t="shared" si="87"/>
        <v>2009</v>
      </c>
      <c r="D1380" s="68">
        <v>13.3432</v>
      </c>
      <c r="E1380" s="68">
        <v>13.4582</v>
      </c>
      <c r="F1380" s="68">
        <v>13.392300000000001</v>
      </c>
      <c r="H1380" s="69" t="s">
        <v>3061</v>
      </c>
      <c r="I1380" s="66">
        <f t="shared" si="89"/>
        <v>44815</v>
      </c>
      <c r="J1380" s="70">
        <f t="shared" si="88"/>
        <v>2022</v>
      </c>
      <c r="K1380" s="72" t="s">
        <v>362</v>
      </c>
      <c r="L1380" s="72" t="s">
        <v>362</v>
      </c>
      <c r="M1380" s="71">
        <v>20.020299999999999</v>
      </c>
    </row>
    <row r="1381" spans="1:13">
      <c r="A1381" s="57" t="s">
        <v>3062</v>
      </c>
      <c r="B1381" s="58">
        <f t="shared" si="86"/>
        <v>40068</v>
      </c>
      <c r="C1381" s="59">
        <f t="shared" si="87"/>
        <v>2009</v>
      </c>
      <c r="D1381" s="60" t="s">
        <v>362</v>
      </c>
      <c r="E1381" s="60" t="s">
        <v>362</v>
      </c>
      <c r="F1381" s="61">
        <v>13.4582</v>
      </c>
      <c r="H1381" s="62" t="s">
        <v>3063</v>
      </c>
      <c r="I1381" s="58">
        <f t="shared" si="89"/>
        <v>44816</v>
      </c>
      <c r="J1381" s="60">
        <f t="shared" si="88"/>
        <v>2022</v>
      </c>
      <c r="K1381" s="64">
        <v>19.7957</v>
      </c>
      <c r="L1381" s="64">
        <v>19.902699999999999</v>
      </c>
      <c r="M1381" s="64">
        <v>20.020299999999999</v>
      </c>
    </row>
    <row r="1382" spans="1:13">
      <c r="A1382" s="65" t="s">
        <v>3064</v>
      </c>
      <c r="B1382" s="66">
        <f t="shared" si="86"/>
        <v>40069</v>
      </c>
      <c r="C1382" s="67">
        <f t="shared" si="87"/>
        <v>2009</v>
      </c>
      <c r="D1382" s="70" t="s">
        <v>362</v>
      </c>
      <c r="E1382" s="70" t="s">
        <v>362</v>
      </c>
      <c r="F1382" s="68">
        <v>13.4582</v>
      </c>
      <c r="H1382" s="69" t="s">
        <v>3065</v>
      </c>
      <c r="I1382" s="66">
        <f t="shared" si="89"/>
        <v>44817</v>
      </c>
      <c r="J1382" s="70">
        <f t="shared" si="88"/>
        <v>2022</v>
      </c>
      <c r="K1382" s="71">
        <v>20.055</v>
      </c>
      <c r="L1382" s="71">
        <v>19.7957</v>
      </c>
      <c r="M1382" s="71">
        <v>19.902699999999999</v>
      </c>
    </row>
    <row r="1383" spans="1:13">
      <c r="A1383" s="57" t="s">
        <v>3066</v>
      </c>
      <c r="B1383" s="58">
        <f t="shared" si="86"/>
        <v>40070</v>
      </c>
      <c r="C1383" s="59">
        <f t="shared" si="87"/>
        <v>2009</v>
      </c>
      <c r="D1383" s="61">
        <v>13.389200000000001</v>
      </c>
      <c r="E1383" s="61">
        <v>13.3432</v>
      </c>
      <c r="F1383" s="61">
        <v>13.4582</v>
      </c>
      <c r="H1383" s="62" t="s">
        <v>3067</v>
      </c>
      <c r="I1383" s="58">
        <f t="shared" si="89"/>
        <v>44818</v>
      </c>
      <c r="J1383" s="60">
        <f t="shared" si="88"/>
        <v>2022</v>
      </c>
      <c r="K1383" s="64">
        <v>19.976800000000001</v>
      </c>
      <c r="L1383" s="64">
        <v>20.055</v>
      </c>
      <c r="M1383" s="64">
        <v>19.7957</v>
      </c>
    </row>
    <row r="1384" spans="1:13">
      <c r="A1384" s="65" t="s">
        <v>3068</v>
      </c>
      <c r="B1384" s="66">
        <f t="shared" si="86"/>
        <v>40071</v>
      </c>
      <c r="C1384" s="67">
        <f t="shared" si="87"/>
        <v>2009</v>
      </c>
      <c r="D1384" s="68">
        <v>13.3475</v>
      </c>
      <c r="E1384" s="68">
        <v>13.389200000000001</v>
      </c>
      <c r="F1384" s="68">
        <v>13.3432</v>
      </c>
      <c r="H1384" s="69" t="s">
        <v>3069</v>
      </c>
      <c r="I1384" s="66">
        <f t="shared" si="89"/>
        <v>44819</v>
      </c>
      <c r="J1384" s="70">
        <f t="shared" si="88"/>
        <v>2022</v>
      </c>
      <c r="K1384" s="71">
        <v>20.052499999999998</v>
      </c>
      <c r="L1384" s="71">
        <v>19.976800000000001</v>
      </c>
      <c r="M1384" s="71">
        <v>20.055</v>
      </c>
    </row>
    <row r="1385" spans="1:13">
      <c r="A1385" s="57" t="s">
        <v>3070</v>
      </c>
      <c r="B1385" s="58">
        <f t="shared" si="86"/>
        <v>40072</v>
      </c>
      <c r="C1385" s="59">
        <f t="shared" si="87"/>
        <v>2009</v>
      </c>
      <c r="D1385" s="60" t="s">
        <v>362</v>
      </c>
      <c r="E1385" s="60" t="s">
        <v>362</v>
      </c>
      <c r="F1385" s="61">
        <v>13.389200000000001</v>
      </c>
      <c r="H1385" s="62" t="s">
        <v>3071</v>
      </c>
      <c r="I1385" s="58">
        <f t="shared" si="89"/>
        <v>44820</v>
      </c>
      <c r="J1385" s="60">
        <f t="shared" si="88"/>
        <v>2022</v>
      </c>
      <c r="K1385" s="63" t="s">
        <v>362</v>
      </c>
      <c r="L1385" s="63" t="s">
        <v>362</v>
      </c>
      <c r="M1385" s="64">
        <v>19.976800000000001</v>
      </c>
    </row>
    <row r="1386" spans="1:13">
      <c r="A1386" s="65" t="s">
        <v>3072</v>
      </c>
      <c r="B1386" s="66">
        <f t="shared" si="86"/>
        <v>40073</v>
      </c>
      <c r="C1386" s="67">
        <f t="shared" si="87"/>
        <v>2009</v>
      </c>
      <c r="D1386" s="68">
        <v>13.23</v>
      </c>
      <c r="E1386" s="68">
        <v>13.3475</v>
      </c>
      <c r="F1386" s="68">
        <v>13.389200000000001</v>
      </c>
      <c r="H1386" s="69" t="s">
        <v>3073</v>
      </c>
      <c r="I1386" s="66">
        <f t="shared" si="89"/>
        <v>44821</v>
      </c>
      <c r="J1386" s="70">
        <f t="shared" si="88"/>
        <v>2022</v>
      </c>
      <c r="K1386" s="72" t="s">
        <v>362</v>
      </c>
      <c r="L1386" s="72" t="s">
        <v>362</v>
      </c>
      <c r="M1386" s="71">
        <v>19.976800000000001</v>
      </c>
    </row>
    <row r="1387" spans="1:13">
      <c r="A1387" s="57" t="s">
        <v>3074</v>
      </c>
      <c r="B1387" s="58">
        <f t="shared" si="86"/>
        <v>40074</v>
      </c>
      <c r="C1387" s="59">
        <f t="shared" si="87"/>
        <v>2009</v>
      </c>
      <c r="D1387" s="61">
        <v>13.241300000000001</v>
      </c>
      <c r="E1387" s="61">
        <v>13.23</v>
      </c>
      <c r="F1387" s="61">
        <v>13.3475</v>
      </c>
      <c r="H1387" s="62" t="s">
        <v>3075</v>
      </c>
      <c r="I1387" s="58">
        <f t="shared" si="89"/>
        <v>44822</v>
      </c>
      <c r="J1387" s="60">
        <f t="shared" si="88"/>
        <v>2022</v>
      </c>
      <c r="K1387" s="63" t="s">
        <v>362</v>
      </c>
      <c r="L1387" s="63" t="s">
        <v>362</v>
      </c>
      <c r="M1387" s="64">
        <v>19.976800000000001</v>
      </c>
    </row>
    <row r="1388" spans="1:13">
      <c r="A1388" s="65" t="s">
        <v>3076</v>
      </c>
      <c r="B1388" s="66">
        <f t="shared" si="86"/>
        <v>40075</v>
      </c>
      <c r="C1388" s="67">
        <f t="shared" si="87"/>
        <v>2009</v>
      </c>
      <c r="D1388" s="70" t="s">
        <v>362</v>
      </c>
      <c r="E1388" s="70" t="s">
        <v>362</v>
      </c>
      <c r="F1388" s="68">
        <v>13.23</v>
      </c>
      <c r="H1388" s="69" t="s">
        <v>3077</v>
      </c>
      <c r="I1388" s="66">
        <f t="shared" si="89"/>
        <v>44823</v>
      </c>
      <c r="J1388" s="70">
        <f t="shared" si="88"/>
        <v>2022</v>
      </c>
      <c r="K1388" s="71">
        <v>19.994299999999999</v>
      </c>
      <c r="L1388" s="71">
        <v>20.052499999999998</v>
      </c>
      <c r="M1388" s="71">
        <v>19.976800000000001</v>
      </c>
    </row>
    <row r="1389" spans="1:13">
      <c r="A1389" s="57" t="s">
        <v>3078</v>
      </c>
      <c r="B1389" s="58">
        <f t="shared" si="86"/>
        <v>40076</v>
      </c>
      <c r="C1389" s="59">
        <f t="shared" si="87"/>
        <v>2009</v>
      </c>
      <c r="D1389" s="60" t="s">
        <v>362</v>
      </c>
      <c r="E1389" s="60" t="s">
        <v>362</v>
      </c>
      <c r="F1389" s="61">
        <v>13.23</v>
      </c>
      <c r="H1389" s="62" t="s">
        <v>3079</v>
      </c>
      <c r="I1389" s="58">
        <f t="shared" si="89"/>
        <v>44824</v>
      </c>
      <c r="J1389" s="60">
        <f t="shared" si="88"/>
        <v>2022</v>
      </c>
      <c r="K1389" s="64">
        <v>20</v>
      </c>
      <c r="L1389" s="64">
        <v>19.994299999999999</v>
      </c>
      <c r="M1389" s="64">
        <v>20.052499999999998</v>
      </c>
    </row>
    <row r="1390" spans="1:13">
      <c r="A1390" s="65" t="s">
        <v>3080</v>
      </c>
      <c r="B1390" s="66">
        <f t="shared" si="86"/>
        <v>40077</v>
      </c>
      <c r="C1390" s="67">
        <f t="shared" si="87"/>
        <v>2009</v>
      </c>
      <c r="D1390" s="68">
        <v>13.353</v>
      </c>
      <c r="E1390" s="68">
        <v>13.241300000000001</v>
      </c>
      <c r="F1390" s="68">
        <v>13.23</v>
      </c>
      <c r="H1390" s="69" t="s">
        <v>3081</v>
      </c>
      <c r="I1390" s="66">
        <f t="shared" si="89"/>
        <v>44825</v>
      </c>
      <c r="J1390" s="70">
        <f t="shared" si="88"/>
        <v>2022</v>
      </c>
      <c r="K1390" s="71">
        <v>20.002700000000001</v>
      </c>
      <c r="L1390" s="71">
        <v>20</v>
      </c>
      <c r="M1390" s="71">
        <v>19.994299999999999</v>
      </c>
    </row>
    <row r="1391" spans="1:13">
      <c r="A1391" s="57" t="s">
        <v>3082</v>
      </c>
      <c r="B1391" s="58">
        <f t="shared" si="86"/>
        <v>40078</v>
      </c>
      <c r="C1391" s="59">
        <f t="shared" si="87"/>
        <v>2009</v>
      </c>
      <c r="D1391" s="61">
        <v>13.3186</v>
      </c>
      <c r="E1391" s="61">
        <v>13.353</v>
      </c>
      <c r="F1391" s="61">
        <v>13.241300000000001</v>
      </c>
      <c r="H1391" s="62" t="s">
        <v>3083</v>
      </c>
      <c r="I1391" s="58">
        <f t="shared" si="89"/>
        <v>44826</v>
      </c>
      <c r="J1391" s="60">
        <f t="shared" si="88"/>
        <v>2022</v>
      </c>
      <c r="K1391" s="64">
        <v>19.960799999999999</v>
      </c>
      <c r="L1391" s="64">
        <v>20.002700000000001</v>
      </c>
      <c r="M1391" s="64">
        <v>20</v>
      </c>
    </row>
    <row r="1392" spans="1:13">
      <c r="A1392" s="65" t="s">
        <v>3084</v>
      </c>
      <c r="B1392" s="66">
        <f t="shared" si="86"/>
        <v>40079</v>
      </c>
      <c r="C1392" s="67">
        <f t="shared" si="87"/>
        <v>2009</v>
      </c>
      <c r="D1392" s="68">
        <v>13.3733</v>
      </c>
      <c r="E1392" s="68">
        <v>13.3186</v>
      </c>
      <c r="F1392" s="68">
        <v>13.353</v>
      </c>
      <c r="H1392" s="69" t="s">
        <v>3085</v>
      </c>
      <c r="I1392" s="66">
        <f t="shared" si="89"/>
        <v>44827</v>
      </c>
      <c r="J1392" s="70">
        <f t="shared" si="88"/>
        <v>2022</v>
      </c>
      <c r="K1392" s="71">
        <v>20.162700000000001</v>
      </c>
      <c r="L1392" s="71">
        <v>19.960799999999999</v>
      </c>
      <c r="M1392" s="71">
        <v>20.002700000000001</v>
      </c>
    </row>
    <row r="1393" spans="1:13">
      <c r="A1393" s="57" t="s">
        <v>3086</v>
      </c>
      <c r="B1393" s="58">
        <f t="shared" si="86"/>
        <v>40080</v>
      </c>
      <c r="C1393" s="59">
        <f t="shared" si="87"/>
        <v>2009</v>
      </c>
      <c r="D1393" s="61">
        <v>13.4549</v>
      </c>
      <c r="E1393" s="61">
        <v>13.3733</v>
      </c>
      <c r="F1393" s="61">
        <v>13.3186</v>
      </c>
      <c r="H1393" s="62" t="s">
        <v>3087</v>
      </c>
      <c r="I1393" s="58">
        <f t="shared" si="89"/>
        <v>44828</v>
      </c>
      <c r="J1393" s="60">
        <f t="shared" si="88"/>
        <v>2022</v>
      </c>
      <c r="K1393" s="63" t="s">
        <v>362</v>
      </c>
      <c r="L1393" s="63" t="s">
        <v>362</v>
      </c>
      <c r="M1393" s="64">
        <v>19.960799999999999</v>
      </c>
    </row>
    <row r="1394" spans="1:13">
      <c r="A1394" s="65" t="s">
        <v>3088</v>
      </c>
      <c r="B1394" s="66">
        <f t="shared" si="86"/>
        <v>40081</v>
      </c>
      <c r="C1394" s="67">
        <f t="shared" si="87"/>
        <v>2009</v>
      </c>
      <c r="D1394" s="68">
        <v>13.5243</v>
      </c>
      <c r="E1394" s="68">
        <v>13.4549</v>
      </c>
      <c r="F1394" s="68">
        <v>13.3733</v>
      </c>
      <c r="H1394" s="69" t="s">
        <v>3089</v>
      </c>
      <c r="I1394" s="66">
        <f t="shared" si="89"/>
        <v>44829</v>
      </c>
      <c r="J1394" s="70">
        <f t="shared" si="88"/>
        <v>2022</v>
      </c>
      <c r="K1394" s="72" t="s">
        <v>362</v>
      </c>
      <c r="L1394" s="72" t="s">
        <v>362</v>
      </c>
      <c r="M1394" s="71">
        <v>19.960799999999999</v>
      </c>
    </row>
    <row r="1395" spans="1:13">
      <c r="A1395" s="57" t="s">
        <v>3090</v>
      </c>
      <c r="B1395" s="58">
        <f t="shared" si="86"/>
        <v>40082</v>
      </c>
      <c r="C1395" s="59">
        <f t="shared" si="87"/>
        <v>2009</v>
      </c>
      <c r="D1395" s="60" t="s">
        <v>362</v>
      </c>
      <c r="E1395" s="60" t="s">
        <v>362</v>
      </c>
      <c r="F1395" s="61">
        <v>13.4549</v>
      </c>
      <c r="H1395" s="62" t="s">
        <v>3091</v>
      </c>
      <c r="I1395" s="58">
        <f t="shared" si="89"/>
        <v>44830</v>
      </c>
      <c r="J1395" s="60">
        <f t="shared" si="88"/>
        <v>2022</v>
      </c>
      <c r="K1395" s="64">
        <v>20.351700000000001</v>
      </c>
      <c r="L1395" s="64">
        <v>20.162700000000001</v>
      </c>
      <c r="M1395" s="64">
        <v>19.960799999999999</v>
      </c>
    </row>
    <row r="1396" spans="1:13">
      <c r="A1396" s="65" t="s">
        <v>3092</v>
      </c>
      <c r="B1396" s="66">
        <f t="shared" si="86"/>
        <v>40083</v>
      </c>
      <c r="C1396" s="67">
        <f t="shared" si="87"/>
        <v>2009</v>
      </c>
      <c r="D1396" s="70" t="s">
        <v>362</v>
      </c>
      <c r="E1396" s="70" t="s">
        <v>362</v>
      </c>
      <c r="F1396" s="68">
        <v>13.4549</v>
      </c>
      <c r="H1396" s="69" t="s">
        <v>3093</v>
      </c>
      <c r="I1396" s="66">
        <f t="shared" si="89"/>
        <v>44831</v>
      </c>
      <c r="J1396" s="70">
        <f t="shared" si="88"/>
        <v>2022</v>
      </c>
      <c r="K1396" s="71">
        <v>20.356999999999999</v>
      </c>
      <c r="L1396" s="71">
        <v>20.351700000000001</v>
      </c>
      <c r="M1396" s="71">
        <v>20.162700000000001</v>
      </c>
    </row>
    <row r="1397" spans="1:13">
      <c r="A1397" s="57" t="s">
        <v>3094</v>
      </c>
      <c r="B1397" s="58">
        <f t="shared" si="86"/>
        <v>40084</v>
      </c>
      <c r="C1397" s="59">
        <f t="shared" si="87"/>
        <v>2009</v>
      </c>
      <c r="D1397" s="61">
        <v>13.504200000000001</v>
      </c>
      <c r="E1397" s="61">
        <v>13.5243</v>
      </c>
      <c r="F1397" s="61">
        <v>13.4549</v>
      </c>
      <c r="H1397" s="62" t="s">
        <v>3095</v>
      </c>
      <c r="I1397" s="58">
        <f t="shared" si="89"/>
        <v>44832</v>
      </c>
      <c r="J1397" s="60">
        <f t="shared" si="88"/>
        <v>2022</v>
      </c>
      <c r="K1397" s="64">
        <v>20.305800000000001</v>
      </c>
      <c r="L1397" s="64">
        <v>20.356999999999999</v>
      </c>
      <c r="M1397" s="64">
        <v>20.351700000000001</v>
      </c>
    </row>
    <row r="1398" spans="1:13">
      <c r="A1398" s="65" t="s">
        <v>3096</v>
      </c>
      <c r="B1398" s="66">
        <f t="shared" si="86"/>
        <v>40085</v>
      </c>
      <c r="C1398" s="67">
        <f t="shared" si="87"/>
        <v>2009</v>
      </c>
      <c r="D1398" s="68">
        <v>13.551299999999999</v>
      </c>
      <c r="E1398" s="68">
        <v>13.504200000000001</v>
      </c>
      <c r="F1398" s="68">
        <v>13.5243</v>
      </c>
      <c r="H1398" s="69" t="s">
        <v>3097</v>
      </c>
      <c r="I1398" s="66">
        <f t="shared" si="89"/>
        <v>44833</v>
      </c>
      <c r="J1398" s="70">
        <f t="shared" si="88"/>
        <v>2022</v>
      </c>
      <c r="K1398" s="71">
        <v>20.192699999999999</v>
      </c>
      <c r="L1398" s="71">
        <v>20.305800000000001</v>
      </c>
      <c r="M1398" s="71">
        <v>20.356999999999999</v>
      </c>
    </row>
    <row r="1399" spans="1:13">
      <c r="A1399" s="57" t="s">
        <v>3098</v>
      </c>
      <c r="B1399" s="58">
        <f t="shared" si="86"/>
        <v>40086</v>
      </c>
      <c r="C1399" s="59">
        <f t="shared" si="87"/>
        <v>2009</v>
      </c>
      <c r="D1399" s="61">
        <v>13.492800000000001</v>
      </c>
      <c r="E1399" s="61">
        <v>13.551299999999999</v>
      </c>
      <c r="F1399" s="61">
        <v>13.504200000000001</v>
      </c>
      <c r="H1399" s="62" t="s">
        <v>3099</v>
      </c>
      <c r="I1399" s="58">
        <f t="shared" si="89"/>
        <v>44834</v>
      </c>
      <c r="J1399" s="60">
        <f t="shared" si="88"/>
        <v>2022</v>
      </c>
      <c r="K1399" s="64">
        <v>20.092500000000001</v>
      </c>
      <c r="L1399" s="64">
        <v>20.192699999999999</v>
      </c>
      <c r="M1399" s="64">
        <v>20.305800000000001</v>
      </c>
    </row>
    <row r="1400" spans="1:13">
      <c r="A1400" s="65" t="s">
        <v>3100</v>
      </c>
      <c r="B1400" s="66">
        <f t="shared" si="86"/>
        <v>40087</v>
      </c>
      <c r="C1400" s="67">
        <f t="shared" si="87"/>
        <v>2009</v>
      </c>
      <c r="D1400" s="68">
        <v>13.6242</v>
      </c>
      <c r="E1400" s="68">
        <v>13.492800000000001</v>
      </c>
      <c r="F1400" s="68">
        <v>13.551299999999999</v>
      </c>
      <c r="H1400" s="69" t="s">
        <v>3101</v>
      </c>
      <c r="I1400" s="66">
        <f t="shared" si="89"/>
        <v>44835</v>
      </c>
      <c r="J1400" s="70">
        <f t="shared" si="88"/>
        <v>2022</v>
      </c>
      <c r="K1400" s="72" t="s">
        <v>362</v>
      </c>
      <c r="L1400" s="72" t="s">
        <v>362</v>
      </c>
      <c r="M1400" s="71">
        <v>20.192699999999999</v>
      </c>
    </row>
    <row r="1401" spans="1:13">
      <c r="A1401" s="57" t="s">
        <v>3102</v>
      </c>
      <c r="B1401" s="58">
        <f t="shared" si="86"/>
        <v>40088</v>
      </c>
      <c r="C1401" s="59">
        <f t="shared" si="87"/>
        <v>2009</v>
      </c>
      <c r="D1401" s="61">
        <v>13.677300000000001</v>
      </c>
      <c r="E1401" s="61">
        <v>13.6242</v>
      </c>
      <c r="F1401" s="61">
        <v>13.492800000000001</v>
      </c>
      <c r="H1401" s="62" t="s">
        <v>3103</v>
      </c>
      <c r="I1401" s="58">
        <f t="shared" si="89"/>
        <v>44836</v>
      </c>
      <c r="J1401" s="60">
        <f t="shared" si="88"/>
        <v>2022</v>
      </c>
      <c r="K1401" s="63" t="s">
        <v>362</v>
      </c>
      <c r="L1401" s="63" t="s">
        <v>362</v>
      </c>
      <c r="M1401" s="64">
        <v>20.192699999999999</v>
      </c>
    </row>
    <row r="1402" spans="1:13">
      <c r="A1402" s="65" t="s">
        <v>3104</v>
      </c>
      <c r="B1402" s="66">
        <f t="shared" si="86"/>
        <v>40089</v>
      </c>
      <c r="C1402" s="67">
        <f t="shared" si="87"/>
        <v>2009</v>
      </c>
      <c r="D1402" s="70" t="s">
        <v>362</v>
      </c>
      <c r="E1402" s="70" t="s">
        <v>362</v>
      </c>
      <c r="F1402" s="68">
        <v>13.6242</v>
      </c>
      <c r="H1402" s="69" t="s">
        <v>3105</v>
      </c>
      <c r="I1402" s="66">
        <f t="shared" si="89"/>
        <v>44837</v>
      </c>
      <c r="J1402" s="70">
        <f t="shared" si="88"/>
        <v>2022</v>
      </c>
      <c r="K1402" s="71">
        <v>20.000800000000002</v>
      </c>
      <c r="L1402" s="71">
        <v>20.092500000000001</v>
      </c>
      <c r="M1402" s="71">
        <v>20.192699999999999</v>
      </c>
    </row>
    <row r="1403" spans="1:13">
      <c r="A1403" s="57" t="s">
        <v>3106</v>
      </c>
      <c r="B1403" s="58">
        <f t="shared" si="86"/>
        <v>40090</v>
      </c>
      <c r="C1403" s="59">
        <f t="shared" si="87"/>
        <v>2009</v>
      </c>
      <c r="D1403" s="60" t="s">
        <v>362</v>
      </c>
      <c r="E1403" s="60" t="s">
        <v>362</v>
      </c>
      <c r="F1403" s="61">
        <v>13.6242</v>
      </c>
      <c r="H1403" s="62" t="s">
        <v>3107</v>
      </c>
      <c r="I1403" s="58">
        <f t="shared" si="89"/>
        <v>44838</v>
      </c>
      <c r="J1403" s="60">
        <f t="shared" si="88"/>
        <v>2022</v>
      </c>
      <c r="K1403" s="64">
        <v>19.969799999999999</v>
      </c>
      <c r="L1403" s="64">
        <v>20.000800000000002</v>
      </c>
      <c r="M1403" s="64">
        <v>20.092500000000001</v>
      </c>
    </row>
    <row r="1404" spans="1:13">
      <c r="A1404" s="65" t="s">
        <v>3108</v>
      </c>
      <c r="B1404" s="66">
        <f t="shared" si="86"/>
        <v>40091</v>
      </c>
      <c r="C1404" s="67">
        <f t="shared" si="87"/>
        <v>2009</v>
      </c>
      <c r="D1404" s="68">
        <v>13.654999999999999</v>
      </c>
      <c r="E1404" s="68">
        <v>13.677300000000001</v>
      </c>
      <c r="F1404" s="68">
        <v>13.6242</v>
      </c>
      <c r="H1404" s="69" t="s">
        <v>3109</v>
      </c>
      <c r="I1404" s="66">
        <f t="shared" si="89"/>
        <v>44839</v>
      </c>
      <c r="J1404" s="70">
        <f t="shared" si="88"/>
        <v>2022</v>
      </c>
      <c r="K1404" s="71">
        <v>20.1267</v>
      </c>
      <c r="L1404" s="71">
        <v>19.969799999999999</v>
      </c>
      <c r="M1404" s="71">
        <v>20.000800000000002</v>
      </c>
    </row>
    <row r="1405" spans="1:13">
      <c r="A1405" s="57" t="s">
        <v>3110</v>
      </c>
      <c r="B1405" s="58">
        <f t="shared" si="86"/>
        <v>40092</v>
      </c>
      <c r="C1405" s="59">
        <f t="shared" si="87"/>
        <v>2009</v>
      </c>
      <c r="D1405" s="61">
        <v>13.494300000000001</v>
      </c>
      <c r="E1405" s="61">
        <v>13.654999999999999</v>
      </c>
      <c r="F1405" s="61">
        <v>13.677300000000001</v>
      </c>
      <c r="H1405" s="62" t="s">
        <v>3111</v>
      </c>
      <c r="I1405" s="58">
        <f t="shared" si="89"/>
        <v>44840</v>
      </c>
      <c r="J1405" s="60">
        <f t="shared" si="88"/>
        <v>2022</v>
      </c>
      <c r="K1405" s="64">
        <v>20.108699999999999</v>
      </c>
      <c r="L1405" s="64">
        <v>20.1267</v>
      </c>
      <c r="M1405" s="64">
        <v>19.969799999999999</v>
      </c>
    </row>
    <row r="1406" spans="1:13">
      <c r="A1406" s="65" t="s">
        <v>3112</v>
      </c>
      <c r="B1406" s="66">
        <f t="shared" si="86"/>
        <v>40093</v>
      </c>
      <c r="C1406" s="67">
        <f t="shared" si="87"/>
        <v>2009</v>
      </c>
      <c r="D1406" s="68">
        <v>13.4673</v>
      </c>
      <c r="E1406" s="68">
        <v>13.494300000000001</v>
      </c>
      <c r="F1406" s="68">
        <v>13.654999999999999</v>
      </c>
      <c r="H1406" s="69" t="s">
        <v>3113</v>
      </c>
      <c r="I1406" s="66">
        <f t="shared" si="89"/>
        <v>44841</v>
      </c>
      <c r="J1406" s="70">
        <f t="shared" si="88"/>
        <v>2022</v>
      </c>
      <c r="K1406" s="71">
        <v>20.0502</v>
      </c>
      <c r="L1406" s="71">
        <v>20.108699999999999</v>
      </c>
      <c r="M1406" s="71">
        <v>20.1267</v>
      </c>
    </row>
    <row r="1407" spans="1:13">
      <c r="A1407" s="57" t="s">
        <v>3114</v>
      </c>
      <c r="B1407" s="58">
        <f t="shared" si="86"/>
        <v>40094</v>
      </c>
      <c r="C1407" s="59">
        <f t="shared" si="87"/>
        <v>2009</v>
      </c>
      <c r="D1407" s="61">
        <v>13.322699999999999</v>
      </c>
      <c r="E1407" s="61">
        <v>13.4673</v>
      </c>
      <c r="F1407" s="61">
        <v>13.494300000000001</v>
      </c>
      <c r="H1407" s="62" t="s">
        <v>3115</v>
      </c>
      <c r="I1407" s="58">
        <f t="shared" si="89"/>
        <v>44842</v>
      </c>
      <c r="J1407" s="60">
        <f t="shared" si="88"/>
        <v>2022</v>
      </c>
      <c r="K1407" s="63" t="s">
        <v>362</v>
      </c>
      <c r="L1407" s="63" t="s">
        <v>362</v>
      </c>
      <c r="M1407" s="64">
        <v>20.108699999999999</v>
      </c>
    </row>
    <row r="1408" spans="1:13">
      <c r="A1408" s="65" t="s">
        <v>3116</v>
      </c>
      <c r="B1408" s="66">
        <f t="shared" si="86"/>
        <v>40095</v>
      </c>
      <c r="C1408" s="67">
        <f t="shared" si="87"/>
        <v>2009</v>
      </c>
      <c r="D1408" s="68">
        <v>13.255000000000001</v>
      </c>
      <c r="E1408" s="68">
        <v>13.322699999999999</v>
      </c>
      <c r="F1408" s="68">
        <v>13.4673</v>
      </c>
      <c r="H1408" s="69" t="s">
        <v>3117</v>
      </c>
      <c r="I1408" s="66">
        <f t="shared" si="89"/>
        <v>44843</v>
      </c>
      <c r="J1408" s="70">
        <f t="shared" si="88"/>
        <v>2022</v>
      </c>
      <c r="K1408" s="72" t="s">
        <v>362</v>
      </c>
      <c r="L1408" s="72" t="s">
        <v>362</v>
      </c>
      <c r="M1408" s="71">
        <v>20.108699999999999</v>
      </c>
    </row>
    <row r="1409" spans="1:13">
      <c r="A1409" s="57" t="s">
        <v>3118</v>
      </c>
      <c r="B1409" s="58">
        <f t="shared" si="86"/>
        <v>40096</v>
      </c>
      <c r="C1409" s="59">
        <f t="shared" si="87"/>
        <v>2009</v>
      </c>
      <c r="D1409" s="60" t="s">
        <v>362</v>
      </c>
      <c r="E1409" s="60" t="s">
        <v>362</v>
      </c>
      <c r="F1409" s="61">
        <v>13.322699999999999</v>
      </c>
      <c r="H1409" s="62" t="s">
        <v>3119</v>
      </c>
      <c r="I1409" s="58">
        <f t="shared" si="89"/>
        <v>44844</v>
      </c>
      <c r="J1409" s="60">
        <f t="shared" si="88"/>
        <v>2022</v>
      </c>
      <c r="K1409" s="64">
        <v>19.975200000000001</v>
      </c>
      <c r="L1409" s="64">
        <v>20.0502</v>
      </c>
      <c r="M1409" s="64">
        <v>20.108699999999999</v>
      </c>
    </row>
    <row r="1410" spans="1:13">
      <c r="A1410" s="65" t="s">
        <v>3120</v>
      </c>
      <c r="B1410" s="66">
        <f t="shared" si="86"/>
        <v>40097</v>
      </c>
      <c r="C1410" s="67">
        <f t="shared" si="87"/>
        <v>2009</v>
      </c>
      <c r="D1410" s="70" t="s">
        <v>362</v>
      </c>
      <c r="E1410" s="70" t="s">
        <v>362</v>
      </c>
      <c r="F1410" s="68">
        <v>13.322699999999999</v>
      </c>
      <c r="H1410" s="69" t="s">
        <v>3121</v>
      </c>
      <c r="I1410" s="66">
        <f t="shared" si="89"/>
        <v>44845</v>
      </c>
      <c r="J1410" s="70">
        <f t="shared" si="88"/>
        <v>2022</v>
      </c>
      <c r="K1410" s="71">
        <v>19.965199999999999</v>
      </c>
      <c r="L1410" s="71">
        <v>19.975200000000001</v>
      </c>
      <c r="M1410" s="71">
        <v>20.0502</v>
      </c>
    </row>
    <row r="1411" spans="1:13">
      <c r="A1411" s="57" t="s">
        <v>3122</v>
      </c>
      <c r="B1411" s="58">
        <f t="shared" si="86"/>
        <v>40098</v>
      </c>
      <c r="C1411" s="59">
        <f t="shared" si="87"/>
        <v>2009</v>
      </c>
      <c r="D1411" s="61">
        <v>13.2178</v>
      </c>
      <c r="E1411" s="61">
        <v>13.255000000000001</v>
      </c>
      <c r="F1411" s="61">
        <v>13.322699999999999</v>
      </c>
      <c r="H1411" s="62" t="s">
        <v>3123</v>
      </c>
      <c r="I1411" s="58">
        <f t="shared" si="89"/>
        <v>44846</v>
      </c>
      <c r="J1411" s="60">
        <f t="shared" si="88"/>
        <v>2022</v>
      </c>
      <c r="K1411" s="64">
        <v>20.0352</v>
      </c>
      <c r="L1411" s="64">
        <v>19.965199999999999</v>
      </c>
      <c r="M1411" s="64">
        <v>19.975200000000001</v>
      </c>
    </row>
    <row r="1412" spans="1:13">
      <c r="A1412" s="65" t="s">
        <v>3124</v>
      </c>
      <c r="B1412" s="66">
        <f t="shared" si="86"/>
        <v>40099</v>
      </c>
      <c r="C1412" s="67">
        <f t="shared" si="87"/>
        <v>2009</v>
      </c>
      <c r="D1412" s="68">
        <v>13.1774</v>
      </c>
      <c r="E1412" s="68">
        <v>13.2178</v>
      </c>
      <c r="F1412" s="68">
        <v>13.255000000000001</v>
      </c>
      <c r="H1412" s="69" t="s">
        <v>3125</v>
      </c>
      <c r="I1412" s="66">
        <f t="shared" si="89"/>
        <v>44847</v>
      </c>
      <c r="J1412" s="70">
        <f t="shared" si="88"/>
        <v>2022</v>
      </c>
      <c r="K1412" s="71">
        <v>20.0398</v>
      </c>
      <c r="L1412" s="71">
        <v>20.0352</v>
      </c>
      <c r="M1412" s="71">
        <v>19.965199999999999</v>
      </c>
    </row>
    <row r="1413" spans="1:13">
      <c r="A1413" s="57" t="s">
        <v>3126</v>
      </c>
      <c r="B1413" s="58">
        <f t="shared" si="86"/>
        <v>40100</v>
      </c>
      <c r="C1413" s="59">
        <f t="shared" si="87"/>
        <v>2009</v>
      </c>
      <c r="D1413" s="61">
        <v>13.0779</v>
      </c>
      <c r="E1413" s="61">
        <v>13.1774</v>
      </c>
      <c r="F1413" s="61">
        <v>13.2178</v>
      </c>
      <c r="H1413" s="62" t="s">
        <v>3127</v>
      </c>
      <c r="I1413" s="58">
        <f t="shared" si="89"/>
        <v>44848</v>
      </c>
      <c r="J1413" s="60">
        <f t="shared" si="88"/>
        <v>2022</v>
      </c>
      <c r="K1413" s="64">
        <v>20.0838</v>
      </c>
      <c r="L1413" s="64">
        <v>20.0398</v>
      </c>
      <c r="M1413" s="64">
        <v>20.0352</v>
      </c>
    </row>
    <row r="1414" spans="1:13">
      <c r="A1414" s="65" t="s">
        <v>3128</v>
      </c>
      <c r="B1414" s="66">
        <f t="shared" si="86"/>
        <v>40101</v>
      </c>
      <c r="C1414" s="67">
        <f t="shared" si="87"/>
        <v>2009</v>
      </c>
      <c r="D1414" s="68">
        <v>13.0884</v>
      </c>
      <c r="E1414" s="68">
        <v>13.0779</v>
      </c>
      <c r="F1414" s="68">
        <v>13.1774</v>
      </c>
      <c r="H1414" s="69" t="s">
        <v>3129</v>
      </c>
      <c r="I1414" s="66">
        <f t="shared" si="89"/>
        <v>44849</v>
      </c>
      <c r="J1414" s="70">
        <f t="shared" si="88"/>
        <v>2022</v>
      </c>
      <c r="K1414" s="72" t="s">
        <v>362</v>
      </c>
      <c r="L1414" s="72" t="s">
        <v>362</v>
      </c>
      <c r="M1414" s="71">
        <v>20.0398</v>
      </c>
    </row>
    <row r="1415" spans="1:13">
      <c r="A1415" s="57" t="s">
        <v>3130</v>
      </c>
      <c r="B1415" s="58">
        <f t="shared" si="86"/>
        <v>40102</v>
      </c>
      <c r="C1415" s="59">
        <f t="shared" si="87"/>
        <v>2009</v>
      </c>
      <c r="D1415" s="61">
        <v>13.105700000000001</v>
      </c>
      <c r="E1415" s="61">
        <v>13.0884</v>
      </c>
      <c r="F1415" s="61">
        <v>13.0779</v>
      </c>
      <c r="H1415" s="62" t="s">
        <v>3131</v>
      </c>
      <c r="I1415" s="58">
        <f t="shared" si="89"/>
        <v>44850</v>
      </c>
      <c r="J1415" s="60">
        <f t="shared" si="88"/>
        <v>2022</v>
      </c>
      <c r="K1415" s="63" t="s">
        <v>362</v>
      </c>
      <c r="L1415" s="63" t="s">
        <v>362</v>
      </c>
      <c r="M1415" s="64">
        <v>20.0398</v>
      </c>
    </row>
    <row r="1416" spans="1:13">
      <c r="A1416" s="65" t="s">
        <v>3132</v>
      </c>
      <c r="B1416" s="66">
        <f t="shared" si="86"/>
        <v>40103</v>
      </c>
      <c r="C1416" s="67">
        <f t="shared" si="87"/>
        <v>2009</v>
      </c>
      <c r="D1416" s="70" t="s">
        <v>362</v>
      </c>
      <c r="E1416" s="70" t="s">
        <v>362</v>
      </c>
      <c r="F1416" s="68">
        <v>13.0884</v>
      </c>
      <c r="H1416" s="69" t="s">
        <v>3133</v>
      </c>
      <c r="I1416" s="66">
        <f t="shared" si="89"/>
        <v>44851</v>
      </c>
      <c r="J1416" s="70">
        <f t="shared" si="88"/>
        <v>2022</v>
      </c>
      <c r="K1416" s="71">
        <v>19.991299999999999</v>
      </c>
      <c r="L1416" s="71">
        <v>20.0838</v>
      </c>
      <c r="M1416" s="71">
        <v>20.0398</v>
      </c>
    </row>
    <row r="1417" spans="1:13">
      <c r="A1417" s="57" t="s">
        <v>3134</v>
      </c>
      <c r="B1417" s="58">
        <f t="shared" si="86"/>
        <v>40104</v>
      </c>
      <c r="C1417" s="59">
        <f t="shared" si="87"/>
        <v>2009</v>
      </c>
      <c r="D1417" s="60" t="s">
        <v>362</v>
      </c>
      <c r="E1417" s="60" t="s">
        <v>362</v>
      </c>
      <c r="F1417" s="61">
        <v>13.0884</v>
      </c>
      <c r="H1417" s="62" t="s">
        <v>3135</v>
      </c>
      <c r="I1417" s="58">
        <f t="shared" si="89"/>
        <v>44852</v>
      </c>
      <c r="J1417" s="60">
        <f t="shared" si="88"/>
        <v>2022</v>
      </c>
      <c r="K1417" s="64">
        <v>20.020700000000001</v>
      </c>
      <c r="L1417" s="64">
        <v>19.991299999999999</v>
      </c>
      <c r="M1417" s="64">
        <v>20.0838</v>
      </c>
    </row>
    <row r="1418" spans="1:13">
      <c r="A1418" s="65" t="s">
        <v>3136</v>
      </c>
      <c r="B1418" s="66">
        <f t="shared" si="86"/>
        <v>40105</v>
      </c>
      <c r="C1418" s="67">
        <f t="shared" si="87"/>
        <v>2009</v>
      </c>
      <c r="D1418" s="68">
        <v>13.084</v>
      </c>
      <c r="E1418" s="68">
        <v>13.105700000000001</v>
      </c>
      <c r="F1418" s="68">
        <v>13.0884</v>
      </c>
      <c r="H1418" s="69" t="s">
        <v>3137</v>
      </c>
      <c r="I1418" s="66">
        <f t="shared" si="89"/>
        <v>44853</v>
      </c>
      <c r="J1418" s="70">
        <f t="shared" si="88"/>
        <v>2022</v>
      </c>
      <c r="K1418" s="71">
        <v>20.127199999999998</v>
      </c>
      <c r="L1418" s="71">
        <v>20.020700000000001</v>
      </c>
      <c r="M1418" s="71">
        <v>19.991299999999999</v>
      </c>
    </row>
    <row r="1419" spans="1:13">
      <c r="A1419" s="57" t="s">
        <v>3138</v>
      </c>
      <c r="B1419" s="58">
        <f t="shared" si="86"/>
        <v>40106</v>
      </c>
      <c r="C1419" s="59">
        <f t="shared" si="87"/>
        <v>2009</v>
      </c>
      <c r="D1419" s="61">
        <v>12.9407</v>
      </c>
      <c r="E1419" s="61">
        <v>13.084</v>
      </c>
      <c r="F1419" s="61">
        <v>13.105700000000001</v>
      </c>
      <c r="H1419" s="62" t="s">
        <v>3139</v>
      </c>
      <c r="I1419" s="58">
        <f t="shared" si="89"/>
        <v>44854</v>
      </c>
      <c r="J1419" s="60">
        <f t="shared" si="88"/>
        <v>2022</v>
      </c>
      <c r="K1419" s="64">
        <v>20.044799999999999</v>
      </c>
      <c r="L1419" s="64">
        <v>20.127199999999998</v>
      </c>
      <c r="M1419" s="64">
        <v>20.020700000000001</v>
      </c>
    </row>
    <row r="1420" spans="1:13">
      <c r="A1420" s="65" t="s">
        <v>3140</v>
      </c>
      <c r="B1420" s="66">
        <f t="shared" si="86"/>
        <v>40107</v>
      </c>
      <c r="C1420" s="67">
        <f t="shared" si="87"/>
        <v>2009</v>
      </c>
      <c r="D1420" s="68">
        <v>12.919600000000001</v>
      </c>
      <c r="E1420" s="68">
        <v>12.9407</v>
      </c>
      <c r="F1420" s="68">
        <v>13.084</v>
      </c>
      <c r="H1420" s="69" t="s">
        <v>3141</v>
      </c>
      <c r="I1420" s="66">
        <f t="shared" si="89"/>
        <v>44855</v>
      </c>
      <c r="J1420" s="70">
        <f t="shared" si="88"/>
        <v>2022</v>
      </c>
      <c r="K1420" s="71">
        <v>19.964700000000001</v>
      </c>
      <c r="L1420" s="71">
        <v>20.044799999999999</v>
      </c>
      <c r="M1420" s="71">
        <v>20.127199999999998</v>
      </c>
    </row>
    <row r="1421" spans="1:13">
      <c r="A1421" s="57" t="s">
        <v>3142</v>
      </c>
      <c r="B1421" s="58">
        <f t="shared" si="86"/>
        <v>40108</v>
      </c>
      <c r="C1421" s="59">
        <f t="shared" si="87"/>
        <v>2009</v>
      </c>
      <c r="D1421" s="61">
        <v>12.9495</v>
      </c>
      <c r="E1421" s="61">
        <v>12.919600000000001</v>
      </c>
      <c r="F1421" s="61">
        <v>12.9407</v>
      </c>
      <c r="H1421" s="62" t="s">
        <v>3143</v>
      </c>
      <c r="I1421" s="58">
        <f t="shared" si="89"/>
        <v>44856</v>
      </c>
      <c r="J1421" s="60">
        <f t="shared" si="88"/>
        <v>2022</v>
      </c>
      <c r="K1421" s="63" t="s">
        <v>362</v>
      </c>
      <c r="L1421" s="63" t="s">
        <v>362</v>
      </c>
      <c r="M1421" s="64">
        <v>20.044799999999999</v>
      </c>
    </row>
    <row r="1422" spans="1:13">
      <c r="A1422" s="65" t="s">
        <v>3144</v>
      </c>
      <c r="B1422" s="66">
        <f t="shared" si="86"/>
        <v>40109</v>
      </c>
      <c r="C1422" s="67">
        <f t="shared" si="87"/>
        <v>2009</v>
      </c>
      <c r="D1422" s="68">
        <v>12.979799999999999</v>
      </c>
      <c r="E1422" s="68">
        <v>12.9495</v>
      </c>
      <c r="F1422" s="68">
        <v>12.919600000000001</v>
      </c>
      <c r="H1422" s="69" t="s">
        <v>3145</v>
      </c>
      <c r="I1422" s="66">
        <f t="shared" si="89"/>
        <v>44857</v>
      </c>
      <c r="J1422" s="70">
        <f t="shared" si="88"/>
        <v>2022</v>
      </c>
      <c r="K1422" s="72" t="s">
        <v>362</v>
      </c>
      <c r="L1422" s="72" t="s">
        <v>362</v>
      </c>
      <c r="M1422" s="71">
        <v>20.044799999999999</v>
      </c>
    </row>
    <row r="1423" spans="1:13">
      <c r="A1423" s="57" t="s">
        <v>3146</v>
      </c>
      <c r="B1423" s="58">
        <f t="shared" si="86"/>
        <v>40110</v>
      </c>
      <c r="C1423" s="59">
        <f t="shared" si="87"/>
        <v>2009</v>
      </c>
      <c r="D1423" s="60" t="s">
        <v>362</v>
      </c>
      <c r="E1423" s="60" t="s">
        <v>362</v>
      </c>
      <c r="F1423" s="61">
        <v>12.9495</v>
      </c>
      <c r="H1423" s="62" t="s">
        <v>3147</v>
      </c>
      <c r="I1423" s="58">
        <f t="shared" si="89"/>
        <v>44858</v>
      </c>
      <c r="J1423" s="60">
        <f t="shared" si="88"/>
        <v>2022</v>
      </c>
      <c r="K1423" s="64">
        <v>19.953499999999998</v>
      </c>
      <c r="L1423" s="64">
        <v>19.964700000000001</v>
      </c>
      <c r="M1423" s="64">
        <v>20.044799999999999</v>
      </c>
    </row>
    <row r="1424" spans="1:13">
      <c r="A1424" s="65" t="s">
        <v>3148</v>
      </c>
      <c r="B1424" s="66">
        <f t="shared" si="86"/>
        <v>40111</v>
      </c>
      <c r="C1424" s="67">
        <f t="shared" si="87"/>
        <v>2009</v>
      </c>
      <c r="D1424" s="70" t="s">
        <v>362</v>
      </c>
      <c r="E1424" s="70" t="s">
        <v>362</v>
      </c>
      <c r="F1424" s="68">
        <v>12.9495</v>
      </c>
      <c r="H1424" s="69" t="s">
        <v>3149</v>
      </c>
      <c r="I1424" s="66">
        <f t="shared" si="89"/>
        <v>44859</v>
      </c>
      <c r="J1424" s="70">
        <f t="shared" si="88"/>
        <v>2022</v>
      </c>
      <c r="K1424" s="71">
        <v>19.871200000000002</v>
      </c>
      <c r="L1424" s="71">
        <v>19.953499999999998</v>
      </c>
      <c r="M1424" s="71">
        <v>19.964700000000001</v>
      </c>
    </row>
    <row r="1425" spans="1:13">
      <c r="A1425" s="57" t="s">
        <v>3150</v>
      </c>
      <c r="B1425" s="58">
        <f t="shared" si="86"/>
        <v>40112</v>
      </c>
      <c r="C1425" s="59">
        <f t="shared" si="87"/>
        <v>2009</v>
      </c>
      <c r="D1425" s="61">
        <v>13.148999999999999</v>
      </c>
      <c r="E1425" s="61">
        <v>12.979799999999999</v>
      </c>
      <c r="F1425" s="61">
        <v>12.9495</v>
      </c>
      <c r="H1425" s="62" t="s">
        <v>3151</v>
      </c>
      <c r="I1425" s="58">
        <f t="shared" si="89"/>
        <v>44860</v>
      </c>
      <c r="J1425" s="60">
        <f t="shared" si="88"/>
        <v>2022</v>
      </c>
      <c r="K1425" s="64">
        <v>19.8553</v>
      </c>
      <c r="L1425" s="64">
        <v>19.871200000000002</v>
      </c>
      <c r="M1425" s="64">
        <v>19.953499999999998</v>
      </c>
    </row>
    <row r="1426" spans="1:13">
      <c r="A1426" s="65" t="s">
        <v>3152</v>
      </c>
      <c r="B1426" s="66">
        <f t="shared" si="86"/>
        <v>40113</v>
      </c>
      <c r="C1426" s="67">
        <f t="shared" si="87"/>
        <v>2009</v>
      </c>
      <c r="D1426" s="68">
        <v>13.2662</v>
      </c>
      <c r="E1426" s="68">
        <v>13.148999999999999</v>
      </c>
      <c r="F1426" s="68">
        <v>12.979799999999999</v>
      </c>
      <c r="H1426" s="69" t="s">
        <v>3153</v>
      </c>
      <c r="I1426" s="66">
        <f t="shared" si="89"/>
        <v>44861</v>
      </c>
      <c r="J1426" s="70">
        <f t="shared" si="88"/>
        <v>2022</v>
      </c>
      <c r="K1426" s="71">
        <v>19.836500000000001</v>
      </c>
      <c r="L1426" s="71">
        <v>19.8553</v>
      </c>
      <c r="M1426" s="71">
        <v>19.871200000000002</v>
      </c>
    </row>
    <row r="1427" spans="1:13">
      <c r="A1427" s="57" t="s">
        <v>3154</v>
      </c>
      <c r="B1427" s="58">
        <f t="shared" si="86"/>
        <v>40114</v>
      </c>
      <c r="C1427" s="59">
        <f t="shared" si="87"/>
        <v>2009</v>
      </c>
      <c r="D1427" s="61">
        <v>13.282299999999999</v>
      </c>
      <c r="E1427" s="61">
        <v>13.2662</v>
      </c>
      <c r="F1427" s="61">
        <v>13.148999999999999</v>
      </c>
      <c r="H1427" s="62" t="s">
        <v>3155</v>
      </c>
      <c r="I1427" s="58">
        <f t="shared" si="89"/>
        <v>44862</v>
      </c>
      <c r="J1427" s="60">
        <f t="shared" si="88"/>
        <v>2022</v>
      </c>
      <c r="K1427" s="64">
        <v>19.830300000000001</v>
      </c>
      <c r="L1427" s="64">
        <v>19.836500000000001</v>
      </c>
      <c r="M1427" s="64">
        <v>19.8553</v>
      </c>
    </row>
    <row r="1428" spans="1:13">
      <c r="A1428" s="65" t="s">
        <v>3156</v>
      </c>
      <c r="B1428" s="66">
        <f t="shared" si="86"/>
        <v>40115</v>
      </c>
      <c r="C1428" s="67">
        <f t="shared" si="87"/>
        <v>2009</v>
      </c>
      <c r="D1428" s="68">
        <v>13.0825</v>
      </c>
      <c r="E1428" s="68">
        <v>13.282299999999999</v>
      </c>
      <c r="F1428" s="68">
        <v>13.2662</v>
      </c>
      <c r="H1428" s="69" t="s">
        <v>3157</v>
      </c>
      <c r="I1428" s="66">
        <f t="shared" si="89"/>
        <v>44863</v>
      </c>
      <c r="J1428" s="70">
        <f t="shared" si="88"/>
        <v>2022</v>
      </c>
      <c r="K1428" s="72" t="s">
        <v>362</v>
      </c>
      <c r="L1428" s="72" t="s">
        <v>362</v>
      </c>
      <c r="M1428" s="71">
        <v>19.836500000000001</v>
      </c>
    </row>
    <row r="1429" spans="1:13">
      <c r="A1429" s="57" t="s">
        <v>3158</v>
      </c>
      <c r="B1429" s="58">
        <f t="shared" si="86"/>
        <v>40116</v>
      </c>
      <c r="C1429" s="59">
        <f t="shared" si="87"/>
        <v>2009</v>
      </c>
      <c r="D1429" s="61">
        <v>13.1479</v>
      </c>
      <c r="E1429" s="61">
        <v>13.0825</v>
      </c>
      <c r="F1429" s="61">
        <v>13.282299999999999</v>
      </c>
      <c r="H1429" s="62" t="s">
        <v>3159</v>
      </c>
      <c r="I1429" s="58">
        <f t="shared" si="89"/>
        <v>44864</v>
      </c>
      <c r="J1429" s="60">
        <f t="shared" si="88"/>
        <v>2022</v>
      </c>
      <c r="K1429" s="63" t="s">
        <v>362</v>
      </c>
      <c r="L1429" s="63" t="s">
        <v>362</v>
      </c>
      <c r="M1429" s="64">
        <v>19.836500000000001</v>
      </c>
    </row>
    <row r="1430" spans="1:13">
      <c r="A1430" s="65" t="s">
        <v>3160</v>
      </c>
      <c r="B1430" s="66">
        <f t="shared" si="86"/>
        <v>40117</v>
      </c>
      <c r="C1430" s="67">
        <f t="shared" si="87"/>
        <v>2009</v>
      </c>
      <c r="D1430" s="70" t="s">
        <v>362</v>
      </c>
      <c r="E1430" s="70" t="s">
        <v>362</v>
      </c>
      <c r="F1430" s="68">
        <v>13.0825</v>
      </c>
      <c r="H1430" s="69" t="s">
        <v>3161</v>
      </c>
      <c r="I1430" s="66">
        <f t="shared" si="89"/>
        <v>44865</v>
      </c>
      <c r="J1430" s="70">
        <f t="shared" si="88"/>
        <v>2022</v>
      </c>
      <c r="K1430" s="71">
        <v>19.8245</v>
      </c>
      <c r="L1430" s="71">
        <v>19.830300000000001</v>
      </c>
      <c r="M1430" s="71">
        <v>19.836500000000001</v>
      </c>
    </row>
    <row r="1431" spans="1:13">
      <c r="A1431" s="57" t="s">
        <v>3162</v>
      </c>
      <c r="B1431" s="58">
        <f t="shared" si="86"/>
        <v>40118</v>
      </c>
      <c r="C1431" s="59">
        <f t="shared" si="87"/>
        <v>2009</v>
      </c>
      <c r="D1431" s="60" t="s">
        <v>362</v>
      </c>
      <c r="E1431" s="60" t="s">
        <v>362</v>
      </c>
      <c r="F1431" s="61">
        <v>13.0825</v>
      </c>
      <c r="H1431" s="62" t="s">
        <v>3163</v>
      </c>
      <c r="I1431" s="58">
        <f t="shared" si="89"/>
        <v>44866</v>
      </c>
      <c r="J1431" s="60">
        <f t="shared" si="88"/>
        <v>2022</v>
      </c>
      <c r="K1431" s="64">
        <v>19.746300000000002</v>
      </c>
      <c r="L1431" s="64">
        <v>19.8245</v>
      </c>
      <c r="M1431" s="64">
        <v>19.830300000000001</v>
      </c>
    </row>
    <row r="1432" spans="1:13">
      <c r="A1432" s="65" t="s">
        <v>3164</v>
      </c>
      <c r="B1432" s="66">
        <f t="shared" si="86"/>
        <v>40119</v>
      </c>
      <c r="C1432" s="67">
        <f t="shared" si="87"/>
        <v>2009</v>
      </c>
      <c r="D1432" s="70" t="s">
        <v>362</v>
      </c>
      <c r="E1432" s="70" t="s">
        <v>362</v>
      </c>
      <c r="F1432" s="68">
        <v>13.0825</v>
      </c>
      <c r="H1432" s="69" t="s">
        <v>3165</v>
      </c>
      <c r="I1432" s="66">
        <f t="shared" si="89"/>
        <v>44867</v>
      </c>
      <c r="J1432" s="70">
        <f t="shared" si="88"/>
        <v>2022</v>
      </c>
      <c r="K1432" s="72" t="s">
        <v>362</v>
      </c>
      <c r="L1432" s="72" t="s">
        <v>362</v>
      </c>
      <c r="M1432" s="71">
        <v>19.8245</v>
      </c>
    </row>
    <row r="1433" spans="1:13">
      <c r="A1433" s="57" t="s">
        <v>3166</v>
      </c>
      <c r="B1433" s="58">
        <f t="shared" si="86"/>
        <v>40120</v>
      </c>
      <c r="C1433" s="59">
        <f t="shared" si="87"/>
        <v>2009</v>
      </c>
      <c r="D1433" s="61">
        <v>13.290800000000001</v>
      </c>
      <c r="E1433" s="61">
        <v>13.1479</v>
      </c>
      <c r="F1433" s="61">
        <v>13.0825</v>
      </c>
      <c r="H1433" s="62" t="s">
        <v>3167</v>
      </c>
      <c r="I1433" s="58">
        <f t="shared" si="89"/>
        <v>44868</v>
      </c>
      <c r="J1433" s="60">
        <f t="shared" si="88"/>
        <v>2022</v>
      </c>
      <c r="K1433" s="64">
        <v>19.667300000000001</v>
      </c>
      <c r="L1433" s="64">
        <v>19.746300000000002</v>
      </c>
      <c r="M1433" s="64">
        <v>19.8245</v>
      </c>
    </row>
    <row r="1434" spans="1:13">
      <c r="A1434" s="65" t="s">
        <v>3168</v>
      </c>
      <c r="B1434" s="66">
        <f t="shared" si="86"/>
        <v>40121</v>
      </c>
      <c r="C1434" s="67">
        <f t="shared" si="87"/>
        <v>2009</v>
      </c>
      <c r="D1434" s="68">
        <v>13.270799999999999</v>
      </c>
      <c r="E1434" s="68">
        <v>13.290800000000001</v>
      </c>
      <c r="F1434" s="68">
        <v>13.1479</v>
      </c>
      <c r="H1434" s="69" t="s">
        <v>3169</v>
      </c>
      <c r="I1434" s="66">
        <f t="shared" si="89"/>
        <v>44869</v>
      </c>
      <c r="J1434" s="70">
        <f t="shared" si="88"/>
        <v>2022</v>
      </c>
      <c r="K1434" s="71">
        <v>19.520199999999999</v>
      </c>
      <c r="L1434" s="71">
        <v>19.667300000000001</v>
      </c>
      <c r="M1434" s="71">
        <v>19.746300000000002</v>
      </c>
    </row>
    <row r="1435" spans="1:13">
      <c r="A1435" s="57" t="s">
        <v>3170</v>
      </c>
      <c r="B1435" s="58">
        <f t="shared" si="86"/>
        <v>40122</v>
      </c>
      <c r="C1435" s="59">
        <f t="shared" si="87"/>
        <v>2009</v>
      </c>
      <c r="D1435" s="61">
        <v>13.343</v>
      </c>
      <c r="E1435" s="61">
        <v>13.270799999999999</v>
      </c>
      <c r="F1435" s="61">
        <v>13.290800000000001</v>
      </c>
      <c r="H1435" s="62" t="s">
        <v>3171</v>
      </c>
      <c r="I1435" s="58">
        <f t="shared" si="89"/>
        <v>44870</v>
      </c>
      <c r="J1435" s="60">
        <f t="shared" si="88"/>
        <v>2022</v>
      </c>
      <c r="K1435" s="63" t="s">
        <v>362</v>
      </c>
      <c r="L1435" s="63" t="s">
        <v>362</v>
      </c>
      <c r="M1435" s="64">
        <v>19.667300000000001</v>
      </c>
    </row>
    <row r="1436" spans="1:13">
      <c r="A1436" s="65" t="s">
        <v>3172</v>
      </c>
      <c r="B1436" s="66">
        <f t="shared" si="86"/>
        <v>40123</v>
      </c>
      <c r="C1436" s="67">
        <f t="shared" si="87"/>
        <v>2009</v>
      </c>
      <c r="D1436" s="68">
        <v>13.3758</v>
      </c>
      <c r="E1436" s="68">
        <v>13.343</v>
      </c>
      <c r="F1436" s="68">
        <v>13.270799999999999</v>
      </c>
      <c r="H1436" s="69" t="s">
        <v>3173</v>
      </c>
      <c r="I1436" s="66">
        <f t="shared" si="89"/>
        <v>44871</v>
      </c>
      <c r="J1436" s="70">
        <f t="shared" si="88"/>
        <v>2022</v>
      </c>
      <c r="K1436" s="72" t="s">
        <v>362</v>
      </c>
      <c r="L1436" s="72" t="s">
        <v>362</v>
      </c>
      <c r="M1436" s="71">
        <v>19.667300000000001</v>
      </c>
    </row>
    <row r="1437" spans="1:13">
      <c r="A1437" s="57" t="s">
        <v>3174</v>
      </c>
      <c r="B1437" s="58">
        <f t="shared" si="86"/>
        <v>40124</v>
      </c>
      <c r="C1437" s="59">
        <f t="shared" si="87"/>
        <v>2009</v>
      </c>
      <c r="D1437" s="60" t="s">
        <v>362</v>
      </c>
      <c r="E1437" s="60" t="s">
        <v>362</v>
      </c>
      <c r="F1437" s="61">
        <v>13.343</v>
      </c>
      <c r="H1437" s="62" t="s">
        <v>3175</v>
      </c>
      <c r="I1437" s="58">
        <f t="shared" si="89"/>
        <v>44872</v>
      </c>
      <c r="J1437" s="60">
        <f t="shared" si="88"/>
        <v>2022</v>
      </c>
      <c r="K1437" s="64">
        <v>19.464700000000001</v>
      </c>
      <c r="L1437" s="64">
        <v>19.520199999999999</v>
      </c>
      <c r="M1437" s="64">
        <v>19.667300000000001</v>
      </c>
    </row>
    <row r="1438" spans="1:13">
      <c r="A1438" s="65" t="s">
        <v>3176</v>
      </c>
      <c r="B1438" s="66">
        <f t="shared" si="86"/>
        <v>40125</v>
      </c>
      <c r="C1438" s="67">
        <f t="shared" si="87"/>
        <v>2009</v>
      </c>
      <c r="D1438" s="70" t="s">
        <v>362</v>
      </c>
      <c r="E1438" s="70" t="s">
        <v>362</v>
      </c>
      <c r="F1438" s="68">
        <v>13.343</v>
      </c>
      <c r="H1438" s="69" t="s">
        <v>3177</v>
      </c>
      <c r="I1438" s="66">
        <f t="shared" si="89"/>
        <v>44873</v>
      </c>
      <c r="J1438" s="70">
        <f t="shared" si="88"/>
        <v>2022</v>
      </c>
      <c r="K1438" s="71">
        <v>19.477499999999999</v>
      </c>
      <c r="L1438" s="71">
        <v>19.464700000000001</v>
      </c>
      <c r="M1438" s="71">
        <v>19.520199999999999</v>
      </c>
    </row>
    <row r="1439" spans="1:13">
      <c r="A1439" s="57" t="s">
        <v>3178</v>
      </c>
      <c r="B1439" s="58">
        <f t="shared" ref="B1439:B1502" si="90">DATE(RIGHT(A1439,4),LEFT(RIGHT(A1439,7),2),LEFT(A1439,2))</f>
        <v>40126</v>
      </c>
      <c r="C1439" s="59">
        <f t="shared" ref="C1439:C1502" si="91">YEAR(B1439)</f>
        <v>2009</v>
      </c>
      <c r="D1439" s="61">
        <v>13.2996</v>
      </c>
      <c r="E1439" s="61">
        <v>13.3758</v>
      </c>
      <c r="F1439" s="61">
        <v>13.343</v>
      </c>
      <c r="H1439" s="62" t="s">
        <v>3179</v>
      </c>
      <c r="I1439" s="58">
        <f t="shared" si="89"/>
        <v>44874</v>
      </c>
      <c r="J1439" s="60">
        <f t="shared" ref="J1439:J1502" si="92">YEAR(I1439)</f>
        <v>2022</v>
      </c>
      <c r="K1439" s="64">
        <v>19.588699999999999</v>
      </c>
      <c r="L1439" s="64">
        <v>19.477499999999999</v>
      </c>
      <c r="M1439" s="64">
        <v>19.464700000000001</v>
      </c>
    </row>
    <row r="1440" spans="1:13">
      <c r="A1440" s="65" t="s">
        <v>3180</v>
      </c>
      <c r="B1440" s="66">
        <f t="shared" si="90"/>
        <v>40127</v>
      </c>
      <c r="C1440" s="67">
        <f t="shared" si="91"/>
        <v>2009</v>
      </c>
      <c r="D1440" s="68">
        <v>13.2308</v>
      </c>
      <c r="E1440" s="68">
        <v>13.2996</v>
      </c>
      <c r="F1440" s="68">
        <v>13.3758</v>
      </c>
      <c r="H1440" s="69" t="s">
        <v>3181</v>
      </c>
      <c r="I1440" s="66">
        <f t="shared" ref="I1440:I1503" si="93">DATE(RIGHT(H1440,4),LEFT(RIGHT(A1440,7),2),LEFT(A1440,2))</f>
        <v>44875</v>
      </c>
      <c r="J1440" s="70">
        <f t="shared" si="92"/>
        <v>2022</v>
      </c>
      <c r="K1440" s="71">
        <v>19.393999999999998</v>
      </c>
      <c r="L1440" s="71">
        <v>19.588699999999999</v>
      </c>
      <c r="M1440" s="71">
        <v>19.477499999999999</v>
      </c>
    </row>
    <row r="1441" spans="1:13">
      <c r="A1441" s="57" t="s">
        <v>3182</v>
      </c>
      <c r="B1441" s="58">
        <f t="shared" si="90"/>
        <v>40128</v>
      </c>
      <c r="C1441" s="59">
        <f t="shared" si="91"/>
        <v>2009</v>
      </c>
      <c r="D1441" s="61">
        <v>13.1622</v>
      </c>
      <c r="E1441" s="61">
        <v>13.2308</v>
      </c>
      <c r="F1441" s="61">
        <v>13.2996</v>
      </c>
      <c r="H1441" s="62" t="s">
        <v>3183</v>
      </c>
      <c r="I1441" s="58">
        <f t="shared" si="93"/>
        <v>44876</v>
      </c>
      <c r="J1441" s="60">
        <f t="shared" si="92"/>
        <v>2022</v>
      </c>
      <c r="K1441" s="64">
        <v>19.535299999999999</v>
      </c>
      <c r="L1441" s="64">
        <v>19.393999999999998</v>
      </c>
      <c r="M1441" s="64">
        <v>19.588699999999999</v>
      </c>
    </row>
    <row r="1442" spans="1:13">
      <c r="A1442" s="65" t="s">
        <v>3184</v>
      </c>
      <c r="B1442" s="66">
        <f t="shared" si="90"/>
        <v>40129</v>
      </c>
      <c r="C1442" s="67">
        <f t="shared" si="91"/>
        <v>2009</v>
      </c>
      <c r="D1442" s="68">
        <v>13.206099999999999</v>
      </c>
      <c r="E1442" s="68">
        <v>13.1622</v>
      </c>
      <c r="F1442" s="68">
        <v>13.2308</v>
      </c>
      <c r="H1442" s="69" t="s">
        <v>3185</v>
      </c>
      <c r="I1442" s="66">
        <f t="shared" si="93"/>
        <v>44877</v>
      </c>
      <c r="J1442" s="70">
        <f t="shared" si="92"/>
        <v>2022</v>
      </c>
      <c r="K1442" s="72" t="s">
        <v>362</v>
      </c>
      <c r="L1442" s="72" t="s">
        <v>362</v>
      </c>
      <c r="M1442" s="71">
        <v>19.393999999999998</v>
      </c>
    </row>
    <row r="1443" spans="1:13">
      <c r="A1443" s="57" t="s">
        <v>3186</v>
      </c>
      <c r="B1443" s="58">
        <f t="shared" si="90"/>
        <v>40130</v>
      </c>
      <c r="C1443" s="59">
        <f t="shared" si="91"/>
        <v>2009</v>
      </c>
      <c r="D1443" s="61">
        <v>13.1012</v>
      </c>
      <c r="E1443" s="61">
        <v>13.206099999999999</v>
      </c>
      <c r="F1443" s="61">
        <v>13.1622</v>
      </c>
      <c r="H1443" s="62" t="s">
        <v>3187</v>
      </c>
      <c r="I1443" s="58">
        <f t="shared" si="93"/>
        <v>44878</v>
      </c>
      <c r="J1443" s="60">
        <f t="shared" si="92"/>
        <v>2022</v>
      </c>
      <c r="K1443" s="63" t="s">
        <v>362</v>
      </c>
      <c r="L1443" s="63" t="s">
        <v>362</v>
      </c>
      <c r="M1443" s="64">
        <v>19.393999999999998</v>
      </c>
    </row>
    <row r="1444" spans="1:13">
      <c r="A1444" s="65" t="s">
        <v>3188</v>
      </c>
      <c r="B1444" s="66">
        <f t="shared" si="90"/>
        <v>40131</v>
      </c>
      <c r="C1444" s="67">
        <f t="shared" si="91"/>
        <v>2009</v>
      </c>
      <c r="D1444" s="70" t="s">
        <v>362</v>
      </c>
      <c r="E1444" s="70" t="s">
        <v>362</v>
      </c>
      <c r="F1444" s="68">
        <v>13.206099999999999</v>
      </c>
      <c r="H1444" s="69" t="s">
        <v>3189</v>
      </c>
      <c r="I1444" s="66">
        <f t="shared" si="93"/>
        <v>44879</v>
      </c>
      <c r="J1444" s="70">
        <f t="shared" si="92"/>
        <v>2022</v>
      </c>
      <c r="K1444" s="71">
        <v>19.401499999999999</v>
      </c>
      <c r="L1444" s="71">
        <v>19.535299999999999</v>
      </c>
      <c r="M1444" s="71">
        <v>19.393999999999998</v>
      </c>
    </row>
    <row r="1445" spans="1:13">
      <c r="A1445" s="57" t="s">
        <v>3190</v>
      </c>
      <c r="B1445" s="58">
        <f t="shared" si="90"/>
        <v>40132</v>
      </c>
      <c r="C1445" s="59">
        <f t="shared" si="91"/>
        <v>2009</v>
      </c>
      <c r="D1445" s="60" t="s">
        <v>362</v>
      </c>
      <c r="E1445" s="60" t="s">
        <v>362</v>
      </c>
      <c r="F1445" s="61">
        <v>13.206099999999999</v>
      </c>
      <c r="H1445" s="62" t="s">
        <v>3191</v>
      </c>
      <c r="I1445" s="58">
        <f t="shared" si="93"/>
        <v>44880</v>
      </c>
      <c r="J1445" s="60">
        <f t="shared" si="92"/>
        <v>2022</v>
      </c>
      <c r="K1445" s="64">
        <v>19.381799999999998</v>
      </c>
      <c r="L1445" s="64">
        <v>19.401499999999999</v>
      </c>
      <c r="M1445" s="64">
        <v>19.535299999999999</v>
      </c>
    </row>
    <row r="1446" spans="1:13">
      <c r="A1446" s="65" t="s">
        <v>3192</v>
      </c>
      <c r="B1446" s="66">
        <f t="shared" si="90"/>
        <v>40133</v>
      </c>
      <c r="C1446" s="67">
        <f t="shared" si="91"/>
        <v>2009</v>
      </c>
      <c r="D1446" s="70" t="s">
        <v>362</v>
      </c>
      <c r="E1446" s="70" t="s">
        <v>362</v>
      </c>
      <c r="F1446" s="68">
        <v>13.206099999999999</v>
      </c>
      <c r="H1446" s="69" t="s">
        <v>3193</v>
      </c>
      <c r="I1446" s="66">
        <f t="shared" si="93"/>
        <v>44881</v>
      </c>
      <c r="J1446" s="70">
        <f t="shared" si="92"/>
        <v>2022</v>
      </c>
      <c r="K1446" s="71">
        <v>19.313700000000001</v>
      </c>
      <c r="L1446" s="71">
        <v>19.381799999999998</v>
      </c>
      <c r="M1446" s="71">
        <v>19.401499999999999</v>
      </c>
    </row>
    <row r="1447" spans="1:13">
      <c r="A1447" s="57" t="s">
        <v>3194</v>
      </c>
      <c r="B1447" s="58">
        <f t="shared" si="90"/>
        <v>40134</v>
      </c>
      <c r="C1447" s="59">
        <f t="shared" si="91"/>
        <v>2009</v>
      </c>
      <c r="D1447" s="61">
        <v>13.0875</v>
      </c>
      <c r="E1447" s="61">
        <v>13.1012</v>
      </c>
      <c r="F1447" s="61">
        <v>13.206099999999999</v>
      </c>
      <c r="H1447" s="62" t="s">
        <v>3195</v>
      </c>
      <c r="I1447" s="58">
        <f t="shared" si="93"/>
        <v>44882</v>
      </c>
      <c r="J1447" s="60">
        <f t="shared" si="92"/>
        <v>2022</v>
      </c>
      <c r="K1447" s="64">
        <v>19.433299999999999</v>
      </c>
      <c r="L1447" s="64">
        <v>19.313700000000001</v>
      </c>
      <c r="M1447" s="64">
        <v>19.381799999999998</v>
      </c>
    </row>
    <row r="1448" spans="1:13">
      <c r="A1448" s="65" t="s">
        <v>3196</v>
      </c>
      <c r="B1448" s="66">
        <f t="shared" si="90"/>
        <v>40135</v>
      </c>
      <c r="C1448" s="67">
        <f t="shared" si="91"/>
        <v>2009</v>
      </c>
      <c r="D1448" s="68">
        <v>12.9818</v>
      </c>
      <c r="E1448" s="68">
        <v>13.0875</v>
      </c>
      <c r="F1448" s="68">
        <v>13.1012</v>
      </c>
      <c r="H1448" s="69" t="s">
        <v>3197</v>
      </c>
      <c r="I1448" s="66">
        <f t="shared" si="93"/>
        <v>44883</v>
      </c>
      <c r="J1448" s="70">
        <f t="shared" si="92"/>
        <v>2022</v>
      </c>
      <c r="K1448" s="71">
        <v>19.492999999999999</v>
      </c>
      <c r="L1448" s="71">
        <v>19.433299999999999</v>
      </c>
      <c r="M1448" s="71">
        <v>19.313700000000001</v>
      </c>
    </row>
    <row r="1449" spans="1:13">
      <c r="A1449" s="57" t="s">
        <v>3198</v>
      </c>
      <c r="B1449" s="58">
        <f t="shared" si="90"/>
        <v>40136</v>
      </c>
      <c r="C1449" s="59">
        <f t="shared" si="91"/>
        <v>2009</v>
      </c>
      <c r="D1449" s="61">
        <v>13.0502</v>
      </c>
      <c r="E1449" s="61">
        <v>12.9818</v>
      </c>
      <c r="F1449" s="61">
        <v>13.0875</v>
      </c>
      <c r="H1449" s="62" t="s">
        <v>3199</v>
      </c>
      <c r="I1449" s="58">
        <f t="shared" si="93"/>
        <v>44884</v>
      </c>
      <c r="J1449" s="60">
        <f t="shared" si="92"/>
        <v>2022</v>
      </c>
      <c r="K1449" s="63" t="s">
        <v>362</v>
      </c>
      <c r="L1449" s="63" t="s">
        <v>362</v>
      </c>
      <c r="M1449" s="64">
        <v>19.433299999999999</v>
      </c>
    </row>
    <row r="1450" spans="1:13">
      <c r="A1450" s="65" t="s">
        <v>3200</v>
      </c>
      <c r="B1450" s="66">
        <f t="shared" si="90"/>
        <v>40137</v>
      </c>
      <c r="C1450" s="67">
        <f t="shared" si="91"/>
        <v>2009</v>
      </c>
      <c r="D1450" s="68">
        <v>13.089499999999999</v>
      </c>
      <c r="E1450" s="68">
        <v>13.0502</v>
      </c>
      <c r="F1450" s="68">
        <v>12.9818</v>
      </c>
      <c r="H1450" s="69" t="s">
        <v>3201</v>
      </c>
      <c r="I1450" s="66">
        <f t="shared" si="93"/>
        <v>44885</v>
      </c>
      <c r="J1450" s="70">
        <f t="shared" si="92"/>
        <v>2022</v>
      </c>
      <c r="K1450" s="72" t="s">
        <v>362</v>
      </c>
      <c r="L1450" s="72" t="s">
        <v>362</v>
      </c>
      <c r="M1450" s="71">
        <v>19.433299999999999</v>
      </c>
    </row>
    <row r="1451" spans="1:13">
      <c r="A1451" s="57" t="s">
        <v>3202</v>
      </c>
      <c r="B1451" s="58">
        <f t="shared" si="90"/>
        <v>40138</v>
      </c>
      <c r="C1451" s="59">
        <f t="shared" si="91"/>
        <v>2009</v>
      </c>
      <c r="D1451" s="60" t="s">
        <v>362</v>
      </c>
      <c r="E1451" s="60" t="s">
        <v>362</v>
      </c>
      <c r="F1451" s="61">
        <v>13.0502</v>
      </c>
      <c r="H1451" s="62" t="s">
        <v>3203</v>
      </c>
      <c r="I1451" s="58">
        <f t="shared" si="93"/>
        <v>44886</v>
      </c>
      <c r="J1451" s="60">
        <f t="shared" si="92"/>
        <v>2022</v>
      </c>
      <c r="K1451" s="63" t="s">
        <v>362</v>
      </c>
      <c r="L1451" s="63" t="s">
        <v>362</v>
      </c>
      <c r="M1451" s="64">
        <v>19.433299999999999</v>
      </c>
    </row>
    <row r="1452" spans="1:13">
      <c r="A1452" s="65" t="s">
        <v>3204</v>
      </c>
      <c r="B1452" s="66">
        <f t="shared" si="90"/>
        <v>40139</v>
      </c>
      <c r="C1452" s="67">
        <f t="shared" si="91"/>
        <v>2009</v>
      </c>
      <c r="D1452" s="70" t="s">
        <v>362</v>
      </c>
      <c r="E1452" s="70" t="s">
        <v>362</v>
      </c>
      <c r="F1452" s="68">
        <v>13.0502</v>
      </c>
      <c r="H1452" s="69" t="s">
        <v>3205</v>
      </c>
      <c r="I1452" s="66">
        <f t="shared" si="93"/>
        <v>44887</v>
      </c>
      <c r="J1452" s="70">
        <f t="shared" si="92"/>
        <v>2022</v>
      </c>
      <c r="K1452" s="71">
        <v>19.466699999999999</v>
      </c>
      <c r="L1452" s="71">
        <v>19.492999999999999</v>
      </c>
      <c r="M1452" s="71">
        <v>19.433299999999999</v>
      </c>
    </row>
    <row r="1453" spans="1:13">
      <c r="A1453" s="57" t="s">
        <v>3206</v>
      </c>
      <c r="B1453" s="58">
        <f t="shared" si="90"/>
        <v>40140</v>
      </c>
      <c r="C1453" s="59">
        <f t="shared" si="91"/>
        <v>2009</v>
      </c>
      <c r="D1453" s="61">
        <v>13.0151</v>
      </c>
      <c r="E1453" s="61">
        <v>13.089499999999999</v>
      </c>
      <c r="F1453" s="61">
        <v>13.0502</v>
      </c>
      <c r="H1453" s="62" t="s">
        <v>3207</v>
      </c>
      <c r="I1453" s="58">
        <f t="shared" si="93"/>
        <v>44888</v>
      </c>
      <c r="J1453" s="60">
        <f t="shared" si="92"/>
        <v>2022</v>
      </c>
      <c r="K1453" s="64">
        <v>19.368300000000001</v>
      </c>
      <c r="L1453" s="64">
        <v>19.466699999999999</v>
      </c>
      <c r="M1453" s="64">
        <v>19.492999999999999</v>
      </c>
    </row>
    <row r="1454" spans="1:13">
      <c r="A1454" s="65" t="s">
        <v>3208</v>
      </c>
      <c r="B1454" s="66">
        <f t="shared" si="90"/>
        <v>40141</v>
      </c>
      <c r="C1454" s="67">
        <f t="shared" si="91"/>
        <v>2009</v>
      </c>
      <c r="D1454" s="68">
        <v>12.9305</v>
      </c>
      <c r="E1454" s="68">
        <v>13.0151</v>
      </c>
      <c r="F1454" s="68">
        <v>13.089499999999999</v>
      </c>
      <c r="H1454" s="69" t="s">
        <v>3209</v>
      </c>
      <c r="I1454" s="66">
        <f t="shared" si="93"/>
        <v>44889</v>
      </c>
      <c r="J1454" s="70">
        <f t="shared" si="92"/>
        <v>2022</v>
      </c>
      <c r="K1454" s="71">
        <v>19.369199999999999</v>
      </c>
      <c r="L1454" s="71">
        <v>19.368300000000001</v>
      </c>
      <c r="M1454" s="71">
        <v>19.466699999999999</v>
      </c>
    </row>
    <row r="1455" spans="1:13">
      <c r="A1455" s="57" t="s">
        <v>3210</v>
      </c>
      <c r="B1455" s="58">
        <f t="shared" si="90"/>
        <v>40142</v>
      </c>
      <c r="C1455" s="59">
        <f t="shared" si="91"/>
        <v>2009</v>
      </c>
      <c r="D1455" s="61">
        <v>12.866</v>
      </c>
      <c r="E1455" s="61">
        <v>12.9305</v>
      </c>
      <c r="F1455" s="61">
        <v>13.0151</v>
      </c>
      <c r="H1455" s="62" t="s">
        <v>3211</v>
      </c>
      <c r="I1455" s="58">
        <f t="shared" si="93"/>
        <v>44890</v>
      </c>
      <c r="J1455" s="60">
        <f t="shared" si="92"/>
        <v>2022</v>
      </c>
      <c r="K1455" s="64">
        <v>19.339300000000001</v>
      </c>
      <c r="L1455" s="64">
        <v>19.369199999999999</v>
      </c>
      <c r="M1455" s="64">
        <v>19.368300000000001</v>
      </c>
    </row>
    <row r="1456" spans="1:13">
      <c r="A1456" s="65" t="s">
        <v>3212</v>
      </c>
      <c r="B1456" s="66">
        <f t="shared" si="90"/>
        <v>40143</v>
      </c>
      <c r="C1456" s="67">
        <f t="shared" si="91"/>
        <v>2009</v>
      </c>
      <c r="D1456" s="68">
        <v>12.9475</v>
      </c>
      <c r="E1456" s="68">
        <v>12.866</v>
      </c>
      <c r="F1456" s="68">
        <v>12.9305</v>
      </c>
      <c r="H1456" s="69" t="s">
        <v>3213</v>
      </c>
      <c r="I1456" s="66">
        <f t="shared" si="93"/>
        <v>44891</v>
      </c>
      <c r="J1456" s="70">
        <f t="shared" si="92"/>
        <v>2022</v>
      </c>
      <c r="K1456" s="72" t="s">
        <v>362</v>
      </c>
      <c r="L1456" s="72" t="s">
        <v>362</v>
      </c>
      <c r="M1456" s="71">
        <v>19.369199999999999</v>
      </c>
    </row>
    <row r="1457" spans="1:13">
      <c r="A1457" s="57" t="s">
        <v>3214</v>
      </c>
      <c r="B1457" s="58">
        <f t="shared" si="90"/>
        <v>40144</v>
      </c>
      <c r="C1457" s="59">
        <f t="shared" si="91"/>
        <v>2009</v>
      </c>
      <c r="D1457" s="61">
        <v>12.9139</v>
      </c>
      <c r="E1457" s="61">
        <v>12.9475</v>
      </c>
      <c r="F1457" s="61">
        <v>12.866</v>
      </c>
      <c r="H1457" s="62" t="s">
        <v>3215</v>
      </c>
      <c r="I1457" s="58">
        <f t="shared" si="93"/>
        <v>44892</v>
      </c>
      <c r="J1457" s="60">
        <f t="shared" si="92"/>
        <v>2022</v>
      </c>
      <c r="K1457" s="63" t="s">
        <v>362</v>
      </c>
      <c r="L1457" s="63" t="s">
        <v>362</v>
      </c>
      <c r="M1457" s="64">
        <v>19.369199999999999</v>
      </c>
    </row>
    <row r="1458" spans="1:13">
      <c r="A1458" s="65" t="s">
        <v>3216</v>
      </c>
      <c r="B1458" s="66">
        <f t="shared" si="90"/>
        <v>40145</v>
      </c>
      <c r="C1458" s="67">
        <f t="shared" si="91"/>
        <v>2009</v>
      </c>
      <c r="D1458" s="70" t="s">
        <v>362</v>
      </c>
      <c r="E1458" s="70" t="s">
        <v>362</v>
      </c>
      <c r="F1458" s="68">
        <v>12.9475</v>
      </c>
      <c r="H1458" s="69" t="s">
        <v>3217</v>
      </c>
      <c r="I1458" s="66">
        <f t="shared" si="93"/>
        <v>44893</v>
      </c>
      <c r="J1458" s="70">
        <f t="shared" si="92"/>
        <v>2022</v>
      </c>
      <c r="K1458" s="71">
        <v>19.324999999999999</v>
      </c>
      <c r="L1458" s="71">
        <v>19.339300000000001</v>
      </c>
      <c r="M1458" s="71">
        <v>19.369199999999999</v>
      </c>
    </row>
    <row r="1459" spans="1:13">
      <c r="A1459" s="57" t="s">
        <v>3218</v>
      </c>
      <c r="B1459" s="58">
        <f t="shared" si="90"/>
        <v>40146</v>
      </c>
      <c r="C1459" s="59">
        <f t="shared" si="91"/>
        <v>2009</v>
      </c>
      <c r="D1459" s="60" t="s">
        <v>362</v>
      </c>
      <c r="E1459" s="60" t="s">
        <v>362</v>
      </c>
      <c r="F1459" s="61">
        <v>12.9475</v>
      </c>
      <c r="H1459" s="62" t="s">
        <v>3219</v>
      </c>
      <c r="I1459" s="58">
        <f t="shared" si="93"/>
        <v>44894</v>
      </c>
      <c r="J1459" s="60">
        <f t="shared" si="92"/>
        <v>2022</v>
      </c>
      <c r="K1459" s="64">
        <v>19.216000000000001</v>
      </c>
      <c r="L1459" s="64">
        <v>19.324999999999999</v>
      </c>
      <c r="M1459" s="64">
        <v>19.339300000000001</v>
      </c>
    </row>
    <row r="1460" spans="1:13">
      <c r="A1460" s="65" t="s">
        <v>3220</v>
      </c>
      <c r="B1460" s="66">
        <f t="shared" si="90"/>
        <v>40147</v>
      </c>
      <c r="C1460" s="67">
        <f t="shared" si="91"/>
        <v>2009</v>
      </c>
      <c r="D1460" s="68">
        <v>12.915699999999999</v>
      </c>
      <c r="E1460" s="68">
        <v>12.9139</v>
      </c>
      <c r="F1460" s="68">
        <v>12.9475</v>
      </c>
      <c r="H1460" s="69" t="s">
        <v>3221</v>
      </c>
      <c r="I1460" s="66">
        <f t="shared" si="93"/>
        <v>44895</v>
      </c>
      <c r="J1460" s="70">
        <f t="shared" si="92"/>
        <v>2022</v>
      </c>
      <c r="K1460" s="71">
        <v>19.3965</v>
      </c>
      <c r="L1460" s="71">
        <v>19.216000000000001</v>
      </c>
      <c r="M1460" s="71">
        <v>19.324999999999999</v>
      </c>
    </row>
    <row r="1461" spans="1:13">
      <c r="A1461" s="57" t="s">
        <v>3222</v>
      </c>
      <c r="B1461" s="58">
        <f t="shared" si="90"/>
        <v>40148</v>
      </c>
      <c r="C1461" s="59">
        <f t="shared" si="91"/>
        <v>2009</v>
      </c>
      <c r="D1461" s="61">
        <v>12.855700000000001</v>
      </c>
      <c r="E1461" s="61">
        <v>12.915699999999999</v>
      </c>
      <c r="F1461" s="61">
        <v>12.9139</v>
      </c>
      <c r="H1461" s="62" t="s">
        <v>3223</v>
      </c>
      <c r="I1461" s="58">
        <f t="shared" si="93"/>
        <v>44896</v>
      </c>
      <c r="J1461" s="60">
        <f t="shared" si="92"/>
        <v>2022</v>
      </c>
      <c r="K1461" s="64">
        <v>19.1433</v>
      </c>
      <c r="L1461" s="64">
        <v>19.3965</v>
      </c>
      <c r="M1461" s="64">
        <v>19.216000000000001</v>
      </c>
    </row>
    <row r="1462" spans="1:13">
      <c r="A1462" s="65" t="s">
        <v>3224</v>
      </c>
      <c r="B1462" s="66">
        <f t="shared" si="90"/>
        <v>40149</v>
      </c>
      <c r="C1462" s="67">
        <f t="shared" si="91"/>
        <v>2009</v>
      </c>
      <c r="D1462" s="68">
        <v>12.8026</v>
      </c>
      <c r="E1462" s="68">
        <v>12.855700000000001</v>
      </c>
      <c r="F1462" s="68">
        <v>12.915699999999999</v>
      </c>
      <c r="H1462" s="69" t="s">
        <v>3225</v>
      </c>
      <c r="I1462" s="66">
        <f t="shared" si="93"/>
        <v>44897</v>
      </c>
      <c r="J1462" s="70">
        <f t="shared" si="92"/>
        <v>2022</v>
      </c>
      <c r="K1462" s="71">
        <v>19.342199999999998</v>
      </c>
      <c r="L1462" s="71">
        <v>19.1433</v>
      </c>
      <c r="M1462" s="71">
        <v>19.3965</v>
      </c>
    </row>
    <row r="1463" spans="1:13">
      <c r="A1463" s="57" t="s">
        <v>3226</v>
      </c>
      <c r="B1463" s="58">
        <f t="shared" si="90"/>
        <v>40150</v>
      </c>
      <c r="C1463" s="59">
        <f t="shared" si="91"/>
        <v>2009</v>
      </c>
      <c r="D1463" s="61">
        <v>12.665800000000001</v>
      </c>
      <c r="E1463" s="61">
        <v>12.8026</v>
      </c>
      <c r="F1463" s="61">
        <v>12.855700000000001</v>
      </c>
      <c r="H1463" s="62" t="s">
        <v>3227</v>
      </c>
      <c r="I1463" s="58">
        <f t="shared" si="93"/>
        <v>44898</v>
      </c>
      <c r="J1463" s="60">
        <f t="shared" si="92"/>
        <v>2022</v>
      </c>
      <c r="K1463" s="63" t="s">
        <v>362</v>
      </c>
      <c r="L1463" s="63" t="s">
        <v>362</v>
      </c>
      <c r="M1463" s="64">
        <v>19.1433</v>
      </c>
    </row>
    <row r="1464" spans="1:13">
      <c r="A1464" s="65" t="s">
        <v>3228</v>
      </c>
      <c r="B1464" s="66">
        <f t="shared" si="90"/>
        <v>40151</v>
      </c>
      <c r="C1464" s="67">
        <f t="shared" si="91"/>
        <v>2009</v>
      </c>
      <c r="D1464" s="68">
        <v>12.5969</v>
      </c>
      <c r="E1464" s="68">
        <v>12.665800000000001</v>
      </c>
      <c r="F1464" s="68">
        <v>12.8026</v>
      </c>
      <c r="H1464" s="69" t="s">
        <v>3229</v>
      </c>
      <c r="I1464" s="66">
        <f t="shared" si="93"/>
        <v>44899</v>
      </c>
      <c r="J1464" s="70">
        <f t="shared" si="92"/>
        <v>2022</v>
      </c>
      <c r="K1464" s="72" t="s">
        <v>362</v>
      </c>
      <c r="L1464" s="72" t="s">
        <v>362</v>
      </c>
      <c r="M1464" s="71">
        <v>19.1433</v>
      </c>
    </row>
    <row r="1465" spans="1:13">
      <c r="A1465" s="57" t="s">
        <v>3230</v>
      </c>
      <c r="B1465" s="58">
        <f t="shared" si="90"/>
        <v>40152</v>
      </c>
      <c r="C1465" s="59">
        <f t="shared" si="91"/>
        <v>2009</v>
      </c>
      <c r="D1465" s="60" t="s">
        <v>362</v>
      </c>
      <c r="E1465" s="60" t="s">
        <v>362</v>
      </c>
      <c r="F1465" s="61">
        <v>12.665800000000001</v>
      </c>
      <c r="H1465" s="62" t="s">
        <v>3231</v>
      </c>
      <c r="I1465" s="58">
        <f t="shared" si="93"/>
        <v>44900</v>
      </c>
      <c r="J1465" s="60">
        <f t="shared" si="92"/>
        <v>2022</v>
      </c>
      <c r="K1465" s="64">
        <v>19.756699999999999</v>
      </c>
      <c r="L1465" s="64">
        <v>19.342199999999998</v>
      </c>
      <c r="M1465" s="64">
        <v>19.1433</v>
      </c>
    </row>
    <row r="1466" spans="1:13">
      <c r="A1466" s="65" t="s">
        <v>3232</v>
      </c>
      <c r="B1466" s="66">
        <f t="shared" si="90"/>
        <v>40153</v>
      </c>
      <c r="C1466" s="67">
        <f t="shared" si="91"/>
        <v>2009</v>
      </c>
      <c r="D1466" s="70" t="s">
        <v>362</v>
      </c>
      <c r="E1466" s="70" t="s">
        <v>362</v>
      </c>
      <c r="F1466" s="68">
        <v>12.665800000000001</v>
      </c>
      <c r="H1466" s="69" t="s">
        <v>3233</v>
      </c>
      <c r="I1466" s="66">
        <f t="shared" si="93"/>
        <v>44901</v>
      </c>
      <c r="J1466" s="70">
        <f t="shared" si="92"/>
        <v>2022</v>
      </c>
      <c r="K1466" s="71">
        <v>19.803000000000001</v>
      </c>
      <c r="L1466" s="71">
        <v>19.756699999999999</v>
      </c>
      <c r="M1466" s="71">
        <v>19.342199999999998</v>
      </c>
    </row>
    <row r="1467" spans="1:13">
      <c r="A1467" s="57" t="s">
        <v>3234</v>
      </c>
      <c r="B1467" s="58">
        <f t="shared" si="90"/>
        <v>40154</v>
      </c>
      <c r="C1467" s="59">
        <f t="shared" si="91"/>
        <v>2009</v>
      </c>
      <c r="D1467" s="61">
        <v>12.655799999999999</v>
      </c>
      <c r="E1467" s="61">
        <v>12.5969</v>
      </c>
      <c r="F1467" s="61">
        <v>12.665800000000001</v>
      </c>
      <c r="H1467" s="62" t="s">
        <v>3235</v>
      </c>
      <c r="I1467" s="58">
        <f t="shared" si="93"/>
        <v>44902</v>
      </c>
      <c r="J1467" s="60">
        <f t="shared" si="92"/>
        <v>2022</v>
      </c>
      <c r="K1467" s="64">
        <v>19.697700000000001</v>
      </c>
      <c r="L1467" s="64">
        <v>19.803000000000001</v>
      </c>
      <c r="M1467" s="64">
        <v>19.756699999999999</v>
      </c>
    </row>
    <row r="1468" spans="1:13">
      <c r="A1468" s="65" t="s">
        <v>3236</v>
      </c>
      <c r="B1468" s="66">
        <f t="shared" si="90"/>
        <v>40155</v>
      </c>
      <c r="C1468" s="67">
        <f t="shared" si="91"/>
        <v>2009</v>
      </c>
      <c r="D1468" s="68">
        <v>12.8399</v>
      </c>
      <c r="E1468" s="68">
        <v>12.655799999999999</v>
      </c>
      <c r="F1468" s="68">
        <v>12.5969</v>
      </c>
      <c r="H1468" s="69" t="s">
        <v>3237</v>
      </c>
      <c r="I1468" s="66">
        <f t="shared" si="93"/>
        <v>44903</v>
      </c>
      <c r="J1468" s="70">
        <f t="shared" si="92"/>
        <v>2022</v>
      </c>
      <c r="K1468" s="71">
        <v>19.673200000000001</v>
      </c>
      <c r="L1468" s="71">
        <v>19.697700000000001</v>
      </c>
      <c r="M1468" s="71">
        <v>19.803000000000001</v>
      </c>
    </row>
    <row r="1469" spans="1:13">
      <c r="A1469" s="57" t="s">
        <v>3238</v>
      </c>
      <c r="B1469" s="58">
        <f t="shared" si="90"/>
        <v>40156</v>
      </c>
      <c r="C1469" s="59">
        <f t="shared" si="91"/>
        <v>2009</v>
      </c>
      <c r="D1469" s="61">
        <v>12.9862</v>
      </c>
      <c r="E1469" s="61">
        <v>12.8399</v>
      </c>
      <c r="F1469" s="61">
        <v>12.655799999999999</v>
      </c>
      <c r="H1469" s="62" t="s">
        <v>3239</v>
      </c>
      <c r="I1469" s="58">
        <f t="shared" si="93"/>
        <v>44904</v>
      </c>
      <c r="J1469" s="60">
        <f t="shared" si="92"/>
        <v>2022</v>
      </c>
      <c r="K1469" s="64">
        <v>19.819199999999999</v>
      </c>
      <c r="L1469" s="64">
        <v>19.673200000000001</v>
      </c>
      <c r="M1469" s="64">
        <v>19.697700000000001</v>
      </c>
    </row>
    <row r="1470" spans="1:13">
      <c r="A1470" s="65" t="s">
        <v>3240</v>
      </c>
      <c r="B1470" s="66">
        <f t="shared" si="90"/>
        <v>40157</v>
      </c>
      <c r="C1470" s="67">
        <f t="shared" si="91"/>
        <v>2009</v>
      </c>
      <c r="D1470" s="68">
        <v>12.9739</v>
      </c>
      <c r="E1470" s="68">
        <v>12.9862</v>
      </c>
      <c r="F1470" s="68">
        <v>12.8399</v>
      </c>
      <c r="H1470" s="69" t="s">
        <v>3241</v>
      </c>
      <c r="I1470" s="66">
        <f t="shared" si="93"/>
        <v>44905</v>
      </c>
      <c r="J1470" s="70">
        <f t="shared" si="92"/>
        <v>2022</v>
      </c>
      <c r="K1470" s="72" t="s">
        <v>362</v>
      </c>
      <c r="L1470" s="72" t="s">
        <v>362</v>
      </c>
      <c r="M1470" s="71">
        <v>19.673200000000001</v>
      </c>
    </row>
    <row r="1471" spans="1:13">
      <c r="A1471" s="57" t="s">
        <v>3242</v>
      </c>
      <c r="B1471" s="58">
        <f t="shared" si="90"/>
        <v>40158</v>
      </c>
      <c r="C1471" s="59">
        <f t="shared" si="91"/>
        <v>2009</v>
      </c>
      <c r="D1471" s="61">
        <v>12.9253</v>
      </c>
      <c r="E1471" s="61">
        <v>12.9739</v>
      </c>
      <c r="F1471" s="61">
        <v>12.9862</v>
      </c>
      <c r="H1471" s="62" t="s">
        <v>3243</v>
      </c>
      <c r="I1471" s="58">
        <f t="shared" si="93"/>
        <v>44906</v>
      </c>
      <c r="J1471" s="60">
        <f t="shared" si="92"/>
        <v>2022</v>
      </c>
      <c r="K1471" s="63" t="s">
        <v>362</v>
      </c>
      <c r="L1471" s="63" t="s">
        <v>362</v>
      </c>
      <c r="M1471" s="64">
        <v>19.673200000000001</v>
      </c>
    </row>
    <row r="1472" spans="1:13">
      <c r="A1472" s="65" t="s">
        <v>3244</v>
      </c>
      <c r="B1472" s="66">
        <f t="shared" si="90"/>
        <v>40159</v>
      </c>
      <c r="C1472" s="67">
        <f t="shared" si="91"/>
        <v>2009</v>
      </c>
      <c r="D1472" s="70" t="s">
        <v>362</v>
      </c>
      <c r="E1472" s="70" t="s">
        <v>362</v>
      </c>
      <c r="F1472" s="68">
        <v>12.9739</v>
      </c>
      <c r="H1472" s="69" t="s">
        <v>3245</v>
      </c>
      <c r="I1472" s="66">
        <f t="shared" si="93"/>
        <v>44907</v>
      </c>
      <c r="J1472" s="70">
        <f t="shared" si="92"/>
        <v>2022</v>
      </c>
      <c r="K1472" s="72" t="s">
        <v>362</v>
      </c>
      <c r="L1472" s="72" t="s">
        <v>362</v>
      </c>
      <c r="M1472" s="71">
        <v>19.673200000000001</v>
      </c>
    </row>
    <row r="1473" spans="1:13">
      <c r="A1473" s="57" t="s">
        <v>3246</v>
      </c>
      <c r="B1473" s="58">
        <f t="shared" si="90"/>
        <v>40160</v>
      </c>
      <c r="C1473" s="59">
        <f t="shared" si="91"/>
        <v>2009</v>
      </c>
      <c r="D1473" s="60" t="s">
        <v>362</v>
      </c>
      <c r="E1473" s="60" t="s">
        <v>362</v>
      </c>
      <c r="F1473" s="61">
        <v>12.9739</v>
      </c>
      <c r="H1473" s="62" t="s">
        <v>3247</v>
      </c>
      <c r="I1473" s="58">
        <f t="shared" si="93"/>
        <v>44908</v>
      </c>
      <c r="J1473" s="60">
        <f t="shared" si="92"/>
        <v>2022</v>
      </c>
      <c r="K1473" s="64">
        <v>19.645800000000001</v>
      </c>
      <c r="L1473" s="64">
        <v>19.819199999999999</v>
      </c>
      <c r="M1473" s="64">
        <v>19.673200000000001</v>
      </c>
    </row>
    <row r="1474" spans="1:13">
      <c r="A1474" s="65" t="s">
        <v>3248</v>
      </c>
      <c r="B1474" s="66">
        <f t="shared" si="90"/>
        <v>40161</v>
      </c>
      <c r="C1474" s="67">
        <f t="shared" si="91"/>
        <v>2009</v>
      </c>
      <c r="D1474" s="68">
        <v>12.810499999999999</v>
      </c>
      <c r="E1474" s="68">
        <v>12.9253</v>
      </c>
      <c r="F1474" s="68">
        <v>12.9739</v>
      </c>
      <c r="H1474" s="69" t="s">
        <v>3249</v>
      </c>
      <c r="I1474" s="66">
        <f t="shared" si="93"/>
        <v>44909</v>
      </c>
      <c r="J1474" s="70">
        <f t="shared" si="92"/>
        <v>2022</v>
      </c>
      <c r="K1474" s="71">
        <v>19.695499999999999</v>
      </c>
      <c r="L1474" s="71">
        <v>19.645800000000001</v>
      </c>
      <c r="M1474" s="71">
        <v>19.819199999999999</v>
      </c>
    </row>
    <row r="1475" spans="1:13">
      <c r="A1475" s="57" t="s">
        <v>3250</v>
      </c>
      <c r="B1475" s="58">
        <f t="shared" si="90"/>
        <v>40162</v>
      </c>
      <c r="C1475" s="59">
        <f t="shared" si="91"/>
        <v>2009</v>
      </c>
      <c r="D1475" s="61">
        <v>12.7234</v>
      </c>
      <c r="E1475" s="61">
        <v>12.810499999999999</v>
      </c>
      <c r="F1475" s="61">
        <v>12.9253</v>
      </c>
      <c r="H1475" s="62" t="s">
        <v>3251</v>
      </c>
      <c r="I1475" s="58">
        <f t="shared" si="93"/>
        <v>44910</v>
      </c>
      <c r="J1475" s="60">
        <f t="shared" si="92"/>
        <v>2022</v>
      </c>
      <c r="K1475" s="64">
        <v>19.796299999999999</v>
      </c>
      <c r="L1475" s="64">
        <v>19.695499999999999</v>
      </c>
      <c r="M1475" s="64">
        <v>19.645800000000001</v>
      </c>
    </row>
    <row r="1476" spans="1:13">
      <c r="A1476" s="65" t="s">
        <v>3252</v>
      </c>
      <c r="B1476" s="66">
        <f t="shared" si="90"/>
        <v>40163</v>
      </c>
      <c r="C1476" s="67">
        <f t="shared" si="91"/>
        <v>2009</v>
      </c>
      <c r="D1476" s="68">
        <v>12.698</v>
      </c>
      <c r="E1476" s="68">
        <v>12.7234</v>
      </c>
      <c r="F1476" s="68">
        <v>12.810499999999999</v>
      </c>
      <c r="H1476" s="69" t="s">
        <v>3253</v>
      </c>
      <c r="I1476" s="66">
        <f t="shared" si="93"/>
        <v>44911</v>
      </c>
      <c r="J1476" s="70">
        <f t="shared" si="92"/>
        <v>2022</v>
      </c>
      <c r="K1476" s="71">
        <v>19.793199999999999</v>
      </c>
      <c r="L1476" s="71">
        <v>19.796299999999999</v>
      </c>
      <c r="M1476" s="71">
        <v>19.695499999999999</v>
      </c>
    </row>
    <row r="1477" spans="1:13">
      <c r="A1477" s="57" t="s">
        <v>3254</v>
      </c>
      <c r="B1477" s="58">
        <f t="shared" si="90"/>
        <v>40164</v>
      </c>
      <c r="C1477" s="59">
        <f t="shared" si="91"/>
        <v>2009</v>
      </c>
      <c r="D1477" s="61">
        <v>12.9331</v>
      </c>
      <c r="E1477" s="61">
        <v>12.698</v>
      </c>
      <c r="F1477" s="61">
        <v>12.7234</v>
      </c>
      <c r="H1477" s="62" t="s">
        <v>3255</v>
      </c>
      <c r="I1477" s="58">
        <f t="shared" si="93"/>
        <v>44912</v>
      </c>
      <c r="J1477" s="60">
        <f t="shared" si="92"/>
        <v>2022</v>
      </c>
      <c r="K1477" s="63" t="s">
        <v>362</v>
      </c>
      <c r="L1477" s="63" t="s">
        <v>362</v>
      </c>
      <c r="M1477" s="64">
        <v>19.796299999999999</v>
      </c>
    </row>
    <row r="1478" spans="1:13">
      <c r="A1478" s="65" t="s">
        <v>3256</v>
      </c>
      <c r="B1478" s="66">
        <f t="shared" si="90"/>
        <v>40165</v>
      </c>
      <c r="C1478" s="67">
        <f t="shared" si="91"/>
        <v>2009</v>
      </c>
      <c r="D1478" s="68">
        <v>12.8979</v>
      </c>
      <c r="E1478" s="68">
        <v>12.9331</v>
      </c>
      <c r="F1478" s="68">
        <v>12.698</v>
      </c>
      <c r="H1478" s="69" t="s">
        <v>3257</v>
      </c>
      <c r="I1478" s="66">
        <f t="shared" si="93"/>
        <v>44913</v>
      </c>
      <c r="J1478" s="70">
        <f t="shared" si="92"/>
        <v>2022</v>
      </c>
      <c r="K1478" s="72" t="s">
        <v>362</v>
      </c>
      <c r="L1478" s="72" t="s">
        <v>362</v>
      </c>
      <c r="M1478" s="71">
        <v>19.796299999999999</v>
      </c>
    </row>
    <row r="1479" spans="1:13">
      <c r="A1479" s="57" t="s">
        <v>3258</v>
      </c>
      <c r="B1479" s="58">
        <f t="shared" si="90"/>
        <v>40166</v>
      </c>
      <c r="C1479" s="59">
        <f t="shared" si="91"/>
        <v>2009</v>
      </c>
      <c r="D1479" s="60" t="s">
        <v>362</v>
      </c>
      <c r="E1479" s="60" t="s">
        <v>362</v>
      </c>
      <c r="F1479" s="61">
        <v>12.9331</v>
      </c>
      <c r="H1479" s="62" t="s">
        <v>3259</v>
      </c>
      <c r="I1479" s="58">
        <f t="shared" si="93"/>
        <v>44914</v>
      </c>
      <c r="J1479" s="60">
        <f t="shared" si="92"/>
        <v>2022</v>
      </c>
      <c r="K1479" s="64">
        <v>19.755700000000001</v>
      </c>
      <c r="L1479" s="64">
        <v>19.793199999999999</v>
      </c>
      <c r="M1479" s="64">
        <v>19.796299999999999</v>
      </c>
    </row>
    <row r="1480" spans="1:13">
      <c r="A1480" s="65" t="s">
        <v>3260</v>
      </c>
      <c r="B1480" s="66">
        <f t="shared" si="90"/>
        <v>40167</v>
      </c>
      <c r="C1480" s="67">
        <f t="shared" si="91"/>
        <v>2009</v>
      </c>
      <c r="D1480" s="70" t="s">
        <v>362</v>
      </c>
      <c r="E1480" s="70" t="s">
        <v>362</v>
      </c>
      <c r="F1480" s="68">
        <v>12.9331</v>
      </c>
      <c r="H1480" s="69" t="s">
        <v>3261</v>
      </c>
      <c r="I1480" s="66">
        <f t="shared" si="93"/>
        <v>44915</v>
      </c>
      <c r="J1480" s="70">
        <f t="shared" si="92"/>
        <v>2022</v>
      </c>
      <c r="K1480" s="71">
        <v>19.748200000000001</v>
      </c>
      <c r="L1480" s="71">
        <v>19.755700000000001</v>
      </c>
      <c r="M1480" s="71">
        <v>19.793199999999999</v>
      </c>
    </row>
    <row r="1481" spans="1:13">
      <c r="A1481" s="57" t="s">
        <v>3262</v>
      </c>
      <c r="B1481" s="58">
        <f t="shared" si="90"/>
        <v>40168</v>
      </c>
      <c r="C1481" s="59">
        <f t="shared" si="91"/>
        <v>2009</v>
      </c>
      <c r="D1481" s="61">
        <v>12.812099999999999</v>
      </c>
      <c r="E1481" s="61">
        <v>12.8979</v>
      </c>
      <c r="F1481" s="61">
        <v>12.9331</v>
      </c>
      <c r="H1481" s="62" t="s">
        <v>3263</v>
      </c>
      <c r="I1481" s="58">
        <f t="shared" si="93"/>
        <v>44916</v>
      </c>
      <c r="J1481" s="60">
        <f t="shared" si="92"/>
        <v>2022</v>
      </c>
      <c r="K1481" s="64">
        <v>19.693200000000001</v>
      </c>
      <c r="L1481" s="64">
        <v>19.748200000000001</v>
      </c>
      <c r="M1481" s="64">
        <v>19.755700000000001</v>
      </c>
    </row>
    <row r="1482" spans="1:13">
      <c r="A1482" s="65" t="s">
        <v>3264</v>
      </c>
      <c r="B1482" s="66">
        <f t="shared" si="90"/>
        <v>40169</v>
      </c>
      <c r="C1482" s="67">
        <f t="shared" si="91"/>
        <v>2009</v>
      </c>
      <c r="D1482" s="68">
        <v>12.944900000000001</v>
      </c>
      <c r="E1482" s="68">
        <v>12.812099999999999</v>
      </c>
      <c r="F1482" s="68">
        <v>12.8979</v>
      </c>
      <c r="H1482" s="69" t="s">
        <v>3265</v>
      </c>
      <c r="I1482" s="66">
        <f t="shared" si="93"/>
        <v>44917</v>
      </c>
      <c r="J1482" s="70">
        <f t="shared" si="92"/>
        <v>2022</v>
      </c>
      <c r="K1482" s="71">
        <v>19.574000000000002</v>
      </c>
      <c r="L1482" s="71">
        <v>19.693200000000001</v>
      </c>
      <c r="M1482" s="71">
        <v>19.748200000000001</v>
      </c>
    </row>
    <row r="1483" spans="1:13">
      <c r="A1483" s="57" t="s">
        <v>3266</v>
      </c>
      <c r="B1483" s="58">
        <f t="shared" si="90"/>
        <v>40170</v>
      </c>
      <c r="C1483" s="59">
        <f t="shared" si="91"/>
        <v>2009</v>
      </c>
      <c r="D1483" s="61">
        <v>12.8896</v>
      </c>
      <c r="E1483" s="61">
        <v>12.944900000000001</v>
      </c>
      <c r="F1483" s="61">
        <v>12.812099999999999</v>
      </c>
      <c r="H1483" s="62" t="s">
        <v>3267</v>
      </c>
      <c r="I1483" s="58">
        <f t="shared" si="93"/>
        <v>44918</v>
      </c>
      <c r="J1483" s="60">
        <f t="shared" si="92"/>
        <v>2022</v>
      </c>
      <c r="K1483" s="64">
        <v>19.428699999999999</v>
      </c>
      <c r="L1483" s="64">
        <v>19.574000000000002</v>
      </c>
      <c r="M1483" s="64">
        <v>19.693200000000001</v>
      </c>
    </row>
    <row r="1484" spans="1:13">
      <c r="A1484" s="65" t="s">
        <v>3268</v>
      </c>
      <c r="B1484" s="66">
        <f t="shared" si="90"/>
        <v>40171</v>
      </c>
      <c r="C1484" s="67">
        <f t="shared" si="91"/>
        <v>2009</v>
      </c>
      <c r="D1484" s="68">
        <v>12.879300000000001</v>
      </c>
      <c r="E1484" s="68">
        <v>12.8896</v>
      </c>
      <c r="F1484" s="68">
        <v>12.944900000000001</v>
      </c>
      <c r="H1484" s="69" t="s">
        <v>3269</v>
      </c>
      <c r="I1484" s="66">
        <f t="shared" si="93"/>
        <v>44919</v>
      </c>
      <c r="J1484" s="70">
        <f t="shared" si="92"/>
        <v>2022</v>
      </c>
      <c r="K1484" s="72" t="s">
        <v>362</v>
      </c>
      <c r="L1484" s="72" t="s">
        <v>362</v>
      </c>
      <c r="M1484" s="71">
        <v>19.574000000000002</v>
      </c>
    </row>
    <row r="1485" spans="1:13">
      <c r="A1485" s="57" t="s">
        <v>3270</v>
      </c>
      <c r="B1485" s="58">
        <f t="shared" si="90"/>
        <v>40172</v>
      </c>
      <c r="C1485" s="59">
        <f t="shared" si="91"/>
        <v>2009</v>
      </c>
      <c r="D1485" s="60" t="s">
        <v>362</v>
      </c>
      <c r="E1485" s="60" t="s">
        <v>362</v>
      </c>
      <c r="F1485" s="61">
        <v>12.8896</v>
      </c>
      <c r="H1485" s="62" t="s">
        <v>3271</v>
      </c>
      <c r="I1485" s="58">
        <f t="shared" si="93"/>
        <v>44920</v>
      </c>
      <c r="J1485" s="60">
        <f t="shared" si="92"/>
        <v>2022</v>
      </c>
      <c r="K1485" s="63" t="s">
        <v>362</v>
      </c>
      <c r="L1485" s="63" t="s">
        <v>362</v>
      </c>
      <c r="M1485" s="64">
        <v>19.574000000000002</v>
      </c>
    </row>
    <row r="1486" spans="1:13">
      <c r="A1486" s="65" t="s">
        <v>3272</v>
      </c>
      <c r="B1486" s="66">
        <f t="shared" si="90"/>
        <v>40173</v>
      </c>
      <c r="C1486" s="67">
        <f t="shared" si="91"/>
        <v>2009</v>
      </c>
      <c r="D1486" s="70" t="s">
        <v>362</v>
      </c>
      <c r="E1486" s="70" t="s">
        <v>362</v>
      </c>
      <c r="F1486" s="68">
        <v>12.8896</v>
      </c>
      <c r="H1486" s="69" t="s">
        <v>3273</v>
      </c>
      <c r="I1486" s="66">
        <f t="shared" si="93"/>
        <v>44921</v>
      </c>
      <c r="J1486" s="70">
        <f t="shared" si="92"/>
        <v>2022</v>
      </c>
      <c r="K1486" s="71">
        <v>19.398299999999999</v>
      </c>
      <c r="L1486" s="71">
        <v>19.428699999999999</v>
      </c>
      <c r="M1486" s="71">
        <v>19.574000000000002</v>
      </c>
    </row>
    <row r="1487" spans="1:13">
      <c r="A1487" s="57" t="s">
        <v>3274</v>
      </c>
      <c r="B1487" s="58">
        <f t="shared" si="90"/>
        <v>40174</v>
      </c>
      <c r="C1487" s="59">
        <f t="shared" si="91"/>
        <v>2009</v>
      </c>
      <c r="D1487" s="60" t="s">
        <v>362</v>
      </c>
      <c r="E1487" s="60" t="s">
        <v>362</v>
      </c>
      <c r="F1487" s="61">
        <v>12.8896</v>
      </c>
      <c r="H1487" s="62" t="s">
        <v>3275</v>
      </c>
      <c r="I1487" s="58">
        <f t="shared" si="93"/>
        <v>44922</v>
      </c>
      <c r="J1487" s="60">
        <f t="shared" si="92"/>
        <v>2022</v>
      </c>
      <c r="K1487" s="64">
        <v>19.4407</v>
      </c>
      <c r="L1487" s="64">
        <v>19.398299999999999</v>
      </c>
      <c r="M1487" s="64">
        <v>19.428699999999999</v>
      </c>
    </row>
    <row r="1488" spans="1:13">
      <c r="A1488" s="65" t="s">
        <v>3276</v>
      </c>
      <c r="B1488" s="66">
        <f t="shared" si="90"/>
        <v>40175</v>
      </c>
      <c r="C1488" s="67">
        <f t="shared" si="91"/>
        <v>2009</v>
      </c>
      <c r="D1488" s="68">
        <v>12.928800000000001</v>
      </c>
      <c r="E1488" s="68">
        <v>12.879300000000001</v>
      </c>
      <c r="F1488" s="68">
        <v>12.8896</v>
      </c>
      <c r="H1488" s="69" t="s">
        <v>3277</v>
      </c>
      <c r="I1488" s="66">
        <f t="shared" si="93"/>
        <v>44923</v>
      </c>
      <c r="J1488" s="70">
        <f t="shared" si="92"/>
        <v>2022</v>
      </c>
      <c r="K1488" s="71">
        <v>19.414300000000001</v>
      </c>
      <c r="L1488" s="71">
        <v>19.4407</v>
      </c>
      <c r="M1488" s="71">
        <v>19.398299999999999</v>
      </c>
    </row>
    <row r="1489" spans="1:13">
      <c r="A1489" s="57" t="s">
        <v>3278</v>
      </c>
      <c r="B1489" s="58">
        <f t="shared" si="90"/>
        <v>40176</v>
      </c>
      <c r="C1489" s="59">
        <f t="shared" si="91"/>
        <v>2009</v>
      </c>
      <c r="D1489" s="61">
        <v>13.0587</v>
      </c>
      <c r="E1489" s="61">
        <v>12.928800000000001</v>
      </c>
      <c r="F1489" s="61">
        <v>12.879300000000001</v>
      </c>
      <c r="H1489" s="62" t="s">
        <v>3279</v>
      </c>
      <c r="I1489" s="58">
        <f t="shared" si="93"/>
        <v>44924</v>
      </c>
      <c r="J1489" s="60">
        <f t="shared" si="92"/>
        <v>2022</v>
      </c>
      <c r="K1489" s="64">
        <v>19.361499999999999</v>
      </c>
      <c r="L1489" s="64">
        <v>19.414300000000001</v>
      </c>
      <c r="M1489" s="64">
        <v>19.4407</v>
      </c>
    </row>
    <row r="1490" spans="1:13">
      <c r="A1490" s="65" t="s">
        <v>3280</v>
      </c>
      <c r="B1490" s="66">
        <f t="shared" si="90"/>
        <v>40177</v>
      </c>
      <c r="C1490" s="67">
        <f t="shared" si="91"/>
        <v>2009</v>
      </c>
      <c r="D1490" s="68">
        <v>13.043699999999999</v>
      </c>
      <c r="E1490" s="68">
        <v>13.0587</v>
      </c>
      <c r="F1490" s="68">
        <v>12.928800000000001</v>
      </c>
      <c r="H1490" s="69" t="s">
        <v>3281</v>
      </c>
      <c r="I1490" s="66">
        <f t="shared" si="93"/>
        <v>44925</v>
      </c>
      <c r="J1490" s="70">
        <f t="shared" si="92"/>
        <v>2022</v>
      </c>
      <c r="K1490" s="71">
        <v>19.471499999999999</v>
      </c>
      <c r="L1490" s="71">
        <v>19.361499999999999</v>
      </c>
      <c r="M1490" s="71">
        <v>19.414300000000001</v>
      </c>
    </row>
    <row r="1491" spans="1:13">
      <c r="A1491" s="57" t="s">
        <v>3282</v>
      </c>
      <c r="B1491" s="58">
        <f t="shared" si="90"/>
        <v>40178</v>
      </c>
      <c r="C1491" s="59">
        <f t="shared" si="91"/>
        <v>2009</v>
      </c>
      <c r="D1491" s="61">
        <v>13.065899999999999</v>
      </c>
      <c r="E1491" s="61">
        <v>13.043699999999999</v>
      </c>
      <c r="F1491" s="61">
        <v>13.0587</v>
      </c>
      <c r="H1491" s="62" t="s">
        <v>3283</v>
      </c>
      <c r="I1491" s="58">
        <f t="shared" si="93"/>
        <v>44926</v>
      </c>
      <c r="J1491" s="60">
        <f t="shared" si="92"/>
        <v>2022</v>
      </c>
      <c r="K1491" s="63" t="s">
        <v>362</v>
      </c>
      <c r="L1491" s="63" t="s">
        <v>362</v>
      </c>
      <c r="M1491" s="64">
        <v>19.361499999999999</v>
      </c>
    </row>
    <row r="1492" spans="1:13">
      <c r="A1492" s="65" t="s">
        <v>3284</v>
      </c>
      <c r="B1492" s="66">
        <f t="shared" si="90"/>
        <v>40179</v>
      </c>
      <c r="C1492" s="67">
        <f t="shared" si="91"/>
        <v>2010</v>
      </c>
      <c r="D1492" s="70" t="s">
        <v>362</v>
      </c>
      <c r="E1492" s="70" t="s">
        <v>362</v>
      </c>
      <c r="F1492" s="68">
        <v>13.043699999999999</v>
      </c>
      <c r="H1492" s="69" t="s">
        <v>3285</v>
      </c>
      <c r="I1492" s="66">
        <f t="shared" si="93"/>
        <v>44927</v>
      </c>
      <c r="J1492" s="70">
        <f t="shared" si="92"/>
        <v>2023</v>
      </c>
      <c r="K1492" s="72" t="s">
        <v>362</v>
      </c>
      <c r="L1492" s="72" t="s">
        <v>362</v>
      </c>
      <c r="M1492" s="71">
        <v>19.361499999999999</v>
      </c>
    </row>
    <row r="1493" spans="1:13">
      <c r="A1493" s="57" t="s">
        <v>3286</v>
      </c>
      <c r="B1493" s="58">
        <f t="shared" si="90"/>
        <v>40180</v>
      </c>
      <c r="C1493" s="59">
        <f t="shared" si="91"/>
        <v>2010</v>
      </c>
      <c r="D1493" s="60" t="s">
        <v>362</v>
      </c>
      <c r="E1493" s="60" t="s">
        <v>362</v>
      </c>
      <c r="F1493" s="61">
        <v>13.043699999999999</v>
      </c>
      <c r="H1493" s="62" t="s">
        <v>3287</v>
      </c>
      <c r="I1493" s="58">
        <f t="shared" si="93"/>
        <v>44928</v>
      </c>
      <c r="J1493" s="60">
        <f t="shared" si="92"/>
        <v>2023</v>
      </c>
      <c r="K1493" s="64">
        <v>19.488299999999999</v>
      </c>
      <c r="L1493" s="64">
        <v>19.471499999999999</v>
      </c>
      <c r="M1493" s="64">
        <v>19.361499999999999</v>
      </c>
    </row>
    <row r="1494" spans="1:13">
      <c r="A1494" s="65" t="s">
        <v>3288</v>
      </c>
      <c r="B1494" s="66">
        <f t="shared" si="90"/>
        <v>40181</v>
      </c>
      <c r="C1494" s="67">
        <f t="shared" si="91"/>
        <v>2010</v>
      </c>
      <c r="D1494" s="70" t="s">
        <v>362</v>
      </c>
      <c r="E1494" s="70" t="s">
        <v>362</v>
      </c>
      <c r="F1494" s="68">
        <v>13.043699999999999</v>
      </c>
      <c r="H1494" s="69" t="s">
        <v>3289</v>
      </c>
      <c r="I1494" s="66">
        <f t="shared" si="93"/>
        <v>44929</v>
      </c>
      <c r="J1494" s="70">
        <f t="shared" si="92"/>
        <v>2023</v>
      </c>
      <c r="K1494" s="71">
        <v>19.422000000000001</v>
      </c>
      <c r="L1494" s="71">
        <v>19.488299999999999</v>
      </c>
      <c r="M1494" s="71">
        <v>19.471499999999999</v>
      </c>
    </row>
    <row r="1495" spans="1:13">
      <c r="A1495" s="57" t="s">
        <v>3290</v>
      </c>
      <c r="B1495" s="58">
        <f t="shared" si="90"/>
        <v>40182</v>
      </c>
      <c r="C1495" s="59">
        <f t="shared" si="91"/>
        <v>2010</v>
      </c>
      <c r="D1495" s="61">
        <v>12.922599999999999</v>
      </c>
      <c r="E1495" s="61">
        <v>13.065899999999999</v>
      </c>
      <c r="F1495" s="61">
        <v>13.043699999999999</v>
      </c>
      <c r="H1495" s="62" t="s">
        <v>3291</v>
      </c>
      <c r="I1495" s="58">
        <f t="shared" si="93"/>
        <v>44930</v>
      </c>
      <c r="J1495" s="60">
        <f t="shared" si="92"/>
        <v>2023</v>
      </c>
      <c r="K1495" s="64">
        <v>19.3568</v>
      </c>
      <c r="L1495" s="64">
        <v>19.422000000000001</v>
      </c>
      <c r="M1495" s="64">
        <v>19.488299999999999</v>
      </c>
    </row>
    <row r="1496" spans="1:13">
      <c r="A1496" s="65" t="s">
        <v>3292</v>
      </c>
      <c r="B1496" s="66">
        <f t="shared" si="90"/>
        <v>40183</v>
      </c>
      <c r="C1496" s="67">
        <f t="shared" si="91"/>
        <v>2010</v>
      </c>
      <c r="D1496" s="68">
        <v>12.8241</v>
      </c>
      <c r="E1496" s="68">
        <v>12.922599999999999</v>
      </c>
      <c r="F1496" s="68">
        <v>13.065899999999999</v>
      </c>
      <c r="H1496" s="69" t="s">
        <v>3293</v>
      </c>
      <c r="I1496" s="66">
        <f t="shared" si="93"/>
        <v>44931</v>
      </c>
      <c r="J1496" s="70">
        <f t="shared" si="92"/>
        <v>2023</v>
      </c>
      <c r="K1496" s="71">
        <v>19.3672</v>
      </c>
      <c r="L1496" s="71">
        <v>19.3568</v>
      </c>
      <c r="M1496" s="71">
        <v>19.422000000000001</v>
      </c>
    </row>
    <row r="1497" spans="1:13">
      <c r="A1497" s="57" t="s">
        <v>3294</v>
      </c>
      <c r="B1497" s="58">
        <f t="shared" si="90"/>
        <v>40184</v>
      </c>
      <c r="C1497" s="59">
        <f t="shared" si="91"/>
        <v>2010</v>
      </c>
      <c r="D1497" s="61">
        <v>12.748900000000001</v>
      </c>
      <c r="E1497" s="61">
        <v>12.8241</v>
      </c>
      <c r="F1497" s="61">
        <v>12.922599999999999</v>
      </c>
      <c r="H1497" s="62" t="s">
        <v>3295</v>
      </c>
      <c r="I1497" s="58">
        <f t="shared" si="93"/>
        <v>44932</v>
      </c>
      <c r="J1497" s="60">
        <f t="shared" si="92"/>
        <v>2023</v>
      </c>
      <c r="K1497" s="64">
        <v>19.1753</v>
      </c>
      <c r="L1497" s="64">
        <v>19.3672</v>
      </c>
      <c r="M1497" s="64">
        <v>19.3568</v>
      </c>
    </row>
    <row r="1498" spans="1:13">
      <c r="A1498" s="65" t="s">
        <v>3296</v>
      </c>
      <c r="B1498" s="66">
        <f t="shared" si="90"/>
        <v>40185</v>
      </c>
      <c r="C1498" s="67">
        <f t="shared" si="91"/>
        <v>2010</v>
      </c>
      <c r="D1498" s="68">
        <v>12.7646</v>
      </c>
      <c r="E1498" s="68">
        <v>12.748900000000001</v>
      </c>
      <c r="F1498" s="68">
        <v>12.8241</v>
      </c>
      <c r="H1498" s="69" t="s">
        <v>3297</v>
      </c>
      <c r="I1498" s="66">
        <f t="shared" si="93"/>
        <v>44933</v>
      </c>
      <c r="J1498" s="70">
        <f t="shared" si="92"/>
        <v>2023</v>
      </c>
      <c r="K1498" s="72" t="s">
        <v>362</v>
      </c>
      <c r="L1498" s="72" t="s">
        <v>362</v>
      </c>
      <c r="M1498" s="71">
        <v>19.3672</v>
      </c>
    </row>
    <row r="1499" spans="1:13">
      <c r="A1499" s="57" t="s">
        <v>3298</v>
      </c>
      <c r="B1499" s="58">
        <f t="shared" si="90"/>
        <v>40186</v>
      </c>
      <c r="C1499" s="59">
        <f t="shared" si="91"/>
        <v>2010</v>
      </c>
      <c r="D1499" s="61">
        <v>12.724299999999999</v>
      </c>
      <c r="E1499" s="61">
        <v>12.7646</v>
      </c>
      <c r="F1499" s="61">
        <v>12.748900000000001</v>
      </c>
      <c r="H1499" s="62" t="s">
        <v>3299</v>
      </c>
      <c r="I1499" s="58">
        <f t="shared" si="93"/>
        <v>44934</v>
      </c>
      <c r="J1499" s="60">
        <f t="shared" si="92"/>
        <v>2023</v>
      </c>
      <c r="K1499" s="63" t="s">
        <v>362</v>
      </c>
      <c r="L1499" s="63" t="s">
        <v>362</v>
      </c>
      <c r="M1499" s="64">
        <v>19.3672</v>
      </c>
    </row>
    <row r="1500" spans="1:13">
      <c r="A1500" s="65" t="s">
        <v>3300</v>
      </c>
      <c r="B1500" s="66">
        <f t="shared" si="90"/>
        <v>40187</v>
      </c>
      <c r="C1500" s="67">
        <f t="shared" si="91"/>
        <v>2010</v>
      </c>
      <c r="D1500" s="70" t="s">
        <v>362</v>
      </c>
      <c r="E1500" s="70" t="s">
        <v>362</v>
      </c>
      <c r="F1500" s="68">
        <v>12.7646</v>
      </c>
      <c r="H1500" s="69" t="s">
        <v>3301</v>
      </c>
      <c r="I1500" s="66">
        <f t="shared" si="93"/>
        <v>44935</v>
      </c>
      <c r="J1500" s="70">
        <f t="shared" si="92"/>
        <v>2023</v>
      </c>
      <c r="K1500" s="71">
        <v>19.1648</v>
      </c>
      <c r="L1500" s="71">
        <v>19.1753</v>
      </c>
      <c r="M1500" s="71">
        <v>19.3672</v>
      </c>
    </row>
    <row r="1501" spans="1:13">
      <c r="A1501" s="57" t="s">
        <v>3302</v>
      </c>
      <c r="B1501" s="58">
        <f t="shared" si="90"/>
        <v>40188</v>
      </c>
      <c r="C1501" s="59">
        <f t="shared" si="91"/>
        <v>2010</v>
      </c>
      <c r="D1501" s="60" t="s">
        <v>362</v>
      </c>
      <c r="E1501" s="60" t="s">
        <v>362</v>
      </c>
      <c r="F1501" s="61">
        <v>12.7646</v>
      </c>
      <c r="H1501" s="62" t="s">
        <v>3303</v>
      </c>
      <c r="I1501" s="58">
        <f t="shared" si="93"/>
        <v>44936</v>
      </c>
      <c r="J1501" s="60">
        <f t="shared" si="92"/>
        <v>2023</v>
      </c>
      <c r="K1501" s="64">
        <v>19.110800000000001</v>
      </c>
      <c r="L1501" s="64">
        <v>19.1648</v>
      </c>
      <c r="M1501" s="64">
        <v>19.1753</v>
      </c>
    </row>
    <row r="1502" spans="1:13">
      <c r="A1502" s="65" t="s">
        <v>3304</v>
      </c>
      <c r="B1502" s="66">
        <f t="shared" si="90"/>
        <v>40189</v>
      </c>
      <c r="C1502" s="67">
        <f t="shared" si="91"/>
        <v>2010</v>
      </c>
      <c r="D1502" s="68">
        <v>12.6692</v>
      </c>
      <c r="E1502" s="68">
        <v>12.724299999999999</v>
      </c>
      <c r="F1502" s="68">
        <v>12.7646</v>
      </c>
      <c r="H1502" s="69" t="s">
        <v>3305</v>
      </c>
      <c r="I1502" s="66">
        <f t="shared" si="93"/>
        <v>44937</v>
      </c>
      <c r="J1502" s="70">
        <f t="shared" si="92"/>
        <v>2023</v>
      </c>
      <c r="K1502" s="71">
        <v>19.026</v>
      </c>
      <c r="L1502" s="71">
        <v>19.110800000000001</v>
      </c>
      <c r="M1502" s="71">
        <v>19.1648</v>
      </c>
    </row>
    <row r="1503" spans="1:13">
      <c r="A1503" s="57" t="s">
        <v>3306</v>
      </c>
      <c r="B1503" s="58">
        <f t="shared" ref="B1503:B1566" si="94">DATE(RIGHT(A1503,4),LEFT(RIGHT(A1503,7),2),LEFT(A1503,2))</f>
        <v>40190</v>
      </c>
      <c r="C1503" s="59">
        <f t="shared" ref="C1503:C1566" si="95">YEAR(B1503)</f>
        <v>2010</v>
      </c>
      <c r="D1503" s="61">
        <v>12.729100000000001</v>
      </c>
      <c r="E1503" s="61">
        <v>12.6692</v>
      </c>
      <c r="F1503" s="61">
        <v>12.724299999999999</v>
      </c>
      <c r="H1503" s="62" t="s">
        <v>3307</v>
      </c>
      <c r="I1503" s="58">
        <f t="shared" si="93"/>
        <v>44938</v>
      </c>
      <c r="J1503" s="60">
        <f t="shared" ref="J1503:J1566" si="96">YEAR(I1503)</f>
        <v>2023</v>
      </c>
      <c r="K1503" s="64">
        <v>18.8735</v>
      </c>
      <c r="L1503" s="64">
        <v>19.026</v>
      </c>
      <c r="M1503" s="64">
        <v>19.110800000000001</v>
      </c>
    </row>
    <row r="1504" spans="1:13">
      <c r="A1504" s="65" t="s">
        <v>3308</v>
      </c>
      <c r="B1504" s="66">
        <f t="shared" si="94"/>
        <v>40191</v>
      </c>
      <c r="C1504" s="67">
        <f t="shared" si="95"/>
        <v>2010</v>
      </c>
      <c r="D1504" s="68">
        <v>12.7698</v>
      </c>
      <c r="E1504" s="68">
        <v>12.729100000000001</v>
      </c>
      <c r="F1504" s="68">
        <v>12.6692</v>
      </c>
      <c r="H1504" s="69" t="s">
        <v>3309</v>
      </c>
      <c r="I1504" s="66">
        <f t="shared" ref="I1504:I1567" si="97">DATE(RIGHT(H1504,4),LEFT(RIGHT(A1504,7),2),LEFT(A1504,2))</f>
        <v>44939</v>
      </c>
      <c r="J1504" s="70">
        <f t="shared" si="96"/>
        <v>2023</v>
      </c>
      <c r="K1504" s="71">
        <v>18.792200000000001</v>
      </c>
      <c r="L1504" s="71">
        <v>18.8735</v>
      </c>
      <c r="M1504" s="71">
        <v>19.026</v>
      </c>
    </row>
    <row r="1505" spans="1:13">
      <c r="A1505" s="57" t="s">
        <v>3310</v>
      </c>
      <c r="B1505" s="58">
        <f t="shared" si="94"/>
        <v>40192</v>
      </c>
      <c r="C1505" s="59">
        <f t="shared" si="95"/>
        <v>2010</v>
      </c>
      <c r="D1505" s="61">
        <v>12.7364</v>
      </c>
      <c r="E1505" s="61">
        <v>12.7698</v>
      </c>
      <c r="F1505" s="61">
        <v>12.729100000000001</v>
      </c>
      <c r="H1505" s="62" t="s">
        <v>3311</v>
      </c>
      <c r="I1505" s="58">
        <f t="shared" si="97"/>
        <v>44940</v>
      </c>
      <c r="J1505" s="60">
        <f t="shared" si="96"/>
        <v>2023</v>
      </c>
      <c r="K1505" s="63" t="s">
        <v>362</v>
      </c>
      <c r="L1505" s="63" t="s">
        <v>362</v>
      </c>
      <c r="M1505" s="64">
        <v>18.8735</v>
      </c>
    </row>
    <row r="1506" spans="1:13">
      <c r="A1506" s="65" t="s">
        <v>3312</v>
      </c>
      <c r="B1506" s="66">
        <f t="shared" si="94"/>
        <v>40193</v>
      </c>
      <c r="C1506" s="67">
        <f t="shared" si="95"/>
        <v>2010</v>
      </c>
      <c r="D1506" s="68">
        <v>12.6884</v>
      </c>
      <c r="E1506" s="68">
        <v>12.7364</v>
      </c>
      <c r="F1506" s="68">
        <v>12.7698</v>
      </c>
      <c r="H1506" s="69" t="s">
        <v>3313</v>
      </c>
      <c r="I1506" s="66">
        <f t="shared" si="97"/>
        <v>44941</v>
      </c>
      <c r="J1506" s="70">
        <f t="shared" si="96"/>
        <v>2023</v>
      </c>
      <c r="K1506" s="72" t="s">
        <v>362</v>
      </c>
      <c r="L1506" s="72" t="s">
        <v>362</v>
      </c>
      <c r="M1506" s="71">
        <v>18.8735</v>
      </c>
    </row>
    <row r="1507" spans="1:13">
      <c r="A1507" s="57" t="s">
        <v>3314</v>
      </c>
      <c r="B1507" s="58">
        <f t="shared" si="94"/>
        <v>40194</v>
      </c>
      <c r="C1507" s="59">
        <f t="shared" si="95"/>
        <v>2010</v>
      </c>
      <c r="D1507" s="60" t="s">
        <v>362</v>
      </c>
      <c r="E1507" s="60" t="s">
        <v>362</v>
      </c>
      <c r="F1507" s="61">
        <v>12.7364</v>
      </c>
      <c r="H1507" s="62" t="s">
        <v>3315</v>
      </c>
      <c r="I1507" s="58">
        <f t="shared" si="97"/>
        <v>44942</v>
      </c>
      <c r="J1507" s="60">
        <f t="shared" si="96"/>
        <v>2023</v>
      </c>
      <c r="K1507" s="64">
        <v>18.7913</v>
      </c>
      <c r="L1507" s="64">
        <v>18.792200000000001</v>
      </c>
      <c r="M1507" s="64">
        <v>18.8735</v>
      </c>
    </row>
    <row r="1508" spans="1:13">
      <c r="A1508" s="65" t="s">
        <v>3316</v>
      </c>
      <c r="B1508" s="66">
        <f t="shared" si="94"/>
        <v>40195</v>
      </c>
      <c r="C1508" s="67">
        <f t="shared" si="95"/>
        <v>2010</v>
      </c>
      <c r="D1508" s="70" t="s">
        <v>362</v>
      </c>
      <c r="E1508" s="70" t="s">
        <v>362</v>
      </c>
      <c r="F1508" s="68">
        <v>12.7364</v>
      </c>
      <c r="H1508" s="69" t="s">
        <v>3317</v>
      </c>
      <c r="I1508" s="66">
        <f t="shared" si="97"/>
        <v>44943</v>
      </c>
      <c r="J1508" s="70">
        <f t="shared" si="96"/>
        <v>2023</v>
      </c>
      <c r="K1508" s="71">
        <v>18.749300000000002</v>
      </c>
      <c r="L1508" s="71">
        <v>18.7913</v>
      </c>
      <c r="M1508" s="71">
        <v>18.792200000000001</v>
      </c>
    </row>
    <row r="1509" spans="1:13">
      <c r="A1509" s="57" t="s">
        <v>3318</v>
      </c>
      <c r="B1509" s="58">
        <f t="shared" si="94"/>
        <v>40196</v>
      </c>
      <c r="C1509" s="59">
        <f t="shared" si="95"/>
        <v>2010</v>
      </c>
      <c r="D1509" s="61">
        <v>12.666399999999999</v>
      </c>
      <c r="E1509" s="61">
        <v>12.6884</v>
      </c>
      <c r="F1509" s="61">
        <v>12.7364</v>
      </c>
      <c r="H1509" s="62" t="s">
        <v>3319</v>
      </c>
      <c r="I1509" s="58">
        <f t="shared" si="97"/>
        <v>44944</v>
      </c>
      <c r="J1509" s="60">
        <f t="shared" si="96"/>
        <v>2023</v>
      </c>
      <c r="K1509" s="64">
        <v>18.749300000000002</v>
      </c>
      <c r="L1509" s="64">
        <v>18.749300000000002</v>
      </c>
      <c r="M1509" s="64">
        <v>18.7913</v>
      </c>
    </row>
    <row r="1510" spans="1:13">
      <c r="A1510" s="65" t="s">
        <v>3320</v>
      </c>
      <c r="B1510" s="66">
        <f t="shared" si="94"/>
        <v>40197</v>
      </c>
      <c r="C1510" s="67">
        <f t="shared" si="95"/>
        <v>2010</v>
      </c>
      <c r="D1510" s="68">
        <v>12.6478</v>
      </c>
      <c r="E1510" s="68">
        <v>12.666399999999999</v>
      </c>
      <c r="F1510" s="68">
        <v>12.6884</v>
      </c>
      <c r="H1510" s="69" t="s">
        <v>3321</v>
      </c>
      <c r="I1510" s="66">
        <f t="shared" si="97"/>
        <v>44945</v>
      </c>
      <c r="J1510" s="70">
        <f t="shared" si="96"/>
        <v>2023</v>
      </c>
      <c r="K1510" s="71">
        <v>19.032699999999998</v>
      </c>
      <c r="L1510" s="71">
        <v>18.749300000000002</v>
      </c>
      <c r="M1510" s="71">
        <v>18.749300000000002</v>
      </c>
    </row>
    <row r="1511" spans="1:13">
      <c r="A1511" s="57" t="s">
        <v>3322</v>
      </c>
      <c r="B1511" s="58">
        <f t="shared" si="94"/>
        <v>40198</v>
      </c>
      <c r="C1511" s="59">
        <f t="shared" si="95"/>
        <v>2010</v>
      </c>
      <c r="D1511" s="61">
        <v>12.738799999999999</v>
      </c>
      <c r="E1511" s="61">
        <v>12.6478</v>
      </c>
      <c r="F1511" s="61">
        <v>12.666399999999999</v>
      </c>
      <c r="H1511" s="62" t="s">
        <v>3323</v>
      </c>
      <c r="I1511" s="58">
        <f t="shared" si="97"/>
        <v>44946</v>
      </c>
      <c r="J1511" s="60">
        <f t="shared" si="96"/>
        <v>2023</v>
      </c>
      <c r="K1511" s="64">
        <v>18.925699999999999</v>
      </c>
      <c r="L1511" s="64">
        <v>19.032699999999998</v>
      </c>
      <c r="M1511" s="64">
        <v>18.749300000000002</v>
      </c>
    </row>
    <row r="1512" spans="1:13">
      <c r="A1512" s="65" t="s">
        <v>3324</v>
      </c>
      <c r="B1512" s="66">
        <f t="shared" si="94"/>
        <v>40199</v>
      </c>
      <c r="C1512" s="67">
        <f t="shared" si="95"/>
        <v>2010</v>
      </c>
      <c r="D1512" s="68">
        <v>12.772</v>
      </c>
      <c r="E1512" s="68">
        <v>12.738799999999999</v>
      </c>
      <c r="F1512" s="68">
        <v>12.6478</v>
      </c>
      <c r="H1512" s="69" t="s">
        <v>3325</v>
      </c>
      <c r="I1512" s="66">
        <f t="shared" si="97"/>
        <v>44947</v>
      </c>
      <c r="J1512" s="70">
        <f t="shared" si="96"/>
        <v>2023</v>
      </c>
      <c r="K1512" s="72" t="s">
        <v>362</v>
      </c>
      <c r="L1512" s="72" t="s">
        <v>362</v>
      </c>
      <c r="M1512" s="71">
        <v>19.032699999999998</v>
      </c>
    </row>
    <row r="1513" spans="1:13">
      <c r="A1513" s="57" t="s">
        <v>3326</v>
      </c>
      <c r="B1513" s="58">
        <f t="shared" si="94"/>
        <v>40200</v>
      </c>
      <c r="C1513" s="59">
        <f t="shared" si="95"/>
        <v>2010</v>
      </c>
      <c r="D1513" s="61">
        <v>12.9412</v>
      </c>
      <c r="E1513" s="61">
        <v>12.772</v>
      </c>
      <c r="F1513" s="61">
        <v>12.738799999999999</v>
      </c>
      <c r="H1513" s="62" t="s">
        <v>3327</v>
      </c>
      <c r="I1513" s="58">
        <f t="shared" si="97"/>
        <v>44948</v>
      </c>
      <c r="J1513" s="60">
        <f t="shared" si="96"/>
        <v>2023</v>
      </c>
      <c r="K1513" s="63" t="s">
        <v>362</v>
      </c>
      <c r="L1513" s="63" t="s">
        <v>362</v>
      </c>
      <c r="M1513" s="64">
        <v>19.032699999999998</v>
      </c>
    </row>
    <row r="1514" spans="1:13">
      <c r="A1514" s="65" t="s">
        <v>3328</v>
      </c>
      <c r="B1514" s="66">
        <f t="shared" si="94"/>
        <v>40201</v>
      </c>
      <c r="C1514" s="67">
        <f t="shared" si="95"/>
        <v>2010</v>
      </c>
      <c r="D1514" s="70" t="s">
        <v>362</v>
      </c>
      <c r="E1514" s="70" t="s">
        <v>362</v>
      </c>
      <c r="F1514" s="68">
        <v>12.772</v>
      </c>
      <c r="H1514" s="69" t="s">
        <v>3329</v>
      </c>
      <c r="I1514" s="66">
        <f t="shared" si="97"/>
        <v>44949</v>
      </c>
      <c r="J1514" s="70">
        <f t="shared" si="96"/>
        <v>2023</v>
      </c>
      <c r="K1514" s="71">
        <v>18.826699999999999</v>
      </c>
      <c r="L1514" s="71">
        <v>18.925699999999999</v>
      </c>
      <c r="M1514" s="71">
        <v>19.032699999999998</v>
      </c>
    </row>
    <row r="1515" spans="1:13">
      <c r="A1515" s="57" t="s">
        <v>3330</v>
      </c>
      <c r="B1515" s="58">
        <f t="shared" si="94"/>
        <v>40202</v>
      </c>
      <c r="C1515" s="59">
        <f t="shared" si="95"/>
        <v>2010</v>
      </c>
      <c r="D1515" s="60" t="s">
        <v>362</v>
      </c>
      <c r="E1515" s="60" t="s">
        <v>362</v>
      </c>
      <c r="F1515" s="61">
        <v>12.772</v>
      </c>
      <c r="H1515" s="62" t="s">
        <v>3331</v>
      </c>
      <c r="I1515" s="58">
        <f t="shared" si="97"/>
        <v>44950</v>
      </c>
      <c r="J1515" s="60">
        <f t="shared" si="96"/>
        <v>2023</v>
      </c>
      <c r="K1515" s="64">
        <v>18.831800000000001</v>
      </c>
      <c r="L1515" s="64">
        <v>18.826699999999999</v>
      </c>
      <c r="M1515" s="64">
        <v>18.925699999999999</v>
      </c>
    </row>
    <row r="1516" spans="1:13">
      <c r="A1516" s="65" t="s">
        <v>3332</v>
      </c>
      <c r="B1516" s="66">
        <f t="shared" si="94"/>
        <v>40203</v>
      </c>
      <c r="C1516" s="67">
        <f t="shared" si="95"/>
        <v>2010</v>
      </c>
      <c r="D1516" s="68">
        <v>12.9018</v>
      </c>
      <c r="E1516" s="68">
        <v>12.9412</v>
      </c>
      <c r="F1516" s="68">
        <v>12.772</v>
      </c>
      <c r="H1516" s="69" t="s">
        <v>3333</v>
      </c>
      <c r="I1516" s="66">
        <f t="shared" si="97"/>
        <v>44951</v>
      </c>
      <c r="J1516" s="70">
        <f t="shared" si="96"/>
        <v>2023</v>
      </c>
      <c r="K1516" s="71">
        <v>18.82</v>
      </c>
      <c r="L1516" s="71">
        <v>18.831800000000001</v>
      </c>
      <c r="M1516" s="71">
        <v>18.826699999999999</v>
      </c>
    </row>
    <row r="1517" spans="1:13">
      <c r="A1517" s="57" t="s">
        <v>3334</v>
      </c>
      <c r="B1517" s="58">
        <f t="shared" si="94"/>
        <v>40204</v>
      </c>
      <c r="C1517" s="59">
        <f t="shared" si="95"/>
        <v>2010</v>
      </c>
      <c r="D1517" s="61">
        <v>12.854900000000001</v>
      </c>
      <c r="E1517" s="61">
        <v>12.9018</v>
      </c>
      <c r="F1517" s="61">
        <v>12.9412</v>
      </c>
      <c r="H1517" s="62" t="s">
        <v>3335</v>
      </c>
      <c r="I1517" s="58">
        <f t="shared" si="97"/>
        <v>44952</v>
      </c>
      <c r="J1517" s="60">
        <f t="shared" si="96"/>
        <v>2023</v>
      </c>
      <c r="K1517" s="64">
        <v>18.8355</v>
      </c>
      <c r="L1517" s="64">
        <v>18.82</v>
      </c>
      <c r="M1517" s="64">
        <v>18.831800000000001</v>
      </c>
    </row>
    <row r="1518" spans="1:13">
      <c r="A1518" s="65" t="s">
        <v>3336</v>
      </c>
      <c r="B1518" s="66">
        <f t="shared" si="94"/>
        <v>40205</v>
      </c>
      <c r="C1518" s="67">
        <f t="shared" si="95"/>
        <v>2010</v>
      </c>
      <c r="D1518" s="68">
        <v>12.929500000000001</v>
      </c>
      <c r="E1518" s="68">
        <v>12.854900000000001</v>
      </c>
      <c r="F1518" s="68">
        <v>12.9018</v>
      </c>
      <c r="H1518" s="69" t="s">
        <v>3337</v>
      </c>
      <c r="I1518" s="66">
        <f t="shared" si="97"/>
        <v>44953</v>
      </c>
      <c r="J1518" s="70">
        <f t="shared" si="96"/>
        <v>2023</v>
      </c>
      <c r="K1518" s="71">
        <v>18.787199999999999</v>
      </c>
      <c r="L1518" s="71">
        <v>18.8355</v>
      </c>
      <c r="M1518" s="71">
        <v>18.82</v>
      </c>
    </row>
    <row r="1519" spans="1:13">
      <c r="A1519" s="57" t="s">
        <v>3338</v>
      </c>
      <c r="B1519" s="58">
        <f t="shared" si="94"/>
        <v>40206</v>
      </c>
      <c r="C1519" s="59">
        <f t="shared" si="95"/>
        <v>2010</v>
      </c>
      <c r="D1519" s="61">
        <v>12.9975</v>
      </c>
      <c r="E1519" s="61">
        <v>12.929500000000001</v>
      </c>
      <c r="F1519" s="61">
        <v>12.854900000000001</v>
      </c>
      <c r="H1519" s="62" t="s">
        <v>3339</v>
      </c>
      <c r="I1519" s="58">
        <f t="shared" si="97"/>
        <v>44954</v>
      </c>
      <c r="J1519" s="60">
        <f t="shared" si="96"/>
        <v>2023</v>
      </c>
      <c r="K1519" s="63" t="s">
        <v>362</v>
      </c>
      <c r="L1519" s="63" t="s">
        <v>362</v>
      </c>
      <c r="M1519" s="64">
        <v>18.8355</v>
      </c>
    </row>
    <row r="1520" spans="1:13">
      <c r="A1520" s="65" t="s">
        <v>3340</v>
      </c>
      <c r="B1520" s="66">
        <f t="shared" si="94"/>
        <v>40207</v>
      </c>
      <c r="C1520" s="67">
        <f t="shared" si="95"/>
        <v>2010</v>
      </c>
      <c r="D1520" s="68">
        <v>13.0098</v>
      </c>
      <c r="E1520" s="68">
        <v>12.9975</v>
      </c>
      <c r="F1520" s="68">
        <v>12.929500000000001</v>
      </c>
      <c r="H1520" s="69" t="s">
        <v>3341</v>
      </c>
      <c r="I1520" s="66">
        <f t="shared" si="97"/>
        <v>44955</v>
      </c>
      <c r="J1520" s="70">
        <f t="shared" si="96"/>
        <v>2023</v>
      </c>
      <c r="K1520" s="72" t="s">
        <v>362</v>
      </c>
      <c r="L1520" s="72" t="s">
        <v>362</v>
      </c>
      <c r="M1520" s="71">
        <v>18.8355</v>
      </c>
    </row>
    <row r="1521" spans="1:13">
      <c r="A1521" s="57" t="s">
        <v>3342</v>
      </c>
      <c r="B1521" s="58">
        <f t="shared" si="94"/>
        <v>40208</v>
      </c>
      <c r="C1521" s="59">
        <f t="shared" si="95"/>
        <v>2010</v>
      </c>
      <c r="D1521" s="60" t="s">
        <v>362</v>
      </c>
      <c r="E1521" s="60" t="s">
        <v>362</v>
      </c>
      <c r="F1521" s="61">
        <v>12.9975</v>
      </c>
      <c r="H1521" s="62" t="s">
        <v>3343</v>
      </c>
      <c r="I1521" s="58">
        <f t="shared" si="97"/>
        <v>44956</v>
      </c>
      <c r="J1521" s="60">
        <f t="shared" si="96"/>
        <v>2023</v>
      </c>
      <c r="K1521" s="64">
        <v>18.779299999999999</v>
      </c>
      <c r="L1521" s="64">
        <v>18.787199999999999</v>
      </c>
      <c r="M1521" s="64">
        <v>18.8355</v>
      </c>
    </row>
    <row r="1522" spans="1:13">
      <c r="A1522" s="65" t="s">
        <v>3344</v>
      </c>
      <c r="B1522" s="66">
        <f t="shared" si="94"/>
        <v>40209</v>
      </c>
      <c r="C1522" s="67">
        <f t="shared" si="95"/>
        <v>2010</v>
      </c>
      <c r="D1522" s="70" t="s">
        <v>362</v>
      </c>
      <c r="E1522" s="70" t="s">
        <v>362</v>
      </c>
      <c r="F1522" s="68">
        <v>12.9975</v>
      </c>
      <c r="H1522" s="69" t="s">
        <v>3345</v>
      </c>
      <c r="I1522" s="66">
        <f t="shared" si="97"/>
        <v>44957</v>
      </c>
      <c r="J1522" s="70">
        <f t="shared" si="96"/>
        <v>2023</v>
      </c>
      <c r="K1522" s="71">
        <v>18.793700000000001</v>
      </c>
      <c r="L1522" s="71">
        <v>18.779299999999999</v>
      </c>
      <c r="M1522" s="71">
        <v>18.787199999999999</v>
      </c>
    </row>
    <row r="1523" spans="1:13">
      <c r="A1523" s="57" t="s">
        <v>3346</v>
      </c>
      <c r="B1523" s="58">
        <f t="shared" si="94"/>
        <v>40210</v>
      </c>
      <c r="C1523" s="59">
        <f t="shared" si="95"/>
        <v>2010</v>
      </c>
      <c r="D1523" s="60" t="s">
        <v>362</v>
      </c>
      <c r="E1523" s="60" t="s">
        <v>362</v>
      </c>
      <c r="F1523" s="61">
        <v>12.9975</v>
      </c>
      <c r="H1523" s="62" t="s">
        <v>3347</v>
      </c>
      <c r="I1523" s="58">
        <f t="shared" si="97"/>
        <v>44958</v>
      </c>
      <c r="J1523" s="60">
        <f t="shared" si="96"/>
        <v>2023</v>
      </c>
      <c r="K1523" s="64">
        <v>18.739000000000001</v>
      </c>
      <c r="L1523" s="64">
        <v>18.793700000000001</v>
      </c>
      <c r="M1523" s="64">
        <v>18.779299999999999</v>
      </c>
    </row>
    <row r="1524" spans="1:13">
      <c r="A1524" s="65" t="s">
        <v>3348</v>
      </c>
      <c r="B1524" s="66">
        <f t="shared" si="94"/>
        <v>40211</v>
      </c>
      <c r="C1524" s="67">
        <f t="shared" si="95"/>
        <v>2010</v>
      </c>
      <c r="D1524" s="68">
        <v>12.869899999999999</v>
      </c>
      <c r="E1524" s="68">
        <v>13.0098</v>
      </c>
      <c r="F1524" s="68">
        <v>12.9975</v>
      </c>
      <c r="H1524" s="69" t="s">
        <v>3349</v>
      </c>
      <c r="I1524" s="66">
        <f t="shared" si="97"/>
        <v>44959</v>
      </c>
      <c r="J1524" s="70">
        <f t="shared" si="96"/>
        <v>2023</v>
      </c>
      <c r="K1524" s="71">
        <v>18.623200000000001</v>
      </c>
      <c r="L1524" s="71">
        <v>18.739000000000001</v>
      </c>
      <c r="M1524" s="71">
        <v>18.793700000000001</v>
      </c>
    </row>
    <row r="1525" spans="1:13">
      <c r="A1525" s="57" t="s">
        <v>3350</v>
      </c>
      <c r="B1525" s="58">
        <f t="shared" si="94"/>
        <v>40212</v>
      </c>
      <c r="C1525" s="59">
        <f t="shared" si="95"/>
        <v>2010</v>
      </c>
      <c r="D1525" s="61">
        <v>12.939500000000001</v>
      </c>
      <c r="E1525" s="61">
        <v>12.869899999999999</v>
      </c>
      <c r="F1525" s="61">
        <v>13.0098</v>
      </c>
      <c r="H1525" s="62" t="s">
        <v>3351</v>
      </c>
      <c r="I1525" s="58">
        <f t="shared" si="97"/>
        <v>44960</v>
      </c>
      <c r="J1525" s="60">
        <f t="shared" si="96"/>
        <v>2023</v>
      </c>
      <c r="K1525" s="64">
        <v>18.889500000000002</v>
      </c>
      <c r="L1525" s="64">
        <v>18.623200000000001</v>
      </c>
      <c r="M1525" s="64">
        <v>18.739000000000001</v>
      </c>
    </row>
    <row r="1526" spans="1:13">
      <c r="A1526" s="65" t="s">
        <v>3352</v>
      </c>
      <c r="B1526" s="66">
        <f t="shared" si="94"/>
        <v>40213</v>
      </c>
      <c r="C1526" s="67">
        <f t="shared" si="95"/>
        <v>2010</v>
      </c>
      <c r="D1526" s="68">
        <v>13.0687</v>
      </c>
      <c r="E1526" s="68">
        <v>12.939500000000001</v>
      </c>
      <c r="F1526" s="68">
        <v>12.869899999999999</v>
      </c>
      <c r="H1526" s="69" t="s">
        <v>3353</v>
      </c>
      <c r="I1526" s="66">
        <f t="shared" si="97"/>
        <v>44961</v>
      </c>
      <c r="J1526" s="70">
        <f t="shared" si="96"/>
        <v>2023</v>
      </c>
      <c r="K1526" s="72" t="s">
        <v>362</v>
      </c>
      <c r="L1526" s="72" t="s">
        <v>362</v>
      </c>
      <c r="M1526" s="71">
        <v>18.623200000000001</v>
      </c>
    </row>
    <row r="1527" spans="1:13">
      <c r="A1527" s="57" t="s">
        <v>3354</v>
      </c>
      <c r="B1527" s="58">
        <f t="shared" si="94"/>
        <v>40214</v>
      </c>
      <c r="C1527" s="59">
        <f t="shared" si="95"/>
        <v>2010</v>
      </c>
      <c r="D1527" s="61">
        <v>13.1753</v>
      </c>
      <c r="E1527" s="61">
        <v>13.0687</v>
      </c>
      <c r="F1527" s="61">
        <v>12.939500000000001</v>
      </c>
      <c r="H1527" s="62" t="s">
        <v>3355</v>
      </c>
      <c r="I1527" s="58">
        <f t="shared" si="97"/>
        <v>44962</v>
      </c>
      <c r="J1527" s="60">
        <f t="shared" si="96"/>
        <v>2023</v>
      </c>
      <c r="K1527" s="63" t="s">
        <v>362</v>
      </c>
      <c r="L1527" s="63" t="s">
        <v>362</v>
      </c>
      <c r="M1527" s="64">
        <v>18.623200000000001</v>
      </c>
    </row>
    <row r="1528" spans="1:13">
      <c r="A1528" s="65" t="s">
        <v>3356</v>
      </c>
      <c r="B1528" s="66">
        <f t="shared" si="94"/>
        <v>40215</v>
      </c>
      <c r="C1528" s="67">
        <f t="shared" si="95"/>
        <v>2010</v>
      </c>
      <c r="D1528" s="70" t="s">
        <v>362</v>
      </c>
      <c r="E1528" s="70" t="s">
        <v>362</v>
      </c>
      <c r="F1528" s="68">
        <v>13.0687</v>
      </c>
      <c r="H1528" s="69" t="s">
        <v>3357</v>
      </c>
      <c r="I1528" s="66">
        <f t="shared" si="97"/>
        <v>44963</v>
      </c>
      <c r="J1528" s="70">
        <f t="shared" si="96"/>
        <v>2023</v>
      </c>
      <c r="K1528" s="72" t="s">
        <v>362</v>
      </c>
      <c r="L1528" s="72" t="s">
        <v>362</v>
      </c>
      <c r="M1528" s="71">
        <v>18.623200000000001</v>
      </c>
    </row>
    <row r="1529" spans="1:13">
      <c r="A1529" s="57" t="s">
        <v>3358</v>
      </c>
      <c r="B1529" s="58">
        <f t="shared" si="94"/>
        <v>40216</v>
      </c>
      <c r="C1529" s="59">
        <f t="shared" si="95"/>
        <v>2010</v>
      </c>
      <c r="D1529" s="60" t="s">
        <v>362</v>
      </c>
      <c r="E1529" s="60" t="s">
        <v>362</v>
      </c>
      <c r="F1529" s="61">
        <v>13.0687</v>
      </c>
      <c r="H1529" s="62" t="s">
        <v>3359</v>
      </c>
      <c r="I1529" s="58">
        <f t="shared" si="97"/>
        <v>44964</v>
      </c>
      <c r="J1529" s="60">
        <f t="shared" si="96"/>
        <v>2023</v>
      </c>
      <c r="K1529" s="64">
        <v>19.0517</v>
      </c>
      <c r="L1529" s="64">
        <v>18.889500000000002</v>
      </c>
      <c r="M1529" s="64">
        <v>18.623200000000001</v>
      </c>
    </row>
    <row r="1530" spans="1:13">
      <c r="A1530" s="65" t="s">
        <v>3360</v>
      </c>
      <c r="B1530" s="66">
        <f t="shared" si="94"/>
        <v>40217</v>
      </c>
      <c r="C1530" s="67">
        <f t="shared" si="95"/>
        <v>2010</v>
      </c>
      <c r="D1530" s="68">
        <v>13.164</v>
      </c>
      <c r="E1530" s="68">
        <v>13.1753</v>
      </c>
      <c r="F1530" s="68">
        <v>13.0687</v>
      </c>
      <c r="H1530" s="69" t="s">
        <v>3361</v>
      </c>
      <c r="I1530" s="66">
        <f t="shared" si="97"/>
        <v>44965</v>
      </c>
      <c r="J1530" s="70">
        <f t="shared" si="96"/>
        <v>2023</v>
      </c>
      <c r="K1530" s="71">
        <v>18.9435</v>
      </c>
      <c r="L1530" s="71">
        <v>19.0517</v>
      </c>
      <c r="M1530" s="71">
        <v>18.889500000000002</v>
      </c>
    </row>
    <row r="1531" spans="1:13">
      <c r="A1531" s="57" t="s">
        <v>3362</v>
      </c>
      <c r="B1531" s="58">
        <f t="shared" si="94"/>
        <v>40218</v>
      </c>
      <c r="C1531" s="59">
        <f t="shared" si="95"/>
        <v>2010</v>
      </c>
      <c r="D1531" s="61">
        <v>13.083600000000001</v>
      </c>
      <c r="E1531" s="61">
        <v>13.164</v>
      </c>
      <c r="F1531" s="61">
        <v>13.1753</v>
      </c>
      <c r="H1531" s="62" t="s">
        <v>3363</v>
      </c>
      <c r="I1531" s="58">
        <f t="shared" si="97"/>
        <v>44966</v>
      </c>
      <c r="J1531" s="60">
        <f t="shared" si="96"/>
        <v>2023</v>
      </c>
      <c r="K1531" s="64">
        <v>18.9543</v>
      </c>
      <c r="L1531" s="64">
        <v>18.9435</v>
      </c>
      <c r="M1531" s="64">
        <v>19.0517</v>
      </c>
    </row>
    <row r="1532" spans="1:13">
      <c r="A1532" s="65" t="s">
        <v>3364</v>
      </c>
      <c r="B1532" s="66">
        <f t="shared" si="94"/>
        <v>40219</v>
      </c>
      <c r="C1532" s="67">
        <f t="shared" si="95"/>
        <v>2010</v>
      </c>
      <c r="D1532" s="68">
        <v>13.0601</v>
      </c>
      <c r="E1532" s="68">
        <v>13.083600000000001</v>
      </c>
      <c r="F1532" s="68">
        <v>13.164</v>
      </c>
      <c r="H1532" s="69" t="s">
        <v>3365</v>
      </c>
      <c r="I1532" s="66">
        <f t="shared" si="97"/>
        <v>44967</v>
      </c>
      <c r="J1532" s="70">
        <f t="shared" si="96"/>
        <v>2023</v>
      </c>
      <c r="K1532" s="71">
        <v>18.689299999999999</v>
      </c>
      <c r="L1532" s="71">
        <v>18.9543</v>
      </c>
      <c r="M1532" s="71">
        <v>18.9435</v>
      </c>
    </row>
    <row r="1533" spans="1:13">
      <c r="A1533" s="57" t="s">
        <v>3366</v>
      </c>
      <c r="B1533" s="58">
        <f t="shared" si="94"/>
        <v>40220</v>
      </c>
      <c r="C1533" s="59">
        <f t="shared" si="95"/>
        <v>2010</v>
      </c>
      <c r="D1533" s="61">
        <v>13.0609</v>
      </c>
      <c r="E1533" s="61">
        <v>13.0601</v>
      </c>
      <c r="F1533" s="61">
        <v>13.083600000000001</v>
      </c>
      <c r="H1533" s="62" t="s">
        <v>3367</v>
      </c>
      <c r="I1533" s="58">
        <f t="shared" si="97"/>
        <v>44968</v>
      </c>
      <c r="J1533" s="60">
        <f t="shared" si="96"/>
        <v>2023</v>
      </c>
      <c r="K1533" s="63" t="s">
        <v>362</v>
      </c>
      <c r="L1533" s="63" t="s">
        <v>362</v>
      </c>
      <c r="M1533" s="64">
        <v>18.9543</v>
      </c>
    </row>
    <row r="1534" spans="1:13">
      <c r="A1534" s="65" t="s">
        <v>3368</v>
      </c>
      <c r="B1534" s="66">
        <f t="shared" si="94"/>
        <v>40221</v>
      </c>
      <c r="C1534" s="67">
        <f t="shared" si="95"/>
        <v>2010</v>
      </c>
      <c r="D1534" s="68">
        <v>12.9764</v>
      </c>
      <c r="E1534" s="68">
        <v>13.0609</v>
      </c>
      <c r="F1534" s="68">
        <v>13.0601</v>
      </c>
      <c r="H1534" s="69" t="s">
        <v>3369</v>
      </c>
      <c r="I1534" s="66">
        <f t="shared" si="97"/>
        <v>44969</v>
      </c>
      <c r="J1534" s="70">
        <f t="shared" si="96"/>
        <v>2023</v>
      </c>
      <c r="K1534" s="72" t="s">
        <v>362</v>
      </c>
      <c r="L1534" s="72" t="s">
        <v>362</v>
      </c>
      <c r="M1534" s="71">
        <v>18.9543</v>
      </c>
    </row>
    <row r="1535" spans="1:13">
      <c r="A1535" s="57" t="s">
        <v>3370</v>
      </c>
      <c r="B1535" s="58">
        <f t="shared" si="94"/>
        <v>40222</v>
      </c>
      <c r="C1535" s="59">
        <f t="shared" si="95"/>
        <v>2010</v>
      </c>
      <c r="D1535" s="60" t="s">
        <v>362</v>
      </c>
      <c r="E1535" s="60" t="s">
        <v>362</v>
      </c>
      <c r="F1535" s="61">
        <v>13.0609</v>
      </c>
      <c r="H1535" s="62" t="s">
        <v>3371</v>
      </c>
      <c r="I1535" s="58">
        <f t="shared" si="97"/>
        <v>44970</v>
      </c>
      <c r="J1535" s="60">
        <f t="shared" si="96"/>
        <v>2023</v>
      </c>
      <c r="K1535" s="64">
        <v>18.6327</v>
      </c>
      <c r="L1535" s="64">
        <v>18.689299999999999</v>
      </c>
      <c r="M1535" s="64">
        <v>18.9543</v>
      </c>
    </row>
    <row r="1536" spans="1:13">
      <c r="A1536" s="65" t="s">
        <v>3372</v>
      </c>
      <c r="B1536" s="66">
        <f t="shared" si="94"/>
        <v>40223</v>
      </c>
      <c r="C1536" s="67">
        <f t="shared" si="95"/>
        <v>2010</v>
      </c>
      <c r="D1536" s="70" t="s">
        <v>362</v>
      </c>
      <c r="E1536" s="70" t="s">
        <v>362</v>
      </c>
      <c r="F1536" s="68">
        <v>13.0609</v>
      </c>
      <c r="H1536" s="69" t="s">
        <v>3373</v>
      </c>
      <c r="I1536" s="66">
        <f t="shared" si="97"/>
        <v>44971</v>
      </c>
      <c r="J1536" s="70">
        <f t="shared" si="96"/>
        <v>2023</v>
      </c>
      <c r="K1536" s="71">
        <v>18.5383</v>
      </c>
      <c r="L1536" s="71">
        <v>18.6327</v>
      </c>
      <c r="M1536" s="71">
        <v>18.689299999999999</v>
      </c>
    </row>
    <row r="1537" spans="1:13">
      <c r="A1537" s="57" t="s">
        <v>3374</v>
      </c>
      <c r="B1537" s="58">
        <f t="shared" si="94"/>
        <v>40224</v>
      </c>
      <c r="C1537" s="59">
        <f t="shared" si="95"/>
        <v>2010</v>
      </c>
      <c r="D1537" s="61">
        <v>12.942</v>
      </c>
      <c r="E1537" s="61">
        <v>12.9764</v>
      </c>
      <c r="F1537" s="61">
        <v>13.0609</v>
      </c>
      <c r="H1537" s="62" t="s">
        <v>3375</v>
      </c>
      <c r="I1537" s="58">
        <f t="shared" si="97"/>
        <v>44972</v>
      </c>
      <c r="J1537" s="60">
        <f t="shared" si="96"/>
        <v>2023</v>
      </c>
      <c r="K1537" s="64">
        <v>18.642800000000001</v>
      </c>
      <c r="L1537" s="64">
        <v>18.5383</v>
      </c>
      <c r="M1537" s="64">
        <v>18.6327</v>
      </c>
    </row>
    <row r="1538" spans="1:13">
      <c r="A1538" s="65" t="s">
        <v>3376</v>
      </c>
      <c r="B1538" s="66">
        <f t="shared" si="94"/>
        <v>40225</v>
      </c>
      <c r="C1538" s="67">
        <f t="shared" si="95"/>
        <v>2010</v>
      </c>
      <c r="D1538" s="68">
        <v>12.8683</v>
      </c>
      <c r="E1538" s="68">
        <v>12.942</v>
      </c>
      <c r="F1538" s="68">
        <v>12.9764</v>
      </c>
      <c r="H1538" s="69" t="s">
        <v>3377</v>
      </c>
      <c r="I1538" s="66">
        <f t="shared" si="97"/>
        <v>44973</v>
      </c>
      <c r="J1538" s="70">
        <f t="shared" si="96"/>
        <v>2023</v>
      </c>
      <c r="K1538" s="71">
        <v>18.549700000000001</v>
      </c>
      <c r="L1538" s="71">
        <v>18.642800000000001</v>
      </c>
      <c r="M1538" s="71">
        <v>18.5383</v>
      </c>
    </row>
    <row r="1539" spans="1:13">
      <c r="A1539" s="57" t="s">
        <v>3378</v>
      </c>
      <c r="B1539" s="58">
        <f t="shared" si="94"/>
        <v>40226</v>
      </c>
      <c r="C1539" s="59">
        <f t="shared" si="95"/>
        <v>2010</v>
      </c>
      <c r="D1539" s="61">
        <v>12.8781</v>
      </c>
      <c r="E1539" s="61">
        <v>12.8683</v>
      </c>
      <c r="F1539" s="61">
        <v>12.942</v>
      </c>
      <c r="H1539" s="62" t="s">
        <v>3379</v>
      </c>
      <c r="I1539" s="58">
        <f t="shared" si="97"/>
        <v>44974</v>
      </c>
      <c r="J1539" s="60">
        <f t="shared" si="96"/>
        <v>2023</v>
      </c>
      <c r="K1539" s="64">
        <v>18.414200000000001</v>
      </c>
      <c r="L1539" s="64">
        <v>18.549700000000001</v>
      </c>
      <c r="M1539" s="64">
        <v>18.642800000000001</v>
      </c>
    </row>
    <row r="1540" spans="1:13">
      <c r="A1540" s="65" t="s">
        <v>3380</v>
      </c>
      <c r="B1540" s="66">
        <f t="shared" si="94"/>
        <v>40227</v>
      </c>
      <c r="C1540" s="67">
        <f t="shared" si="95"/>
        <v>2010</v>
      </c>
      <c r="D1540" s="68">
        <v>12.844200000000001</v>
      </c>
      <c r="E1540" s="68">
        <v>12.8781</v>
      </c>
      <c r="F1540" s="68">
        <v>12.8683</v>
      </c>
      <c r="H1540" s="69" t="s">
        <v>3381</v>
      </c>
      <c r="I1540" s="66">
        <f t="shared" si="97"/>
        <v>44975</v>
      </c>
      <c r="J1540" s="70">
        <f t="shared" si="96"/>
        <v>2023</v>
      </c>
      <c r="K1540" s="72" t="s">
        <v>362</v>
      </c>
      <c r="L1540" s="72" t="s">
        <v>362</v>
      </c>
      <c r="M1540" s="71">
        <v>18.549700000000001</v>
      </c>
    </row>
    <row r="1541" spans="1:13">
      <c r="A1541" s="57" t="s">
        <v>3382</v>
      </c>
      <c r="B1541" s="58">
        <f t="shared" si="94"/>
        <v>40228</v>
      </c>
      <c r="C1541" s="59">
        <f t="shared" si="95"/>
        <v>2010</v>
      </c>
      <c r="D1541" s="61">
        <v>12.8337</v>
      </c>
      <c r="E1541" s="61">
        <v>12.844200000000001</v>
      </c>
      <c r="F1541" s="61">
        <v>12.8781</v>
      </c>
      <c r="H1541" s="62" t="s">
        <v>3383</v>
      </c>
      <c r="I1541" s="58">
        <f t="shared" si="97"/>
        <v>44976</v>
      </c>
      <c r="J1541" s="60">
        <f t="shared" si="96"/>
        <v>2023</v>
      </c>
      <c r="K1541" s="63" t="s">
        <v>362</v>
      </c>
      <c r="L1541" s="63" t="s">
        <v>362</v>
      </c>
      <c r="M1541" s="64">
        <v>18.549700000000001</v>
      </c>
    </row>
    <row r="1542" spans="1:13">
      <c r="A1542" s="65" t="s">
        <v>3384</v>
      </c>
      <c r="B1542" s="66">
        <f t="shared" si="94"/>
        <v>40229</v>
      </c>
      <c r="C1542" s="67">
        <f t="shared" si="95"/>
        <v>2010</v>
      </c>
      <c r="D1542" s="70" t="s">
        <v>362</v>
      </c>
      <c r="E1542" s="70" t="s">
        <v>362</v>
      </c>
      <c r="F1542" s="68">
        <v>12.844200000000001</v>
      </c>
      <c r="H1542" s="69" t="s">
        <v>3385</v>
      </c>
      <c r="I1542" s="66">
        <f t="shared" si="97"/>
        <v>44977</v>
      </c>
      <c r="J1542" s="70">
        <f t="shared" si="96"/>
        <v>2023</v>
      </c>
      <c r="K1542" s="71">
        <v>18.396999999999998</v>
      </c>
      <c r="L1542" s="71">
        <v>18.414200000000001</v>
      </c>
      <c r="M1542" s="71">
        <v>18.549700000000001</v>
      </c>
    </row>
    <row r="1543" spans="1:13">
      <c r="A1543" s="57" t="s">
        <v>3386</v>
      </c>
      <c r="B1543" s="58">
        <f t="shared" si="94"/>
        <v>40230</v>
      </c>
      <c r="C1543" s="59">
        <f t="shared" si="95"/>
        <v>2010</v>
      </c>
      <c r="D1543" s="60" t="s">
        <v>362</v>
      </c>
      <c r="E1543" s="60" t="s">
        <v>362</v>
      </c>
      <c r="F1543" s="61">
        <v>12.844200000000001</v>
      </c>
      <c r="H1543" s="62" t="s">
        <v>3387</v>
      </c>
      <c r="I1543" s="58">
        <f t="shared" si="97"/>
        <v>44978</v>
      </c>
      <c r="J1543" s="60">
        <f t="shared" si="96"/>
        <v>2023</v>
      </c>
      <c r="K1543" s="64">
        <v>18.393799999999999</v>
      </c>
      <c r="L1543" s="64">
        <v>18.396999999999998</v>
      </c>
      <c r="M1543" s="64">
        <v>18.414200000000001</v>
      </c>
    </row>
    <row r="1544" spans="1:13">
      <c r="A1544" s="65" t="s">
        <v>3388</v>
      </c>
      <c r="B1544" s="66">
        <f t="shared" si="94"/>
        <v>40231</v>
      </c>
      <c r="C1544" s="67">
        <f t="shared" si="95"/>
        <v>2010</v>
      </c>
      <c r="D1544" s="68">
        <v>12.8017</v>
      </c>
      <c r="E1544" s="68">
        <v>12.8337</v>
      </c>
      <c r="F1544" s="68">
        <v>12.844200000000001</v>
      </c>
      <c r="H1544" s="69" t="s">
        <v>3389</v>
      </c>
      <c r="I1544" s="66">
        <f t="shared" si="97"/>
        <v>44979</v>
      </c>
      <c r="J1544" s="70">
        <f t="shared" si="96"/>
        <v>2023</v>
      </c>
      <c r="K1544" s="71">
        <v>18.348299999999998</v>
      </c>
      <c r="L1544" s="71">
        <v>18.393799999999999</v>
      </c>
      <c r="M1544" s="71">
        <v>18.396999999999998</v>
      </c>
    </row>
    <row r="1545" spans="1:13">
      <c r="A1545" s="57" t="s">
        <v>3390</v>
      </c>
      <c r="B1545" s="58">
        <f t="shared" si="94"/>
        <v>40232</v>
      </c>
      <c r="C1545" s="59">
        <f t="shared" si="95"/>
        <v>2010</v>
      </c>
      <c r="D1545" s="61">
        <v>12.8584</v>
      </c>
      <c r="E1545" s="61">
        <v>12.8017</v>
      </c>
      <c r="F1545" s="61">
        <v>12.8337</v>
      </c>
      <c r="H1545" s="62" t="s">
        <v>3391</v>
      </c>
      <c r="I1545" s="58">
        <f t="shared" si="97"/>
        <v>44980</v>
      </c>
      <c r="J1545" s="60">
        <f t="shared" si="96"/>
        <v>2023</v>
      </c>
      <c r="K1545" s="64">
        <v>18.410699999999999</v>
      </c>
      <c r="L1545" s="64">
        <v>18.348299999999998</v>
      </c>
      <c r="M1545" s="64">
        <v>18.393799999999999</v>
      </c>
    </row>
    <row r="1546" spans="1:13">
      <c r="A1546" s="65" t="s">
        <v>3392</v>
      </c>
      <c r="B1546" s="66">
        <f t="shared" si="94"/>
        <v>40233</v>
      </c>
      <c r="C1546" s="67">
        <f t="shared" si="95"/>
        <v>2010</v>
      </c>
      <c r="D1546" s="68">
        <v>12.853899999999999</v>
      </c>
      <c r="E1546" s="68">
        <v>12.8584</v>
      </c>
      <c r="F1546" s="68">
        <v>12.8017</v>
      </c>
      <c r="H1546" s="69" t="s">
        <v>3393</v>
      </c>
      <c r="I1546" s="66">
        <f t="shared" si="97"/>
        <v>44981</v>
      </c>
      <c r="J1546" s="70">
        <f t="shared" si="96"/>
        <v>2023</v>
      </c>
      <c r="K1546" s="71">
        <v>18.4023</v>
      </c>
      <c r="L1546" s="71">
        <v>18.410699999999999</v>
      </c>
      <c r="M1546" s="71">
        <v>18.348299999999998</v>
      </c>
    </row>
    <row r="1547" spans="1:13">
      <c r="A1547" s="57" t="s">
        <v>3394</v>
      </c>
      <c r="B1547" s="58">
        <f t="shared" si="94"/>
        <v>40234</v>
      </c>
      <c r="C1547" s="59">
        <f t="shared" si="95"/>
        <v>2010</v>
      </c>
      <c r="D1547" s="61">
        <v>12.850300000000001</v>
      </c>
      <c r="E1547" s="61">
        <v>12.853899999999999</v>
      </c>
      <c r="F1547" s="61">
        <v>12.8584</v>
      </c>
      <c r="H1547" s="62" t="s">
        <v>3395</v>
      </c>
      <c r="I1547" s="58">
        <f t="shared" si="97"/>
        <v>44982</v>
      </c>
      <c r="J1547" s="60">
        <f t="shared" si="96"/>
        <v>2023</v>
      </c>
      <c r="K1547" s="63" t="s">
        <v>362</v>
      </c>
      <c r="L1547" s="63" t="s">
        <v>362</v>
      </c>
      <c r="M1547" s="64">
        <v>18.410699999999999</v>
      </c>
    </row>
    <row r="1548" spans="1:13">
      <c r="A1548" s="65" t="s">
        <v>3396</v>
      </c>
      <c r="B1548" s="66">
        <f t="shared" si="94"/>
        <v>40235</v>
      </c>
      <c r="C1548" s="67">
        <f t="shared" si="95"/>
        <v>2010</v>
      </c>
      <c r="D1548" s="68">
        <v>12.776899999999999</v>
      </c>
      <c r="E1548" s="68">
        <v>12.850300000000001</v>
      </c>
      <c r="F1548" s="68">
        <v>12.853899999999999</v>
      </c>
      <c r="H1548" s="69" t="s">
        <v>3397</v>
      </c>
      <c r="I1548" s="66">
        <f t="shared" si="97"/>
        <v>44983</v>
      </c>
      <c r="J1548" s="70">
        <f t="shared" si="96"/>
        <v>2023</v>
      </c>
      <c r="K1548" s="72" t="s">
        <v>362</v>
      </c>
      <c r="L1548" s="72" t="s">
        <v>362</v>
      </c>
      <c r="M1548" s="71">
        <v>18.410699999999999</v>
      </c>
    </row>
    <row r="1549" spans="1:13">
      <c r="A1549" s="57" t="s">
        <v>3398</v>
      </c>
      <c r="B1549" s="58">
        <f t="shared" si="94"/>
        <v>40236</v>
      </c>
      <c r="C1549" s="59">
        <f t="shared" si="95"/>
        <v>2010</v>
      </c>
      <c r="D1549" s="60" t="s">
        <v>362</v>
      </c>
      <c r="E1549" s="60" t="s">
        <v>362</v>
      </c>
      <c r="F1549" s="61">
        <v>12.850300000000001</v>
      </c>
      <c r="H1549" s="62" t="s">
        <v>3399</v>
      </c>
      <c r="I1549" s="58">
        <f t="shared" si="97"/>
        <v>44984</v>
      </c>
      <c r="J1549" s="60">
        <f t="shared" si="96"/>
        <v>2023</v>
      </c>
      <c r="K1549" s="64">
        <v>18.407699999999998</v>
      </c>
      <c r="L1549" s="64">
        <v>18.4023</v>
      </c>
      <c r="M1549" s="64">
        <v>18.410699999999999</v>
      </c>
    </row>
    <row r="1550" spans="1:13">
      <c r="A1550" s="65" t="s">
        <v>3400</v>
      </c>
      <c r="B1550" s="66">
        <f t="shared" si="94"/>
        <v>40237</v>
      </c>
      <c r="C1550" s="67">
        <f t="shared" si="95"/>
        <v>2010</v>
      </c>
      <c r="D1550" s="70" t="s">
        <v>362</v>
      </c>
      <c r="E1550" s="70" t="s">
        <v>362</v>
      </c>
      <c r="F1550" s="68">
        <v>12.850300000000001</v>
      </c>
      <c r="H1550" s="69" t="s">
        <v>3401</v>
      </c>
      <c r="I1550" s="66">
        <f t="shared" si="97"/>
        <v>44985</v>
      </c>
      <c r="J1550" s="70">
        <f t="shared" si="96"/>
        <v>2023</v>
      </c>
      <c r="K1550" s="71">
        <v>18.344799999999999</v>
      </c>
      <c r="L1550" s="71">
        <v>18.407699999999998</v>
      </c>
      <c r="M1550" s="71">
        <v>18.4023</v>
      </c>
    </row>
    <row r="1551" spans="1:13">
      <c r="A1551" s="57" t="s">
        <v>3402</v>
      </c>
      <c r="B1551" s="58">
        <f t="shared" si="94"/>
        <v>40238</v>
      </c>
      <c r="C1551" s="59">
        <f t="shared" si="95"/>
        <v>2010</v>
      </c>
      <c r="D1551" s="61">
        <v>12.7454</v>
      </c>
      <c r="E1551" s="61">
        <v>12.776899999999999</v>
      </c>
      <c r="F1551" s="61">
        <v>12.850300000000001</v>
      </c>
      <c r="H1551" s="62" t="s">
        <v>3403</v>
      </c>
      <c r="I1551" s="58">
        <f t="shared" si="97"/>
        <v>44986</v>
      </c>
      <c r="J1551" s="60">
        <f t="shared" si="96"/>
        <v>2023</v>
      </c>
      <c r="K1551" s="64">
        <v>18.170000000000002</v>
      </c>
      <c r="L1551" s="64">
        <v>18.344799999999999</v>
      </c>
      <c r="M1551" s="64">
        <v>18.407699999999998</v>
      </c>
    </row>
    <row r="1552" spans="1:13">
      <c r="A1552" s="65" t="s">
        <v>3404</v>
      </c>
      <c r="B1552" s="66">
        <f t="shared" si="94"/>
        <v>40239</v>
      </c>
      <c r="C1552" s="67">
        <f t="shared" si="95"/>
        <v>2010</v>
      </c>
      <c r="D1552" s="68">
        <v>12.725899999999999</v>
      </c>
      <c r="E1552" s="68">
        <v>12.7454</v>
      </c>
      <c r="F1552" s="68">
        <v>12.776899999999999</v>
      </c>
      <c r="H1552" s="69" t="s">
        <v>3405</v>
      </c>
      <c r="I1552" s="66">
        <f t="shared" si="97"/>
        <v>44987</v>
      </c>
      <c r="J1552" s="70">
        <f t="shared" si="96"/>
        <v>2023</v>
      </c>
      <c r="K1552" s="71">
        <v>18.126000000000001</v>
      </c>
      <c r="L1552" s="71">
        <v>18.170000000000002</v>
      </c>
      <c r="M1552" s="71">
        <v>18.344799999999999</v>
      </c>
    </row>
    <row r="1553" spans="1:13">
      <c r="A1553" s="57" t="s">
        <v>3406</v>
      </c>
      <c r="B1553" s="58">
        <f t="shared" si="94"/>
        <v>40240</v>
      </c>
      <c r="C1553" s="59">
        <f t="shared" si="95"/>
        <v>2010</v>
      </c>
      <c r="D1553" s="61">
        <v>12.69</v>
      </c>
      <c r="E1553" s="61">
        <v>12.725899999999999</v>
      </c>
      <c r="F1553" s="61">
        <v>12.7454</v>
      </c>
      <c r="H1553" s="62" t="s">
        <v>3407</v>
      </c>
      <c r="I1553" s="58">
        <f t="shared" si="97"/>
        <v>44988</v>
      </c>
      <c r="J1553" s="60">
        <f t="shared" si="96"/>
        <v>2023</v>
      </c>
      <c r="K1553" s="64">
        <v>18.0123</v>
      </c>
      <c r="L1553" s="64">
        <v>18.126000000000001</v>
      </c>
      <c r="M1553" s="64">
        <v>18.170000000000002</v>
      </c>
    </row>
    <row r="1554" spans="1:13">
      <c r="A1554" s="65" t="s">
        <v>3408</v>
      </c>
      <c r="B1554" s="66">
        <f t="shared" si="94"/>
        <v>40241</v>
      </c>
      <c r="C1554" s="67">
        <f t="shared" si="95"/>
        <v>2010</v>
      </c>
      <c r="D1554" s="68">
        <v>12.7182</v>
      </c>
      <c r="E1554" s="68">
        <v>12.69</v>
      </c>
      <c r="F1554" s="68">
        <v>12.725899999999999</v>
      </c>
      <c r="H1554" s="69" t="s">
        <v>3409</v>
      </c>
      <c r="I1554" s="66">
        <f t="shared" si="97"/>
        <v>44989</v>
      </c>
      <c r="J1554" s="70">
        <f t="shared" si="96"/>
        <v>2023</v>
      </c>
      <c r="K1554" s="72" t="s">
        <v>362</v>
      </c>
      <c r="L1554" s="72" t="s">
        <v>362</v>
      </c>
      <c r="M1554" s="71">
        <v>18.126000000000001</v>
      </c>
    </row>
    <row r="1555" spans="1:13">
      <c r="A1555" s="57" t="s">
        <v>3410</v>
      </c>
      <c r="B1555" s="58">
        <f t="shared" si="94"/>
        <v>40242</v>
      </c>
      <c r="C1555" s="59">
        <f t="shared" si="95"/>
        <v>2010</v>
      </c>
      <c r="D1555" s="61">
        <v>12.6557</v>
      </c>
      <c r="E1555" s="61">
        <v>12.7182</v>
      </c>
      <c r="F1555" s="61">
        <v>12.69</v>
      </c>
      <c r="H1555" s="62" t="s">
        <v>3411</v>
      </c>
      <c r="I1555" s="58">
        <f t="shared" si="97"/>
        <v>44990</v>
      </c>
      <c r="J1555" s="60">
        <f t="shared" si="96"/>
        <v>2023</v>
      </c>
      <c r="K1555" s="63" t="s">
        <v>362</v>
      </c>
      <c r="L1555" s="63" t="s">
        <v>362</v>
      </c>
      <c r="M1555" s="64">
        <v>18.126000000000001</v>
      </c>
    </row>
    <row r="1556" spans="1:13">
      <c r="A1556" s="65" t="s">
        <v>3412</v>
      </c>
      <c r="B1556" s="66">
        <f t="shared" si="94"/>
        <v>40243</v>
      </c>
      <c r="C1556" s="67">
        <f t="shared" si="95"/>
        <v>2010</v>
      </c>
      <c r="D1556" s="70" t="s">
        <v>362</v>
      </c>
      <c r="E1556" s="70" t="s">
        <v>362</v>
      </c>
      <c r="F1556" s="68">
        <v>12.7182</v>
      </c>
      <c r="H1556" s="69" t="s">
        <v>3413</v>
      </c>
      <c r="I1556" s="66">
        <f t="shared" si="97"/>
        <v>44991</v>
      </c>
      <c r="J1556" s="70">
        <f t="shared" si="96"/>
        <v>2023</v>
      </c>
      <c r="K1556" s="71">
        <v>18.0122</v>
      </c>
      <c r="L1556" s="71">
        <v>18.0123</v>
      </c>
      <c r="M1556" s="71">
        <v>18.126000000000001</v>
      </c>
    </row>
    <row r="1557" spans="1:13">
      <c r="A1557" s="57" t="s">
        <v>3414</v>
      </c>
      <c r="B1557" s="58">
        <f t="shared" si="94"/>
        <v>40244</v>
      </c>
      <c r="C1557" s="59">
        <f t="shared" si="95"/>
        <v>2010</v>
      </c>
      <c r="D1557" s="60" t="s">
        <v>362</v>
      </c>
      <c r="E1557" s="60" t="s">
        <v>362</v>
      </c>
      <c r="F1557" s="61">
        <v>12.7182</v>
      </c>
      <c r="H1557" s="62" t="s">
        <v>3415</v>
      </c>
      <c r="I1557" s="58">
        <f t="shared" si="97"/>
        <v>44992</v>
      </c>
      <c r="J1557" s="60">
        <f t="shared" si="96"/>
        <v>2023</v>
      </c>
      <c r="K1557" s="64">
        <v>18.115500000000001</v>
      </c>
      <c r="L1557" s="64">
        <v>18.0122</v>
      </c>
      <c r="M1557" s="64">
        <v>18.0123</v>
      </c>
    </row>
    <row r="1558" spans="1:13">
      <c r="A1558" s="65" t="s">
        <v>3416</v>
      </c>
      <c r="B1558" s="66">
        <f t="shared" si="94"/>
        <v>40245</v>
      </c>
      <c r="C1558" s="67">
        <f t="shared" si="95"/>
        <v>2010</v>
      </c>
      <c r="D1558" s="68">
        <v>12.661799999999999</v>
      </c>
      <c r="E1558" s="68">
        <v>12.6557</v>
      </c>
      <c r="F1558" s="68">
        <v>12.7182</v>
      </c>
      <c r="H1558" s="69" t="s">
        <v>3417</v>
      </c>
      <c r="I1558" s="66">
        <f t="shared" si="97"/>
        <v>44993</v>
      </c>
      <c r="J1558" s="70">
        <f t="shared" si="96"/>
        <v>2023</v>
      </c>
      <c r="K1558" s="71">
        <v>17.966200000000001</v>
      </c>
      <c r="L1558" s="71">
        <v>18.115500000000001</v>
      </c>
      <c r="M1558" s="71">
        <v>18.0122</v>
      </c>
    </row>
    <row r="1559" spans="1:13">
      <c r="A1559" s="57" t="s">
        <v>3418</v>
      </c>
      <c r="B1559" s="58">
        <f t="shared" si="94"/>
        <v>40246</v>
      </c>
      <c r="C1559" s="59">
        <f t="shared" si="95"/>
        <v>2010</v>
      </c>
      <c r="D1559" s="61">
        <v>12.657400000000001</v>
      </c>
      <c r="E1559" s="61">
        <v>12.661799999999999</v>
      </c>
      <c r="F1559" s="61">
        <v>12.6557</v>
      </c>
      <c r="H1559" s="62" t="s">
        <v>3419</v>
      </c>
      <c r="I1559" s="58">
        <f t="shared" si="97"/>
        <v>44994</v>
      </c>
      <c r="J1559" s="60">
        <f t="shared" si="96"/>
        <v>2023</v>
      </c>
      <c r="K1559" s="64">
        <v>18.057700000000001</v>
      </c>
      <c r="L1559" s="64">
        <v>17.966200000000001</v>
      </c>
      <c r="M1559" s="64">
        <v>18.115500000000001</v>
      </c>
    </row>
    <row r="1560" spans="1:13">
      <c r="A1560" s="65" t="s">
        <v>3420</v>
      </c>
      <c r="B1560" s="66">
        <f t="shared" si="94"/>
        <v>40247</v>
      </c>
      <c r="C1560" s="67">
        <f t="shared" si="95"/>
        <v>2010</v>
      </c>
      <c r="D1560" s="68">
        <v>12.6028</v>
      </c>
      <c r="E1560" s="68">
        <v>12.657400000000001</v>
      </c>
      <c r="F1560" s="68">
        <v>12.661799999999999</v>
      </c>
      <c r="H1560" s="69" t="s">
        <v>3421</v>
      </c>
      <c r="I1560" s="66">
        <f t="shared" si="97"/>
        <v>44995</v>
      </c>
      <c r="J1560" s="70">
        <f t="shared" si="96"/>
        <v>2023</v>
      </c>
      <c r="K1560" s="71">
        <v>18.408300000000001</v>
      </c>
      <c r="L1560" s="71">
        <v>18.057700000000001</v>
      </c>
      <c r="M1560" s="71">
        <v>17.966200000000001</v>
      </c>
    </row>
    <row r="1561" spans="1:13">
      <c r="A1561" s="57" t="s">
        <v>3422</v>
      </c>
      <c r="B1561" s="58">
        <f t="shared" si="94"/>
        <v>40248</v>
      </c>
      <c r="C1561" s="59">
        <f t="shared" si="95"/>
        <v>2010</v>
      </c>
      <c r="D1561" s="61">
        <v>12.619199999999999</v>
      </c>
      <c r="E1561" s="61">
        <v>12.6028</v>
      </c>
      <c r="F1561" s="61">
        <v>12.657400000000001</v>
      </c>
      <c r="H1561" s="62" t="s">
        <v>3423</v>
      </c>
      <c r="I1561" s="58">
        <f t="shared" si="97"/>
        <v>44996</v>
      </c>
      <c r="J1561" s="60">
        <f t="shared" si="96"/>
        <v>2023</v>
      </c>
      <c r="K1561" s="63" t="s">
        <v>362</v>
      </c>
      <c r="L1561" s="63" t="s">
        <v>362</v>
      </c>
      <c r="M1561" s="64">
        <v>18.057700000000001</v>
      </c>
    </row>
    <row r="1562" spans="1:13">
      <c r="A1562" s="65" t="s">
        <v>3424</v>
      </c>
      <c r="B1562" s="66">
        <f t="shared" si="94"/>
        <v>40249</v>
      </c>
      <c r="C1562" s="67">
        <f t="shared" si="95"/>
        <v>2010</v>
      </c>
      <c r="D1562" s="68">
        <v>12.5527</v>
      </c>
      <c r="E1562" s="68">
        <v>12.619199999999999</v>
      </c>
      <c r="F1562" s="68">
        <v>12.6028</v>
      </c>
      <c r="H1562" s="69" t="s">
        <v>3425</v>
      </c>
      <c r="I1562" s="66">
        <f t="shared" si="97"/>
        <v>44997</v>
      </c>
      <c r="J1562" s="70">
        <f t="shared" si="96"/>
        <v>2023</v>
      </c>
      <c r="K1562" s="72" t="s">
        <v>362</v>
      </c>
      <c r="L1562" s="72" t="s">
        <v>362</v>
      </c>
      <c r="M1562" s="71">
        <v>18.057700000000001</v>
      </c>
    </row>
    <row r="1563" spans="1:13">
      <c r="A1563" s="57" t="s">
        <v>3426</v>
      </c>
      <c r="B1563" s="58">
        <f t="shared" si="94"/>
        <v>40250</v>
      </c>
      <c r="C1563" s="59">
        <f t="shared" si="95"/>
        <v>2010</v>
      </c>
      <c r="D1563" s="60" t="s">
        <v>362</v>
      </c>
      <c r="E1563" s="60" t="s">
        <v>362</v>
      </c>
      <c r="F1563" s="61">
        <v>12.619199999999999</v>
      </c>
      <c r="H1563" s="62" t="s">
        <v>3427</v>
      </c>
      <c r="I1563" s="58">
        <f t="shared" si="97"/>
        <v>44998</v>
      </c>
      <c r="J1563" s="60">
        <f t="shared" si="96"/>
        <v>2023</v>
      </c>
      <c r="K1563" s="64">
        <v>18.830200000000001</v>
      </c>
      <c r="L1563" s="64">
        <v>18.408300000000001</v>
      </c>
      <c r="M1563" s="64">
        <v>18.057700000000001</v>
      </c>
    </row>
    <row r="1564" spans="1:13">
      <c r="A1564" s="65" t="s">
        <v>3428</v>
      </c>
      <c r="B1564" s="66">
        <f t="shared" si="94"/>
        <v>40251</v>
      </c>
      <c r="C1564" s="67">
        <f t="shared" si="95"/>
        <v>2010</v>
      </c>
      <c r="D1564" s="70" t="s">
        <v>362</v>
      </c>
      <c r="E1564" s="70" t="s">
        <v>362</v>
      </c>
      <c r="F1564" s="68">
        <v>12.619199999999999</v>
      </c>
      <c r="H1564" s="69" t="s">
        <v>3429</v>
      </c>
      <c r="I1564" s="66">
        <f t="shared" si="97"/>
        <v>44999</v>
      </c>
      <c r="J1564" s="70">
        <f t="shared" si="96"/>
        <v>2023</v>
      </c>
      <c r="K1564" s="71">
        <v>18.642700000000001</v>
      </c>
      <c r="L1564" s="71">
        <v>18.830200000000001</v>
      </c>
      <c r="M1564" s="71">
        <v>18.408300000000001</v>
      </c>
    </row>
    <row r="1565" spans="1:13">
      <c r="A1565" s="57" t="s">
        <v>3430</v>
      </c>
      <c r="B1565" s="58">
        <f t="shared" si="94"/>
        <v>40252</v>
      </c>
      <c r="C1565" s="59">
        <f t="shared" si="95"/>
        <v>2010</v>
      </c>
      <c r="D1565" s="60" t="s">
        <v>362</v>
      </c>
      <c r="E1565" s="60" t="s">
        <v>362</v>
      </c>
      <c r="F1565" s="61">
        <v>12.619199999999999</v>
      </c>
      <c r="H1565" s="62" t="s">
        <v>3431</v>
      </c>
      <c r="I1565" s="58">
        <f t="shared" si="97"/>
        <v>45000</v>
      </c>
      <c r="J1565" s="60">
        <f t="shared" si="96"/>
        <v>2023</v>
      </c>
      <c r="K1565" s="64">
        <v>18.997199999999999</v>
      </c>
      <c r="L1565" s="64">
        <v>18.642700000000001</v>
      </c>
      <c r="M1565" s="64">
        <v>18.830200000000001</v>
      </c>
    </row>
    <row r="1566" spans="1:13">
      <c r="A1566" s="65" t="s">
        <v>3432</v>
      </c>
      <c r="B1566" s="66">
        <f t="shared" si="94"/>
        <v>40253</v>
      </c>
      <c r="C1566" s="67">
        <f t="shared" si="95"/>
        <v>2010</v>
      </c>
      <c r="D1566" s="68">
        <v>12.525399999999999</v>
      </c>
      <c r="E1566" s="68">
        <v>12.5527</v>
      </c>
      <c r="F1566" s="68">
        <v>12.619199999999999</v>
      </c>
      <c r="H1566" s="69" t="s">
        <v>3433</v>
      </c>
      <c r="I1566" s="66">
        <f t="shared" si="97"/>
        <v>45001</v>
      </c>
      <c r="J1566" s="70">
        <f t="shared" si="96"/>
        <v>2023</v>
      </c>
      <c r="K1566" s="71">
        <v>18.909500000000001</v>
      </c>
      <c r="L1566" s="71">
        <v>18.997199999999999</v>
      </c>
      <c r="M1566" s="71">
        <v>18.642700000000001</v>
      </c>
    </row>
    <row r="1567" spans="1:13">
      <c r="A1567" s="57" t="s">
        <v>3434</v>
      </c>
      <c r="B1567" s="58">
        <f t="shared" ref="B1567:B1630" si="98">DATE(RIGHT(A1567,4),LEFT(RIGHT(A1567,7),2),LEFT(A1567,2))</f>
        <v>40254</v>
      </c>
      <c r="C1567" s="59">
        <f t="shared" ref="C1567:C1630" si="99">YEAR(B1567)</f>
        <v>2010</v>
      </c>
      <c r="D1567" s="61">
        <v>12.4892</v>
      </c>
      <c r="E1567" s="61">
        <v>12.525399999999999</v>
      </c>
      <c r="F1567" s="61">
        <v>12.5527</v>
      </c>
      <c r="H1567" s="62" t="s">
        <v>3435</v>
      </c>
      <c r="I1567" s="58">
        <f t="shared" si="97"/>
        <v>45002</v>
      </c>
      <c r="J1567" s="60">
        <f t="shared" ref="J1567:J1630" si="100">YEAR(I1567)</f>
        <v>2023</v>
      </c>
      <c r="K1567" s="64">
        <v>18.8977</v>
      </c>
      <c r="L1567" s="64">
        <v>18.909500000000001</v>
      </c>
      <c r="M1567" s="64">
        <v>18.997199999999999</v>
      </c>
    </row>
    <row r="1568" spans="1:13">
      <c r="A1568" s="65" t="s">
        <v>3436</v>
      </c>
      <c r="B1568" s="66">
        <f t="shared" si="98"/>
        <v>40255</v>
      </c>
      <c r="C1568" s="67">
        <f t="shared" si="99"/>
        <v>2010</v>
      </c>
      <c r="D1568" s="68">
        <v>12.472899999999999</v>
      </c>
      <c r="E1568" s="68">
        <v>12.4892</v>
      </c>
      <c r="F1568" s="68">
        <v>12.525399999999999</v>
      </c>
      <c r="H1568" s="69" t="s">
        <v>3437</v>
      </c>
      <c r="I1568" s="66">
        <f t="shared" ref="I1568:I1631" si="101">DATE(RIGHT(H1568,4),LEFT(RIGHT(A1568,7),2),LEFT(A1568,2))</f>
        <v>45003</v>
      </c>
      <c r="J1568" s="70">
        <f t="shared" si="100"/>
        <v>2023</v>
      </c>
      <c r="K1568" s="72" t="s">
        <v>362</v>
      </c>
      <c r="L1568" s="72" t="s">
        <v>362</v>
      </c>
      <c r="M1568" s="71">
        <v>18.909500000000001</v>
      </c>
    </row>
    <row r="1569" spans="1:13">
      <c r="A1569" s="57" t="s">
        <v>3438</v>
      </c>
      <c r="B1569" s="58">
        <f t="shared" si="98"/>
        <v>40256</v>
      </c>
      <c r="C1569" s="59">
        <f t="shared" si="99"/>
        <v>2010</v>
      </c>
      <c r="D1569" s="61">
        <v>12.579599999999999</v>
      </c>
      <c r="E1569" s="61">
        <v>12.472899999999999</v>
      </c>
      <c r="F1569" s="61">
        <v>12.4892</v>
      </c>
      <c r="H1569" s="62" t="s">
        <v>3439</v>
      </c>
      <c r="I1569" s="58">
        <f t="shared" si="101"/>
        <v>45004</v>
      </c>
      <c r="J1569" s="60">
        <f t="shared" si="100"/>
        <v>2023</v>
      </c>
      <c r="K1569" s="63" t="s">
        <v>362</v>
      </c>
      <c r="L1569" s="63" t="s">
        <v>362</v>
      </c>
      <c r="M1569" s="64">
        <v>18.909500000000001</v>
      </c>
    </row>
    <row r="1570" spans="1:13">
      <c r="A1570" s="65" t="s">
        <v>3440</v>
      </c>
      <c r="B1570" s="66">
        <f t="shared" si="98"/>
        <v>40257</v>
      </c>
      <c r="C1570" s="67">
        <f t="shared" si="99"/>
        <v>2010</v>
      </c>
      <c r="D1570" s="70" t="s">
        <v>362</v>
      </c>
      <c r="E1570" s="70" t="s">
        <v>362</v>
      </c>
      <c r="F1570" s="68">
        <v>12.472899999999999</v>
      </c>
      <c r="H1570" s="69" t="s">
        <v>3441</v>
      </c>
      <c r="I1570" s="66">
        <f t="shared" si="101"/>
        <v>45005</v>
      </c>
      <c r="J1570" s="70">
        <f t="shared" si="100"/>
        <v>2023</v>
      </c>
      <c r="K1570" s="72" t="s">
        <v>362</v>
      </c>
      <c r="L1570" s="72" t="s">
        <v>362</v>
      </c>
      <c r="M1570" s="71">
        <v>18.909500000000001</v>
      </c>
    </row>
    <row r="1571" spans="1:13">
      <c r="A1571" s="57" t="s">
        <v>3442</v>
      </c>
      <c r="B1571" s="58">
        <f t="shared" si="98"/>
        <v>40258</v>
      </c>
      <c r="C1571" s="59">
        <f t="shared" si="99"/>
        <v>2010</v>
      </c>
      <c r="D1571" s="60" t="s">
        <v>362</v>
      </c>
      <c r="E1571" s="60" t="s">
        <v>362</v>
      </c>
      <c r="F1571" s="61">
        <v>12.472899999999999</v>
      </c>
      <c r="H1571" s="62" t="s">
        <v>3443</v>
      </c>
      <c r="I1571" s="58">
        <f t="shared" si="101"/>
        <v>45006</v>
      </c>
      <c r="J1571" s="60">
        <f t="shared" si="100"/>
        <v>2023</v>
      </c>
      <c r="K1571" s="64">
        <v>18.6755</v>
      </c>
      <c r="L1571" s="64">
        <v>18.8977</v>
      </c>
      <c r="M1571" s="64">
        <v>18.909500000000001</v>
      </c>
    </row>
    <row r="1572" spans="1:13">
      <c r="A1572" s="65" t="s">
        <v>3444</v>
      </c>
      <c r="B1572" s="66">
        <f t="shared" si="98"/>
        <v>40259</v>
      </c>
      <c r="C1572" s="67">
        <f t="shared" si="99"/>
        <v>2010</v>
      </c>
      <c r="D1572" s="68">
        <v>12.6052</v>
      </c>
      <c r="E1572" s="68">
        <v>12.579599999999999</v>
      </c>
      <c r="F1572" s="68">
        <v>12.472899999999999</v>
      </c>
      <c r="H1572" s="69" t="s">
        <v>3445</v>
      </c>
      <c r="I1572" s="66">
        <f t="shared" si="101"/>
        <v>45007</v>
      </c>
      <c r="J1572" s="70">
        <f t="shared" si="100"/>
        <v>2023</v>
      </c>
      <c r="K1572" s="71">
        <v>18.543700000000001</v>
      </c>
      <c r="L1572" s="71">
        <v>18.6755</v>
      </c>
      <c r="M1572" s="71">
        <v>18.8977</v>
      </c>
    </row>
    <row r="1573" spans="1:13">
      <c r="A1573" s="57" t="s">
        <v>3446</v>
      </c>
      <c r="B1573" s="58">
        <f t="shared" si="98"/>
        <v>40260</v>
      </c>
      <c r="C1573" s="59">
        <f t="shared" si="99"/>
        <v>2010</v>
      </c>
      <c r="D1573" s="61">
        <v>12.5284</v>
      </c>
      <c r="E1573" s="61">
        <v>12.6052</v>
      </c>
      <c r="F1573" s="61">
        <v>12.579599999999999</v>
      </c>
      <c r="H1573" s="62" t="s">
        <v>3447</v>
      </c>
      <c r="I1573" s="58">
        <f t="shared" si="101"/>
        <v>45008</v>
      </c>
      <c r="J1573" s="60">
        <f t="shared" si="100"/>
        <v>2023</v>
      </c>
      <c r="K1573" s="64">
        <v>18.490200000000002</v>
      </c>
      <c r="L1573" s="64">
        <v>18.543700000000001</v>
      </c>
      <c r="M1573" s="64">
        <v>18.6755</v>
      </c>
    </row>
    <row r="1574" spans="1:13">
      <c r="A1574" s="65" t="s">
        <v>3448</v>
      </c>
      <c r="B1574" s="66">
        <f t="shared" si="98"/>
        <v>40261</v>
      </c>
      <c r="C1574" s="67">
        <f t="shared" si="99"/>
        <v>2010</v>
      </c>
      <c r="D1574" s="68">
        <v>12.5381</v>
      </c>
      <c r="E1574" s="68">
        <v>12.5284</v>
      </c>
      <c r="F1574" s="68">
        <v>12.6052</v>
      </c>
      <c r="H1574" s="69" t="s">
        <v>3449</v>
      </c>
      <c r="I1574" s="66">
        <f t="shared" si="101"/>
        <v>45009</v>
      </c>
      <c r="J1574" s="70">
        <f t="shared" si="100"/>
        <v>2023</v>
      </c>
      <c r="K1574" s="71">
        <v>18.517800000000001</v>
      </c>
      <c r="L1574" s="71">
        <v>18.490200000000002</v>
      </c>
      <c r="M1574" s="71">
        <v>18.543700000000001</v>
      </c>
    </row>
    <row r="1575" spans="1:13">
      <c r="A1575" s="57" t="s">
        <v>3450</v>
      </c>
      <c r="B1575" s="58">
        <f t="shared" si="98"/>
        <v>40262</v>
      </c>
      <c r="C1575" s="59">
        <f t="shared" si="99"/>
        <v>2010</v>
      </c>
      <c r="D1575" s="61">
        <v>12.5009</v>
      </c>
      <c r="E1575" s="61">
        <v>12.5381</v>
      </c>
      <c r="F1575" s="61">
        <v>12.5284</v>
      </c>
      <c r="H1575" s="62" t="s">
        <v>3451</v>
      </c>
      <c r="I1575" s="58">
        <f t="shared" si="101"/>
        <v>45010</v>
      </c>
      <c r="J1575" s="60">
        <f t="shared" si="100"/>
        <v>2023</v>
      </c>
      <c r="K1575" s="63" t="s">
        <v>362</v>
      </c>
      <c r="L1575" s="63" t="s">
        <v>362</v>
      </c>
      <c r="M1575" s="64">
        <v>18.490200000000002</v>
      </c>
    </row>
    <row r="1576" spans="1:13">
      <c r="A1576" s="65" t="s">
        <v>3452</v>
      </c>
      <c r="B1576" s="66">
        <f t="shared" si="98"/>
        <v>40263</v>
      </c>
      <c r="C1576" s="67">
        <f t="shared" si="99"/>
        <v>2010</v>
      </c>
      <c r="D1576" s="68">
        <v>12.5426</v>
      </c>
      <c r="E1576" s="68">
        <v>12.5009</v>
      </c>
      <c r="F1576" s="68">
        <v>12.5381</v>
      </c>
      <c r="H1576" s="69" t="s">
        <v>3453</v>
      </c>
      <c r="I1576" s="66">
        <f t="shared" si="101"/>
        <v>45011</v>
      </c>
      <c r="J1576" s="70">
        <f t="shared" si="100"/>
        <v>2023</v>
      </c>
      <c r="K1576" s="72" t="s">
        <v>362</v>
      </c>
      <c r="L1576" s="72" t="s">
        <v>362</v>
      </c>
      <c r="M1576" s="71">
        <v>18.490200000000002</v>
      </c>
    </row>
    <row r="1577" spans="1:13">
      <c r="A1577" s="57" t="s">
        <v>3454</v>
      </c>
      <c r="B1577" s="58">
        <f t="shared" si="98"/>
        <v>40264</v>
      </c>
      <c r="C1577" s="59">
        <f t="shared" si="99"/>
        <v>2010</v>
      </c>
      <c r="D1577" s="60" t="s">
        <v>362</v>
      </c>
      <c r="E1577" s="60" t="s">
        <v>362</v>
      </c>
      <c r="F1577" s="61">
        <v>12.5009</v>
      </c>
      <c r="H1577" s="62" t="s">
        <v>3455</v>
      </c>
      <c r="I1577" s="58">
        <f t="shared" si="101"/>
        <v>45012</v>
      </c>
      <c r="J1577" s="60">
        <f t="shared" si="100"/>
        <v>2023</v>
      </c>
      <c r="K1577" s="64">
        <v>18.382999999999999</v>
      </c>
      <c r="L1577" s="64">
        <v>18.517800000000001</v>
      </c>
      <c r="M1577" s="64">
        <v>18.490200000000002</v>
      </c>
    </row>
    <row r="1578" spans="1:13">
      <c r="A1578" s="65" t="s">
        <v>3456</v>
      </c>
      <c r="B1578" s="66">
        <f t="shared" si="98"/>
        <v>40265</v>
      </c>
      <c r="C1578" s="67">
        <f t="shared" si="99"/>
        <v>2010</v>
      </c>
      <c r="D1578" s="70" t="s">
        <v>362</v>
      </c>
      <c r="E1578" s="70" t="s">
        <v>362</v>
      </c>
      <c r="F1578" s="68">
        <v>12.5009</v>
      </c>
      <c r="H1578" s="69" t="s">
        <v>3457</v>
      </c>
      <c r="I1578" s="66">
        <f t="shared" si="101"/>
        <v>45013</v>
      </c>
      <c r="J1578" s="70">
        <f t="shared" si="100"/>
        <v>2023</v>
      </c>
      <c r="K1578" s="71">
        <v>18.252300000000002</v>
      </c>
      <c r="L1578" s="71">
        <v>18.382999999999999</v>
      </c>
      <c r="M1578" s="71">
        <v>18.517800000000001</v>
      </c>
    </row>
    <row r="1579" spans="1:13">
      <c r="A1579" s="57" t="s">
        <v>3458</v>
      </c>
      <c r="B1579" s="58">
        <f t="shared" si="98"/>
        <v>40266</v>
      </c>
      <c r="C1579" s="59">
        <f t="shared" si="99"/>
        <v>2010</v>
      </c>
      <c r="D1579" s="61">
        <v>12.464</v>
      </c>
      <c r="E1579" s="61">
        <v>12.5426</v>
      </c>
      <c r="F1579" s="61">
        <v>12.5009</v>
      </c>
      <c r="H1579" s="62" t="s">
        <v>3459</v>
      </c>
      <c r="I1579" s="58">
        <f t="shared" si="101"/>
        <v>45014</v>
      </c>
      <c r="J1579" s="60">
        <f t="shared" si="100"/>
        <v>2023</v>
      </c>
      <c r="K1579" s="64">
        <v>18.1052</v>
      </c>
      <c r="L1579" s="64">
        <v>18.252300000000002</v>
      </c>
      <c r="M1579" s="64">
        <v>18.382999999999999</v>
      </c>
    </row>
    <row r="1580" spans="1:13">
      <c r="A1580" s="65" t="s">
        <v>3460</v>
      </c>
      <c r="B1580" s="66">
        <f t="shared" si="98"/>
        <v>40267</v>
      </c>
      <c r="C1580" s="67">
        <f t="shared" si="99"/>
        <v>2010</v>
      </c>
      <c r="D1580" s="68">
        <v>12.4145</v>
      </c>
      <c r="E1580" s="68">
        <v>12.464</v>
      </c>
      <c r="F1580" s="68">
        <v>12.5426</v>
      </c>
      <c r="H1580" s="69" t="s">
        <v>3461</v>
      </c>
      <c r="I1580" s="66">
        <f t="shared" si="101"/>
        <v>45015</v>
      </c>
      <c r="J1580" s="70">
        <f t="shared" si="100"/>
        <v>2023</v>
      </c>
      <c r="K1580" s="71">
        <v>18.0932</v>
      </c>
      <c r="L1580" s="71">
        <v>18.1052</v>
      </c>
      <c r="M1580" s="71">
        <v>18.252300000000002</v>
      </c>
    </row>
    <row r="1581" spans="1:13">
      <c r="A1581" s="57" t="s">
        <v>3462</v>
      </c>
      <c r="B1581" s="58">
        <f t="shared" si="98"/>
        <v>40268</v>
      </c>
      <c r="C1581" s="59">
        <f t="shared" si="99"/>
        <v>2010</v>
      </c>
      <c r="D1581" s="61">
        <v>12.3306</v>
      </c>
      <c r="E1581" s="61">
        <v>12.4145</v>
      </c>
      <c r="F1581" s="61">
        <v>12.464</v>
      </c>
      <c r="H1581" s="62" t="s">
        <v>3463</v>
      </c>
      <c r="I1581" s="58">
        <f t="shared" si="101"/>
        <v>45016</v>
      </c>
      <c r="J1581" s="60">
        <f t="shared" si="100"/>
        <v>2023</v>
      </c>
      <c r="K1581" s="64">
        <v>18.041499999999999</v>
      </c>
      <c r="L1581" s="64">
        <v>18.0932</v>
      </c>
      <c r="M1581" s="64">
        <v>18.1052</v>
      </c>
    </row>
    <row r="1582" spans="1:13">
      <c r="A1582" s="65" t="s">
        <v>3464</v>
      </c>
      <c r="B1582" s="66">
        <f t="shared" si="98"/>
        <v>40269</v>
      </c>
      <c r="C1582" s="67">
        <f t="shared" si="99"/>
        <v>2010</v>
      </c>
      <c r="D1582" s="70" t="s">
        <v>362</v>
      </c>
      <c r="E1582" s="70" t="s">
        <v>362</v>
      </c>
      <c r="F1582" s="68">
        <v>12.4145</v>
      </c>
      <c r="H1582" s="69" t="s">
        <v>3465</v>
      </c>
      <c r="I1582" s="66">
        <f t="shared" si="101"/>
        <v>45017</v>
      </c>
      <c r="J1582" s="70">
        <f t="shared" si="100"/>
        <v>2023</v>
      </c>
      <c r="K1582" s="72" t="s">
        <v>362</v>
      </c>
      <c r="L1582" s="72" t="s">
        <v>362</v>
      </c>
      <c r="M1582" s="71">
        <v>18.0932</v>
      </c>
    </row>
    <row r="1583" spans="1:13">
      <c r="A1583" s="57" t="s">
        <v>3466</v>
      </c>
      <c r="B1583" s="58">
        <f t="shared" si="98"/>
        <v>40270</v>
      </c>
      <c r="C1583" s="59">
        <f t="shared" si="99"/>
        <v>2010</v>
      </c>
      <c r="D1583" s="60" t="s">
        <v>362</v>
      </c>
      <c r="E1583" s="60" t="s">
        <v>362</v>
      </c>
      <c r="F1583" s="61">
        <v>12.4145</v>
      </c>
      <c r="H1583" s="62" t="s">
        <v>3467</v>
      </c>
      <c r="I1583" s="58">
        <f t="shared" si="101"/>
        <v>45018</v>
      </c>
      <c r="J1583" s="60">
        <f t="shared" si="100"/>
        <v>2023</v>
      </c>
      <c r="K1583" s="63" t="s">
        <v>362</v>
      </c>
      <c r="L1583" s="63" t="s">
        <v>362</v>
      </c>
      <c r="M1583" s="64">
        <v>18.0932</v>
      </c>
    </row>
    <row r="1584" spans="1:13">
      <c r="A1584" s="65" t="s">
        <v>3468</v>
      </c>
      <c r="B1584" s="66">
        <f t="shared" si="98"/>
        <v>40271</v>
      </c>
      <c r="C1584" s="67">
        <f t="shared" si="99"/>
        <v>2010</v>
      </c>
      <c r="D1584" s="70" t="s">
        <v>362</v>
      </c>
      <c r="E1584" s="70" t="s">
        <v>362</v>
      </c>
      <c r="F1584" s="68">
        <v>12.4145</v>
      </c>
      <c r="H1584" s="69" t="s">
        <v>3469</v>
      </c>
      <c r="I1584" s="66">
        <f t="shared" si="101"/>
        <v>45019</v>
      </c>
      <c r="J1584" s="70">
        <f t="shared" si="100"/>
        <v>2023</v>
      </c>
      <c r="K1584" s="71">
        <v>18.106999999999999</v>
      </c>
      <c r="L1584" s="71">
        <v>18.041499999999999</v>
      </c>
      <c r="M1584" s="71">
        <v>18.0932</v>
      </c>
    </row>
    <row r="1585" spans="1:13">
      <c r="A1585" s="57" t="s">
        <v>3470</v>
      </c>
      <c r="B1585" s="58">
        <f t="shared" si="98"/>
        <v>40272</v>
      </c>
      <c r="C1585" s="59">
        <f t="shared" si="99"/>
        <v>2010</v>
      </c>
      <c r="D1585" s="60" t="s">
        <v>362</v>
      </c>
      <c r="E1585" s="60" t="s">
        <v>362</v>
      </c>
      <c r="F1585" s="61">
        <v>12.4145</v>
      </c>
      <c r="H1585" s="62" t="s">
        <v>3471</v>
      </c>
      <c r="I1585" s="58">
        <f t="shared" si="101"/>
        <v>45020</v>
      </c>
      <c r="J1585" s="60">
        <f t="shared" si="100"/>
        <v>2023</v>
      </c>
      <c r="K1585" s="64">
        <v>18.118500000000001</v>
      </c>
      <c r="L1585" s="64">
        <v>18.106999999999999</v>
      </c>
      <c r="M1585" s="64">
        <v>18.041499999999999</v>
      </c>
    </row>
    <row r="1586" spans="1:13">
      <c r="A1586" s="65" t="s">
        <v>3472</v>
      </c>
      <c r="B1586" s="66">
        <f t="shared" si="98"/>
        <v>40273</v>
      </c>
      <c r="C1586" s="67">
        <f t="shared" si="99"/>
        <v>2010</v>
      </c>
      <c r="D1586" s="68">
        <v>12.2658</v>
      </c>
      <c r="E1586" s="68">
        <v>12.3306</v>
      </c>
      <c r="F1586" s="68">
        <v>12.4145</v>
      </c>
      <c r="H1586" s="69" t="s">
        <v>3473</v>
      </c>
      <c r="I1586" s="66">
        <f t="shared" si="101"/>
        <v>45021</v>
      </c>
      <c r="J1586" s="70">
        <f t="shared" si="100"/>
        <v>2023</v>
      </c>
      <c r="K1586" s="71">
        <v>18.3323</v>
      </c>
      <c r="L1586" s="71">
        <v>18.118500000000001</v>
      </c>
      <c r="M1586" s="71">
        <v>18.106999999999999</v>
      </c>
    </row>
    <row r="1587" spans="1:13">
      <c r="A1587" s="57" t="s">
        <v>3474</v>
      </c>
      <c r="B1587" s="58">
        <f t="shared" si="98"/>
        <v>40274</v>
      </c>
      <c r="C1587" s="59">
        <f t="shared" si="99"/>
        <v>2010</v>
      </c>
      <c r="D1587" s="61">
        <v>12.2454</v>
      </c>
      <c r="E1587" s="61">
        <v>12.2658</v>
      </c>
      <c r="F1587" s="61">
        <v>12.3306</v>
      </c>
      <c r="H1587" s="62" t="s">
        <v>3475</v>
      </c>
      <c r="I1587" s="58">
        <f t="shared" si="101"/>
        <v>45022</v>
      </c>
      <c r="J1587" s="60">
        <f t="shared" si="100"/>
        <v>2023</v>
      </c>
      <c r="K1587" s="63" t="s">
        <v>362</v>
      </c>
      <c r="L1587" s="63" t="s">
        <v>362</v>
      </c>
      <c r="M1587" s="64">
        <v>18.118500000000001</v>
      </c>
    </row>
    <row r="1588" spans="1:13">
      <c r="A1588" s="65" t="s">
        <v>3476</v>
      </c>
      <c r="B1588" s="66">
        <f t="shared" si="98"/>
        <v>40275</v>
      </c>
      <c r="C1588" s="67">
        <f t="shared" si="99"/>
        <v>2010</v>
      </c>
      <c r="D1588" s="68">
        <v>12.2218</v>
      </c>
      <c r="E1588" s="68">
        <v>12.2454</v>
      </c>
      <c r="F1588" s="68">
        <v>12.2658</v>
      </c>
      <c r="H1588" s="69" t="s">
        <v>3477</v>
      </c>
      <c r="I1588" s="66">
        <f t="shared" si="101"/>
        <v>45023</v>
      </c>
      <c r="J1588" s="70">
        <f t="shared" si="100"/>
        <v>2023</v>
      </c>
      <c r="K1588" s="72" t="s">
        <v>362</v>
      </c>
      <c r="L1588" s="72" t="s">
        <v>362</v>
      </c>
      <c r="M1588" s="71">
        <v>18.118500000000001</v>
      </c>
    </row>
    <row r="1589" spans="1:13">
      <c r="A1589" s="57" t="s">
        <v>3478</v>
      </c>
      <c r="B1589" s="58">
        <f t="shared" si="98"/>
        <v>40276</v>
      </c>
      <c r="C1589" s="59">
        <f t="shared" si="99"/>
        <v>2010</v>
      </c>
      <c r="D1589" s="61">
        <v>12.248799999999999</v>
      </c>
      <c r="E1589" s="61">
        <v>12.2218</v>
      </c>
      <c r="F1589" s="61">
        <v>12.2454</v>
      </c>
      <c r="H1589" s="62" t="s">
        <v>3479</v>
      </c>
      <c r="I1589" s="58">
        <f t="shared" si="101"/>
        <v>45024</v>
      </c>
      <c r="J1589" s="60">
        <f t="shared" si="100"/>
        <v>2023</v>
      </c>
      <c r="K1589" s="63" t="s">
        <v>362</v>
      </c>
      <c r="L1589" s="63" t="s">
        <v>362</v>
      </c>
      <c r="M1589" s="64">
        <v>18.118500000000001</v>
      </c>
    </row>
    <row r="1590" spans="1:13">
      <c r="A1590" s="65" t="s">
        <v>3480</v>
      </c>
      <c r="B1590" s="66">
        <f t="shared" si="98"/>
        <v>40277</v>
      </c>
      <c r="C1590" s="67">
        <f t="shared" si="99"/>
        <v>2010</v>
      </c>
      <c r="D1590" s="68">
        <v>12.1997</v>
      </c>
      <c r="E1590" s="68">
        <v>12.248799999999999</v>
      </c>
      <c r="F1590" s="68">
        <v>12.2218</v>
      </c>
      <c r="H1590" s="69" t="s">
        <v>3481</v>
      </c>
      <c r="I1590" s="66">
        <f t="shared" si="101"/>
        <v>45025</v>
      </c>
      <c r="J1590" s="70">
        <f t="shared" si="100"/>
        <v>2023</v>
      </c>
      <c r="K1590" s="72" t="s">
        <v>362</v>
      </c>
      <c r="L1590" s="72" t="s">
        <v>362</v>
      </c>
      <c r="M1590" s="71">
        <v>18.118500000000001</v>
      </c>
    </row>
    <row r="1591" spans="1:13">
      <c r="A1591" s="57" t="s">
        <v>3482</v>
      </c>
      <c r="B1591" s="58">
        <f t="shared" si="98"/>
        <v>40278</v>
      </c>
      <c r="C1591" s="59">
        <f t="shared" si="99"/>
        <v>2010</v>
      </c>
      <c r="D1591" s="60" t="s">
        <v>362</v>
      </c>
      <c r="E1591" s="60" t="s">
        <v>362</v>
      </c>
      <c r="F1591" s="61">
        <v>12.248799999999999</v>
      </c>
      <c r="H1591" s="62" t="s">
        <v>3483</v>
      </c>
      <c r="I1591" s="58">
        <f t="shared" si="101"/>
        <v>45026</v>
      </c>
      <c r="J1591" s="60">
        <f t="shared" si="100"/>
        <v>2023</v>
      </c>
      <c r="K1591" s="64">
        <v>18.176500000000001</v>
      </c>
      <c r="L1591" s="64">
        <v>18.3323</v>
      </c>
      <c r="M1591" s="64">
        <v>18.118500000000001</v>
      </c>
    </row>
    <row r="1592" spans="1:13">
      <c r="A1592" s="65" t="s">
        <v>3484</v>
      </c>
      <c r="B1592" s="66">
        <f t="shared" si="98"/>
        <v>40279</v>
      </c>
      <c r="C1592" s="67">
        <f t="shared" si="99"/>
        <v>2010</v>
      </c>
      <c r="D1592" s="70" t="s">
        <v>362</v>
      </c>
      <c r="E1592" s="70" t="s">
        <v>362</v>
      </c>
      <c r="F1592" s="68">
        <v>12.248799999999999</v>
      </c>
      <c r="H1592" s="69" t="s">
        <v>3485</v>
      </c>
      <c r="I1592" s="66">
        <f t="shared" si="101"/>
        <v>45027</v>
      </c>
      <c r="J1592" s="70">
        <f t="shared" si="100"/>
        <v>2023</v>
      </c>
      <c r="K1592" s="71">
        <v>18.187000000000001</v>
      </c>
      <c r="L1592" s="71">
        <v>18.176500000000001</v>
      </c>
      <c r="M1592" s="71">
        <v>18.3323</v>
      </c>
    </row>
    <row r="1593" spans="1:13">
      <c r="A1593" s="57" t="s">
        <v>3486</v>
      </c>
      <c r="B1593" s="58">
        <f t="shared" si="98"/>
        <v>40280</v>
      </c>
      <c r="C1593" s="59">
        <f t="shared" si="99"/>
        <v>2010</v>
      </c>
      <c r="D1593" s="61">
        <v>12.1808</v>
      </c>
      <c r="E1593" s="61">
        <v>12.1997</v>
      </c>
      <c r="F1593" s="61">
        <v>12.248799999999999</v>
      </c>
      <c r="H1593" s="62" t="s">
        <v>3487</v>
      </c>
      <c r="I1593" s="58">
        <f t="shared" si="101"/>
        <v>45028</v>
      </c>
      <c r="J1593" s="60">
        <f t="shared" si="100"/>
        <v>2023</v>
      </c>
      <c r="K1593" s="64">
        <v>18.065999999999999</v>
      </c>
      <c r="L1593" s="64">
        <v>18.187000000000001</v>
      </c>
      <c r="M1593" s="64">
        <v>18.176500000000001</v>
      </c>
    </row>
    <row r="1594" spans="1:13">
      <c r="A1594" s="65" t="s">
        <v>3488</v>
      </c>
      <c r="B1594" s="66">
        <f t="shared" si="98"/>
        <v>40281</v>
      </c>
      <c r="C1594" s="67">
        <f t="shared" si="99"/>
        <v>2010</v>
      </c>
      <c r="D1594" s="68">
        <v>12.212199999999999</v>
      </c>
      <c r="E1594" s="68">
        <v>12.1808</v>
      </c>
      <c r="F1594" s="68">
        <v>12.1997</v>
      </c>
      <c r="H1594" s="69" t="s">
        <v>3489</v>
      </c>
      <c r="I1594" s="66">
        <f t="shared" si="101"/>
        <v>45029</v>
      </c>
      <c r="J1594" s="70">
        <f t="shared" si="100"/>
        <v>2023</v>
      </c>
      <c r="K1594" s="71">
        <v>18.0152</v>
      </c>
      <c r="L1594" s="71">
        <v>18.065999999999999</v>
      </c>
      <c r="M1594" s="71">
        <v>18.187000000000001</v>
      </c>
    </row>
    <row r="1595" spans="1:13">
      <c r="A1595" s="57" t="s">
        <v>3490</v>
      </c>
      <c r="B1595" s="58">
        <f t="shared" si="98"/>
        <v>40282</v>
      </c>
      <c r="C1595" s="59">
        <f t="shared" si="99"/>
        <v>2010</v>
      </c>
      <c r="D1595" s="61">
        <v>12.182700000000001</v>
      </c>
      <c r="E1595" s="61">
        <v>12.212199999999999</v>
      </c>
      <c r="F1595" s="61">
        <v>12.1808</v>
      </c>
      <c r="H1595" s="62" t="s">
        <v>3491</v>
      </c>
      <c r="I1595" s="58">
        <f t="shared" si="101"/>
        <v>45030</v>
      </c>
      <c r="J1595" s="60">
        <f t="shared" si="100"/>
        <v>2023</v>
      </c>
      <c r="K1595" s="64">
        <v>18.063800000000001</v>
      </c>
      <c r="L1595" s="64">
        <v>18.0152</v>
      </c>
      <c r="M1595" s="64">
        <v>18.065999999999999</v>
      </c>
    </row>
    <row r="1596" spans="1:13">
      <c r="A1596" s="65" t="s">
        <v>3492</v>
      </c>
      <c r="B1596" s="66">
        <f t="shared" si="98"/>
        <v>40283</v>
      </c>
      <c r="C1596" s="67">
        <f t="shared" si="99"/>
        <v>2010</v>
      </c>
      <c r="D1596" s="68">
        <v>12.1934</v>
      </c>
      <c r="E1596" s="68">
        <v>12.182700000000001</v>
      </c>
      <c r="F1596" s="68">
        <v>12.212199999999999</v>
      </c>
      <c r="H1596" s="69" t="s">
        <v>3493</v>
      </c>
      <c r="I1596" s="66">
        <f t="shared" si="101"/>
        <v>45031</v>
      </c>
      <c r="J1596" s="70">
        <f t="shared" si="100"/>
        <v>2023</v>
      </c>
      <c r="K1596" s="72" t="s">
        <v>362</v>
      </c>
      <c r="L1596" s="72" t="s">
        <v>362</v>
      </c>
      <c r="M1596" s="71">
        <v>18.0152</v>
      </c>
    </row>
    <row r="1597" spans="1:13">
      <c r="A1597" s="57" t="s">
        <v>3494</v>
      </c>
      <c r="B1597" s="58">
        <f t="shared" si="98"/>
        <v>40284</v>
      </c>
      <c r="C1597" s="59">
        <f t="shared" si="99"/>
        <v>2010</v>
      </c>
      <c r="D1597" s="61">
        <v>12.2356</v>
      </c>
      <c r="E1597" s="61">
        <v>12.1934</v>
      </c>
      <c r="F1597" s="61">
        <v>12.182700000000001</v>
      </c>
      <c r="H1597" s="62" t="s">
        <v>3495</v>
      </c>
      <c r="I1597" s="58">
        <f t="shared" si="101"/>
        <v>45032</v>
      </c>
      <c r="J1597" s="60">
        <f t="shared" si="100"/>
        <v>2023</v>
      </c>
      <c r="K1597" s="63" t="s">
        <v>362</v>
      </c>
      <c r="L1597" s="63" t="s">
        <v>362</v>
      </c>
      <c r="M1597" s="64">
        <v>18.0152</v>
      </c>
    </row>
    <row r="1598" spans="1:13">
      <c r="A1598" s="65" t="s">
        <v>3496</v>
      </c>
      <c r="B1598" s="66">
        <f t="shared" si="98"/>
        <v>40285</v>
      </c>
      <c r="C1598" s="67">
        <f t="shared" si="99"/>
        <v>2010</v>
      </c>
      <c r="D1598" s="70" t="s">
        <v>362</v>
      </c>
      <c r="E1598" s="70" t="s">
        <v>362</v>
      </c>
      <c r="F1598" s="68">
        <v>12.1934</v>
      </c>
      <c r="H1598" s="69" t="s">
        <v>3497</v>
      </c>
      <c r="I1598" s="66">
        <f t="shared" si="101"/>
        <v>45033</v>
      </c>
      <c r="J1598" s="70">
        <f t="shared" si="100"/>
        <v>2023</v>
      </c>
      <c r="K1598" s="71">
        <v>18.0868</v>
      </c>
      <c r="L1598" s="71">
        <v>18.063800000000001</v>
      </c>
      <c r="M1598" s="71">
        <v>18.0152</v>
      </c>
    </row>
    <row r="1599" spans="1:13">
      <c r="A1599" s="57" t="s">
        <v>3498</v>
      </c>
      <c r="B1599" s="58">
        <f t="shared" si="98"/>
        <v>40286</v>
      </c>
      <c r="C1599" s="59">
        <f t="shared" si="99"/>
        <v>2010</v>
      </c>
      <c r="D1599" s="60" t="s">
        <v>362</v>
      </c>
      <c r="E1599" s="60" t="s">
        <v>362</v>
      </c>
      <c r="F1599" s="61">
        <v>12.1934</v>
      </c>
      <c r="H1599" s="62" t="s">
        <v>3499</v>
      </c>
      <c r="I1599" s="58">
        <f t="shared" si="101"/>
        <v>45034</v>
      </c>
      <c r="J1599" s="60">
        <f t="shared" si="100"/>
        <v>2023</v>
      </c>
      <c r="K1599" s="64">
        <v>18.062999999999999</v>
      </c>
      <c r="L1599" s="64">
        <v>18.0868</v>
      </c>
      <c r="M1599" s="64">
        <v>18.063800000000001</v>
      </c>
    </row>
    <row r="1600" spans="1:13">
      <c r="A1600" s="65" t="s">
        <v>3500</v>
      </c>
      <c r="B1600" s="66">
        <f t="shared" si="98"/>
        <v>40287</v>
      </c>
      <c r="C1600" s="67">
        <f t="shared" si="99"/>
        <v>2010</v>
      </c>
      <c r="D1600" s="68">
        <v>12.3064</v>
      </c>
      <c r="E1600" s="68">
        <v>12.2356</v>
      </c>
      <c r="F1600" s="68">
        <v>12.1934</v>
      </c>
      <c r="H1600" s="69" t="s">
        <v>3501</v>
      </c>
      <c r="I1600" s="66">
        <f t="shared" si="101"/>
        <v>45035</v>
      </c>
      <c r="J1600" s="70">
        <f t="shared" si="100"/>
        <v>2023</v>
      </c>
      <c r="K1600" s="71">
        <v>18.044799999999999</v>
      </c>
      <c r="L1600" s="71">
        <v>18.062999999999999</v>
      </c>
      <c r="M1600" s="71">
        <v>18.0868</v>
      </c>
    </row>
    <row r="1601" spans="1:13">
      <c r="A1601" s="57" t="s">
        <v>3502</v>
      </c>
      <c r="B1601" s="58">
        <f t="shared" si="98"/>
        <v>40288</v>
      </c>
      <c r="C1601" s="59">
        <f t="shared" si="99"/>
        <v>2010</v>
      </c>
      <c r="D1601" s="61">
        <v>12.2188</v>
      </c>
      <c r="E1601" s="61">
        <v>12.3064</v>
      </c>
      <c r="F1601" s="61">
        <v>12.2356</v>
      </c>
      <c r="H1601" s="62" t="s">
        <v>3503</v>
      </c>
      <c r="I1601" s="58">
        <f t="shared" si="101"/>
        <v>45036</v>
      </c>
      <c r="J1601" s="60">
        <f t="shared" si="100"/>
        <v>2023</v>
      </c>
      <c r="K1601" s="64">
        <v>18.009</v>
      </c>
      <c r="L1601" s="64">
        <v>18.044799999999999</v>
      </c>
      <c r="M1601" s="64">
        <v>18.062999999999999</v>
      </c>
    </row>
    <row r="1602" spans="1:13">
      <c r="A1602" s="65" t="s">
        <v>3504</v>
      </c>
      <c r="B1602" s="66">
        <f t="shared" si="98"/>
        <v>40289</v>
      </c>
      <c r="C1602" s="67">
        <f t="shared" si="99"/>
        <v>2010</v>
      </c>
      <c r="D1602" s="68">
        <v>12.1896</v>
      </c>
      <c r="E1602" s="68">
        <v>12.2188</v>
      </c>
      <c r="F1602" s="68">
        <v>12.3064</v>
      </c>
      <c r="H1602" s="69" t="s">
        <v>3505</v>
      </c>
      <c r="I1602" s="66">
        <f t="shared" si="101"/>
        <v>45037</v>
      </c>
      <c r="J1602" s="70">
        <f t="shared" si="100"/>
        <v>2023</v>
      </c>
      <c r="K1602" s="71">
        <v>17.998799999999999</v>
      </c>
      <c r="L1602" s="71">
        <v>18.009</v>
      </c>
      <c r="M1602" s="71">
        <v>18.044799999999999</v>
      </c>
    </row>
    <row r="1603" spans="1:13">
      <c r="A1603" s="57" t="s">
        <v>3506</v>
      </c>
      <c r="B1603" s="58">
        <f t="shared" si="98"/>
        <v>40290</v>
      </c>
      <c r="C1603" s="59">
        <f t="shared" si="99"/>
        <v>2010</v>
      </c>
      <c r="D1603" s="61">
        <v>12.240500000000001</v>
      </c>
      <c r="E1603" s="61">
        <v>12.1896</v>
      </c>
      <c r="F1603" s="61">
        <v>12.2188</v>
      </c>
      <c r="H1603" s="62" t="s">
        <v>3507</v>
      </c>
      <c r="I1603" s="58">
        <f t="shared" si="101"/>
        <v>45038</v>
      </c>
      <c r="J1603" s="60">
        <f t="shared" si="100"/>
        <v>2023</v>
      </c>
      <c r="K1603" s="63" t="s">
        <v>362</v>
      </c>
      <c r="L1603" s="63" t="s">
        <v>362</v>
      </c>
      <c r="M1603" s="64">
        <v>18.009</v>
      </c>
    </row>
    <row r="1604" spans="1:13">
      <c r="A1604" s="65" t="s">
        <v>3508</v>
      </c>
      <c r="B1604" s="66">
        <f t="shared" si="98"/>
        <v>40291</v>
      </c>
      <c r="C1604" s="67">
        <f t="shared" si="99"/>
        <v>2010</v>
      </c>
      <c r="D1604" s="68">
        <v>12.1973</v>
      </c>
      <c r="E1604" s="68">
        <v>12.240500000000001</v>
      </c>
      <c r="F1604" s="68">
        <v>12.1896</v>
      </c>
      <c r="H1604" s="69" t="s">
        <v>3509</v>
      </c>
      <c r="I1604" s="66">
        <f t="shared" si="101"/>
        <v>45039</v>
      </c>
      <c r="J1604" s="70">
        <f t="shared" si="100"/>
        <v>2023</v>
      </c>
      <c r="K1604" s="72" t="s">
        <v>362</v>
      </c>
      <c r="L1604" s="72" t="s">
        <v>362</v>
      </c>
      <c r="M1604" s="71">
        <v>18.009</v>
      </c>
    </row>
    <row r="1605" spans="1:13">
      <c r="A1605" s="57" t="s">
        <v>3510</v>
      </c>
      <c r="B1605" s="58">
        <f t="shared" si="98"/>
        <v>40292</v>
      </c>
      <c r="C1605" s="59">
        <f t="shared" si="99"/>
        <v>2010</v>
      </c>
      <c r="D1605" s="60" t="s">
        <v>362</v>
      </c>
      <c r="E1605" s="60" t="s">
        <v>362</v>
      </c>
      <c r="F1605" s="61">
        <v>12.240500000000001</v>
      </c>
      <c r="H1605" s="62" t="s">
        <v>3511</v>
      </c>
      <c r="I1605" s="58">
        <f t="shared" si="101"/>
        <v>45040</v>
      </c>
      <c r="J1605" s="60">
        <f t="shared" si="100"/>
        <v>2023</v>
      </c>
      <c r="K1605" s="64">
        <v>18.008199999999999</v>
      </c>
      <c r="L1605" s="64">
        <v>17.998799999999999</v>
      </c>
      <c r="M1605" s="64">
        <v>18.009</v>
      </c>
    </row>
    <row r="1606" spans="1:13">
      <c r="A1606" s="65" t="s">
        <v>3512</v>
      </c>
      <c r="B1606" s="66">
        <f t="shared" si="98"/>
        <v>40293</v>
      </c>
      <c r="C1606" s="67">
        <f t="shared" si="99"/>
        <v>2010</v>
      </c>
      <c r="D1606" s="70" t="s">
        <v>362</v>
      </c>
      <c r="E1606" s="70" t="s">
        <v>362</v>
      </c>
      <c r="F1606" s="68">
        <v>12.240500000000001</v>
      </c>
      <c r="H1606" s="69" t="s">
        <v>3513</v>
      </c>
      <c r="I1606" s="66">
        <f t="shared" si="101"/>
        <v>45041</v>
      </c>
      <c r="J1606" s="70">
        <f t="shared" si="100"/>
        <v>2023</v>
      </c>
      <c r="K1606" s="71">
        <v>18.089200000000002</v>
      </c>
      <c r="L1606" s="71">
        <v>18.008199999999999</v>
      </c>
      <c r="M1606" s="71">
        <v>17.998799999999999</v>
      </c>
    </row>
    <row r="1607" spans="1:13">
      <c r="A1607" s="57" t="s">
        <v>3514</v>
      </c>
      <c r="B1607" s="58">
        <f t="shared" si="98"/>
        <v>40294</v>
      </c>
      <c r="C1607" s="59">
        <f t="shared" si="99"/>
        <v>2010</v>
      </c>
      <c r="D1607" s="61">
        <v>12.157500000000001</v>
      </c>
      <c r="E1607" s="61">
        <v>12.1973</v>
      </c>
      <c r="F1607" s="61">
        <v>12.240500000000001</v>
      </c>
      <c r="H1607" s="62" t="s">
        <v>3515</v>
      </c>
      <c r="I1607" s="58">
        <f t="shared" si="101"/>
        <v>45042</v>
      </c>
      <c r="J1607" s="60">
        <f t="shared" si="100"/>
        <v>2023</v>
      </c>
      <c r="K1607" s="64">
        <v>18.103000000000002</v>
      </c>
      <c r="L1607" s="64">
        <v>18.089200000000002</v>
      </c>
      <c r="M1607" s="64">
        <v>18.008199999999999</v>
      </c>
    </row>
    <row r="1608" spans="1:13">
      <c r="A1608" s="65" t="s">
        <v>3516</v>
      </c>
      <c r="B1608" s="66">
        <f t="shared" si="98"/>
        <v>40295</v>
      </c>
      <c r="C1608" s="67">
        <f t="shared" si="99"/>
        <v>2010</v>
      </c>
      <c r="D1608" s="68">
        <v>12.2278</v>
      </c>
      <c r="E1608" s="68">
        <v>12.157500000000001</v>
      </c>
      <c r="F1608" s="68">
        <v>12.1973</v>
      </c>
      <c r="H1608" s="69" t="s">
        <v>3517</v>
      </c>
      <c r="I1608" s="66">
        <f t="shared" si="101"/>
        <v>45043</v>
      </c>
      <c r="J1608" s="70">
        <f t="shared" si="100"/>
        <v>2023</v>
      </c>
      <c r="K1608" s="71">
        <v>18.072299999999998</v>
      </c>
      <c r="L1608" s="71">
        <v>18.103000000000002</v>
      </c>
      <c r="M1608" s="71">
        <v>18.089200000000002</v>
      </c>
    </row>
    <row r="1609" spans="1:13">
      <c r="A1609" s="57" t="s">
        <v>3518</v>
      </c>
      <c r="B1609" s="58">
        <f t="shared" si="98"/>
        <v>40296</v>
      </c>
      <c r="C1609" s="59">
        <f t="shared" si="99"/>
        <v>2010</v>
      </c>
      <c r="D1609" s="61">
        <v>12.3698</v>
      </c>
      <c r="E1609" s="61">
        <v>12.2278</v>
      </c>
      <c r="F1609" s="61">
        <v>12.157500000000001</v>
      </c>
      <c r="H1609" s="62" t="s">
        <v>3519</v>
      </c>
      <c r="I1609" s="58">
        <f t="shared" si="101"/>
        <v>45044</v>
      </c>
      <c r="J1609" s="60">
        <f t="shared" si="100"/>
        <v>2023</v>
      </c>
      <c r="K1609" s="64">
        <v>17.997499999999999</v>
      </c>
      <c r="L1609" s="64">
        <v>18.072299999999998</v>
      </c>
      <c r="M1609" s="64">
        <v>18.103000000000002</v>
      </c>
    </row>
    <row r="1610" spans="1:13">
      <c r="A1610" s="65" t="s">
        <v>3520</v>
      </c>
      <c r="B1610" s="66">
        <f t="shared" si="98"/>
        <v>40297</v>
      </c>
      <c r="C1610" s="67">
        <f t="shared" si="99"/>
        <v>2010</v>
      </c>
      <c r="D1610" s="68">
        <v>12.246499999999999</v>
      </c>
      <c r="E1610" s="68">
        <v>12.3698</v>
      </c>
      <c r="F1610" s="68">
        <v>12.2278</v>
      </c>
      <c r="H1610" s="69" t="s">
        <v>3521</v>
      </c>
      <c r="I1610" s="66">
        <f t="shared" si="101"/>
        <v>45045</v>
      </c>
      <c r="J1610" s="70">
        <f t="shared" si="100"/>
        <v>2023</v>
      </c>
      <c r="K1610" s="72" t="s">
        <v>362</v>
      </c>
      <c r="L1610" s="72" t="s">
        <v>362</v>
      </c>
      <c r="M1610" s="71">
        <v>18.072299999999998</v>
      </c>
    </row>
    <row r="1611" spans="1:13">
      <c r="A1611" s="57" t="s">
        <v>3522</v>
      </c>
      <c r="B1611" s="58">
        <f t="shared" si="98"/>
        <v>40298</v>
      </c>
      <c r="C1611" s="59">
        <f t="shared" si="99"/>
        <v>2010</v>
      </c>
      <c r="D1611" s="61">
        <v>12.262600000000001</v>
      </c>
      <c r="E1611" s="61">
        <v>12.246499999999999</v>
      </c>
      <c r="F1611" s="61">
        <v>12.3698</v>
      </c>
      <c r="H1611" s="62" t="s">
        <v>3523</v>
      </c>
      <c r="I1611" s="58">
        <f t="shared" si="101"/>
        <v>45046</v>
      </c>
      <c r="J1611" s="60">
        <f t="shared" si="100"/>
        <v>2023</v>
      </c>
      <c r="K1611" s="63" t="s">
        <v>362</v>
      </c>
      <c r="L1611" s="63" t="s">
        <v>362</v>
      </c>
      <c r="M1611" s="64">
        <v>18.072299999999998</v>
      </c>
    </row>
    <row r="1612" spans="1:13">
      <c r="A1612" s="65" t="s">
        <v>3524</v>
      </c>
      <c r="B1612" s="66">
        <f t="shared" si="98"/>
        <v>40299</v>
      </c>
      <c r="C1612" s="67">
        <f t="shared" si="99"/>
        <v>2010</v>
      </c>
      <c r="D1612" s="70" t="s">
        <v>362</v>
      </c>
      <c r="E1612" s="70" t="s">
        <v>362</v>
      </c>
      <c r="F1612" s="68">
        <v>12.246499999999999</v>
      </c>
      <c r="H1612" s="69" t="s">
        <v>3525</v>
      </c>
      <c r="I1612" s="66">
        <f t="shared" si="101"/>
        <v>45047</v>
      </c>
      <c r="J1612" s="70">
        <f t="shared" si="100"/>
        <v>2023</v>
      </c>
      <c r="K1612" s="72" t="s">
        <v>362</v>
      </c>
      <c r="L1612" s="72" t="s">
        <v>362</v>
      </c>
      <c r="M1612" s="71">
        <v>18.072299999999998</v>
      </c>
    </row>
    <row r="1613" spans="1:13">
      <c r="A1613" s="57" t="s">
        <v>3526</v>
      </c>
      <c r="B1613" s="58">
        <f t="shared" si="98"/>
        <v>40300</v>
      </c>
      <c r="C1613" s="59">
        <f t="shared" si="99"/>
        <v>2010</v>
      </c>
      <c r="D1613" s="60" t="s">
        <v>362</v>
      </c>
      <c r="E1613" s="60" t="s">
        <v>362</v>
      </c>
      <c r="F1613" s="61">
        <v>12.246499999999999</v>
      </c>
      <c r="H1613" s="62" t="s">
        <v>3527</v>
      </c>
      <c r="I1613" s="58">
        <f t="shared" si="101"/>
        <v>45048</v>
      </c>
      <c r="J1613" s="60">
        <f t="shared" si="100"/>
        <v>2023</v>
      </c>
      <c r="K1613" s="64">
        <v>18.032499999999999</v>
      </c>
      <c r="L1613" s="64">
        <v>17.997499999999999</v>
      </c>
      <c r="M1613" s="64">
        <v>18.072299999999998</v>
      </c>
    </row>
    <row r="1614" spans="1:13">
      <c r="A1614" s="65" t="s">
        <v>3528</v>
      </c>
      <c r="B1614" s="66">
        <f t="shared" si="98"/>
        <v>40301</v>
      </c>
      <c r="C1614" s="67">
        <f t="shared" si="99"/>
        <v>2010</v>
      </c>
      <c r="D1614" s="68">
        <v>12.2605</v>
      </c>
      <c r="E1614" s="68">
        <v>12.262600000000001</v>
      </c>
      <c r="F1614" s="68">
        <v>12.246499999999999</v>
      </c>
      <c r="H1614" s="69" t="s">
        <v>3529</v>
      </c>
      <c r="I1614" s="66">
        <f t="shared" si="101"/>
        <v>45049</v>
      </c>
      <c r="J1614" s="70">
        <f t="shared" si="100"/>
        <v>2023</v>
      </c>
      <c r="K1614" s="71">
        <v>17.905999999999999</v>
      </c>
      <c r="L1614" s="71">
        <v>18.032499999999999</v>
      </c>
      <c r="M1614" s="71">
        <v>17.997499999999999</v>
      </c>
    </row>
    <row r="1615" spans="1:13">
      <c r="A1615" s="57" t="s">
        <v>3530</v>
      </c>
      <c r="B1615" s="58">
        <f t="shared" si="98"/>
        <v>40302</v>
      </c>
      <c r="C1615" s="59">
        <f t="shared" si="99"/>
        <v>2010</v>
      </c>
      <c r="D1615" s="61">
        <v>12.428800000000001</v>
      </c>
      <c r="E1615" s="61">
        <v>12.2605</v>
      </c>
      <c r="F1615" s="61">
        <v>12.262600000000001</v>
      </c>
      <c r="H1615" s="62" t="s">
        <v>3531</v>
      </c>
      <c r="I1615" s="58">
        <f t="shared" si="101"/>
        <v>45050</v>
      </c>
      <c r="J1615" s="60">
        <f t="shared" si="100"/>
        <v>2023</v>
      </c>
      <c r="K1615" s="64">
        <v>17.9575</v>
      </c>
      <c r="L1615" s="64">
        <v>17.905999999999999</v>
      </c>
      <c r="M1615" s="64">
        <v>18.032499999999999</v>
      </c>
    </row>
    <row r="1616" spans="1:13">
      <c r="A1616" s="65" t="s">
        <v>3532</v>
      </c>
      <c r="B1616" s="66">
        <f t="shared" si="98"/>
        <v>40303</v>
      </c>
      <c r="C1616" s="67">
        <f t="shared" si="99"/>
        <v>2010</v>
      </c>
      <c r="D1616" s="68">
        <v>12.663500000000001</v>
      </c>
      <c r="E1616" s="68">
        <v>12.428800000000001</v>
      </c>
      <c r="F1616" s="68">
        <v>12.2605</v>
      </c>
      <c r="H1616" s="69" t="s">
        <v>3533</v>
      </c>
      <c r="I1616" s="66">
        <f t="shared" si="101"/>
        <v>45051</v>
      </c>
      <c r="J1616" s="70">
        <f t="shared" si="100"/>
        <v>2023</v>
      </c>
      <c r="K1616" s="71">
        <v>17.786300000000001</v>
      </c>
      <c r="L1616" s="71">
        <v>17.9575</v>
      </c>
      <c r="M1616" s="71">
        <v>17.905999999999999</v>
      </c>
    </row>
    <row r="1617" spans="1:13">
      <c r="A1617" s="57" t="s">
        <v>3534</v>
      </c>
      <c r="B1617" s="58">
        <f t="shared" si="98"/>
        <v>40304</v>
      </c>
      <c r="C1617" s="59">
        <f t="shared" si="99"/>
        <v>2010</v>
      </c>
      <c r="D1617" s="61">
        <v>12.788399999999999</v>
      </c>
      <c r="E1617" s="61">
        <v>12.663500000000001</v>
      </c>
      <c r="F1617" s="61">
        <v>12.428800000000001</v>
      </c>
      <c r="H1617" s="62" t="s">
        <v>3535</v>
      </c>
      <c r="I1617" s="58">
        <f t="shared" si="101"/>
        <v>45052</v>
      </c>
      <c r="J1617" s="60">
        <f t="shared" si="100"/>
        <v>2023</v>
      </c>
      <c r="K1617" s="63" t="s">
        <v>362</v>
      </c>
      <c r="L1617" s="63" t="s">
        <v>362</v>
      </c>
      <c r="M1617" s="64">
        <v>17.9575</v>
      </c>
    </row>
    <row r="1618" spans="1:13">
      <c r="A1618" s="65" t="s">
        <v>3536</v>
      </c>
      <c r="B1618" s="66">
        <f t="shared" si="98"/>
        <v>40305</v>
      </c>
      <c r="C1618" s="67">
        <f t="shared" si="99"/>
        <v>2010</v>
      </c>
      <c r="D1618" s="68">
        <v>12.917899999999999</v>
      </c>
      <c r="E1618" s="68">
        <v>12.788399999999999</v>
      </c>
      <c r="F1618" s="68">
        <v>12.663500000000001</v>
      </c>
      <c r="H1618" s="69" t="s">
        <v>3537</v>
      </c>
      <c r="I1618" s="66">
        <f t="shared" si="101"/>
        <v>45053</v>
      </c>
      <c r="J1618" s="70">
        <f t="shared" si="100"/>
        <v>2023</v>
      </c>
      <c r="K1618" s="72" t="s">
        <v>362</v>
      </c>
      <c r="L1618" s="72" t="s">
        <v>362</v>
      </c>
      <c r="M1618" s="71">
        <v>17.9575</v>
      </c>
    </row>
    <row r="1619" spans="1:13">
      <c r="A1619" s="57" t="s">
        <v>3538</v>
      </c>
      <c r="B1619" s="58">
        <f t="shared" si="98"/>
        <v>40306</v>
      </c>
      <c r="C1619" s="59">
        <f t="shared" si="99"/>
        <v>2010</v>
      </c>
      <c r="D1619" s="60" t="s">
        <v>362</v>
      </c>
      <c r="E1619" s="60" t="s">
        <v>362</v>
      </c>
      <c r="F1619" s="61">
        <v>12.788399999999999</v>
      </c>
      <c r="H1619" s="62" t="s">
        <v>3539</v>
      </c>
      <c r="I1619" s="58">
        <f t="shared" si="101"/>
        <v>45054</v>
      </c>
      <c r="J1619" s="60">
        <f t="shared" si="100"/>
        <v>2023</v>
      </c>
      <c r="K1619" s="64">
        <v>17.821300000000001</v>
      </c>
      <c r="L1619" s="64">
        <v>17.786300000000001</v>
      </c>
      <c r="M1619" s="64">
        <v>17.9575</v>
      </c>
    </row>
    <row r="1620" spans="1:13">
      <c r="A1620" s="65" t="s">
        <v>3540</v>
      </c>
      <c r="B1620" s="66">
        <f t="shared" si="98"/>
        <v>40307</v>
      </c>
      <c r="C1620" s="67">
        <f t="shared" si="99"/>
        <v>2010</v>
      </c>
      <c r="D1620" s="70" t="s">
        <v>362</v>
      </c>
      <c r="E1620" s="70" t="s">
        <v>362</v>
      </c>
      <c r="F1620" s="68">
        <v>12.788399999999999</v>
      </c>
      <c r="H1620" s="69" t="s">
        <v>3541</v>
      </c>
      <c r="I1620" s="66">
        <f t="shared" si="101"/>
        <v>45055</v>
      </c>
      <c r="J1620" s="70">
        <f t="shared" si="100"/>
        <v>2023</v>
      </c>
      <c r="K1620" s="71">
        <v>17.7608</v>
      </c>
      <c r="L1620" s="71">
        <v>17.821300000000001</v>
      </c>
      <c r="M1620" s="71">
        <v>17.786300000000001</v>
      </c>
    </row>
    <row r="1621" spans="1:13">
      <c r="A1621" s="57" t="s">
        <v>3542</v>
      </c>
      <c r="B1621" s="58">
        <f t="shared" si="98"/>
        <v>40308</v>
      </c>
      <c r="C1621" s="59">
        <f t="shared" si="99"/>
        <v>2010</v>
      </c>
      <c r="D1621" s="61">
        <v>12.5297</v>
      </c>
      <c r="E1621" s="61">
        <v>12.917899999999999</v>
      </c>
      <c r="F1621" s="61">
        <v>12.788399999999999</v>
      </c>
      <c r="H1621" s="62" t="s">
        <v>3543</v>
      </c>
      <c r="I1621" s="58">
        <f t="shared" si="101"/>
        <v>45056</v>
      </c>
      <c r="J1621" s="60">
        <f t="shared" si="100"/>
        <v>2023</v>
      </c>
      <c r="K1621" s="64">
        <v>17.584499999999998</v>
      </c>
      <c r="L1621" s="64">
        <v>17.7608</v>
      </c>
      <c r="M1621" s="64">
        <v>17.821300000000001</v>
      </c>
    </row>
    <row r="1622" spans="1:13">
      <c r="A1622" s="65" t="s">
        <v>3544</v>
      </c>
      <c r="B1622" s="66">
        <f t="shared" si="98"/>
        <v>40309</v>
      </c>
      <c r="C1622" s="67">
        <f t="shared" si="99"/>
        <v>2010</v>
      </c>
      <c r="D1622" s="68">
        <v>12.5025</v>
      </c>
      <c r="E1622" s="68">
        <v>12.5297</v>
      </c>
      <c r="F1622" s="68">
        <v>12.917899999999999</v>
      </c>
      <c r="H1622" s="69" t="s">
        <v>3545</v>
      </c>
      <c r="I1622" s="66">
        <f t="shared" si="101"/>
        <v>45057</v>
      </c>
      <c r="J1622" s="70">
        <f t="shared" si="100"/>
        <v>2023</v>
      </c>
      <c r="K1622" s="71">
        <v>17.628699999999998</v>
      </c>
      <c r="L1622" s="71">
        <v>17.584499999999998</v>
      </c>
      <c r="M1622" s="71">
        <v>17.7608</v>
      </c>
    </row>
    <row r="1623" spans="1:13">
      <c r="A1623" s="57" t="s">
        <v>3546</v>
      </c>
      <c r="B1623" s="58">
        <f t="shared" si="98"/>
        <v>40310</v>
      </c>
      <c r="C1623" s="59">
        <f t="shared" si="99"/>
        <v>2010</v>
      </c>
      <c r="D1623" s="61">
        <v>12.4351</v>
      </c>
      <c r="E1623" s="61">
        <v>12.5025</v>
      </c>
      <c r="F1623" s="61">
        <v>12.5297</v>
      </c>
      <c r="H1623" s="62" t="s">
        <v>3547</v>
      </c>
      <c r="I1623" s="58">
        <f t="shared" si="101"/>
        <v>45058</v>
      </c>
      <c r="J1623" s="60">
        <f t="shared" si="100"/>
        <v>2023</v>
      </c>
      <c r="K1623" s="64">
        <v>17.6142</v>
      </c>
      <c r="L1623" s="64">
        <v>17.628699999999998</v>
      </c>
      <c r="M1623" s="64">
        <v>17.584499999999998</v>
      </c>
    </row>
    <row r="1624" spans="1:13">
      <c r="A1624" s="65" t="s">
        <v>3548</v>
      </c>
      <c r="B1624" s="66">
        <f t="shared" si="98"/>
        <v>40311</v>
      </c>
      <c r="C1624" s="67">
        <f t="shared" si="99"/>
        <v>2010</v>
      </c>
      <c r="D1624" s="68">
        <v>12.350099999999999</v>
      </c>
      <c r="E1624" s="68">
        <v>12.4351</v>
      </c>
      <c r="F1624" s="68">
        <v>12.5025</v>
      </c>
      <c r="H1624" s="69" t="s">
        <v>3549</v>
      </c>
      <c r="I1624" s="66">
        <f t="shared" si="101"/>
        <v>45059</v>
      </c>
      <c r="J1624" s="70">
        <f t="shared" si="100"/>
        <v>2023</v>
      </c>
      <c r="K1624" s="72" t="s">
        <v>362</v>
      </c>
      <c r="L1624" s="72" t="s">
        <v>362</v>
      </c>
      <c r="M1624" s="71">
        <v>17.628699999999998</v>
      </c>
    </row>
    <row r="1625" spans="1:13">
      <c r="A1625" s="57" t="s">
        <v>3550</v>
      </c>
      <c r="B1625" s="58">
        <f t="shared" si="98"/>
        <v>40312</v>
      </c>
      <c r="C1625" s="59">
        <f t="shared" si="99"/>
        <v>2010</v>
      </c>
      <c r="D1625" s="61">
        <v>12.5684</v>
      </c>
      <c r="E1625" s="61">
        <v>12.350099999999999</v>
      </c>
      <c r="F1625" s="61">
        <v>12.4351</v>
      </c>
      <c r="H1625" s="62" t="s">
        <v>3551</v>
      </c>
      <c r="I1625" s="58">
        <f t="shared" si="101"/>
        <v>45060</v>
      </c>
      <c r="J1625" s="60">
        <f t="shared" si="100"/>
        <v>2023</v>
      </c>
      <c r="K1625" s="63" t="s">
        <v>362</v>
      </c>
      <c r="L1625" s="63" t="s">
        <v>362</v>
      </c>
      <c r="M1625" s="64">
        <v>17.628699999999998</v>
      </c>
    </row>
    <row r="1626" spans="1:13">
      <c r="A1626" s="65" t="s">
        <v>3552</v>
      </c>
      <c r="B1626" s="66">
        <f t="shared" si="98"/>
        <v>40313</v>
      </c>
      <c r="C1626" s="67">
        <f t="shared" si="99"/>
        <v>2010</v>
      </c>
      <c r="D1626" s="70" t="s">
        <v>362</v>
      </c>
      <c r="E1626" s="70" t="s">
        <v>362</v>
      </c>
      <c r="F1626" s="68">
        <v>12.350099999999999</v>
      </c>
      <c r="H1626" s="69" t="s">
        <v>3553</v>
      </c>
      <c r="I1626" s="66">
        <f t="shared" si="101"/>
        <v>45061</v>
      </c>
      <c r="J1626" s="70">
        <f t="shared" si="100"/>
        <v>2023</v>
      </c>
      <c r="K1626" s="71">
        <v>17.538</v>
      </c>
      <c r="L1626" s="71">
        <v>17.6142</v>
      </c>
      <c r="M1626" s="71">
        <v>17.628699999999998</v>
      </c>
    </row>
    <row r="1627" spans="1:13">
      <c r="A1627" s="57" t="s">
        <v>3554</v>
      </c>
      <c r="B1627" s="58">
        <f t="shared" si="98"/>
        <v>40314</v>
      </c>
      <c r="C1627" s="59">
        <f t="shared" si="99"/>
        <v>2010</v>
      </c>
      <c r="D1627" s="60" t="s">
        <v>362</v>
      </c>
      <c r="E1627" s="60" t="s">
        <v>362</v>
      </c>
      <c r="F1627" s="61">
        <v>12.350099999999999</v>
      </c>
      <c r="H1627" s="62" t="s">
        <v>3555</v>
      </c>
      <c r="I1627" s="58">
        <f t="shared" si="101"/>
        <v>45062</v>
      </c>
      <c r="J1627" s="60">
        <f t="shared" si="100"/>
        <v>2023</v>
      </c>
      <c r="K1627" s="64">
        <v>17.467199999999998</v>
      </c>
      <c r="L1627" s="64">
        <v>17.538</v>
      </c>
      <c r="M1627" s="64">
        <v>17.6142</v>
      </c>
    </row>
    <row r="1628" spans="1:13">
      <c r="A1628" s="65" t="s">
        <v>3556</v>
      </c>
      <c r="B1628" s="66">
        <f t="shared" si="98"/>
        <v>40315</v>
      </c>
      <c r="C1628" s="67">
        <f t="shared" si="99"/>
        <v>2010</v>
      </c>
      <c r="D1628" s="68">
        <v>12.692600000000001</v>
      </c>
      <c r="E1628" s="68">
        <v>12.5684</v>
      </c>
      <c r="F1628" s="68">
        <v>12.350099999999999</v>
      </c>
      <c r="H1628" s="69" t="s">
        <v>3557</v>
      </c>
      <c r="I1628" s="66">
        <f t="shared" si="101"/>
        <v>45063</v>
      </c>
      <c r="J1628" s="70">
        <f t="shared" si="100"/>
        <v>2023</v>
      </c>
      <c r="K1628" s="71">
        <v>17.587199999999999</v>
      </c>
      <c r="L1628" s="71">
        <v>17.467199999999998</v>
      </c>
      <c r="M1628" s="71">
        <v>17.538</v>
      </c>
    </row>
    <row r="1629" spans="1:13">
      <c r="A1629" s="57" t="s">
        <v>3558</v>
      </c>
      <c r="B1629" s="58">
        <f t="shared" si="98"/>
        <v>40316</v>
      </c>
      <c r="C1629" s="59">
        <f t="shared" si="99"/>
        <v>2010</v>
      </c>
      <c r="D1629" s="61">
        <v>12.5787</v>
      </c>
      <c r="E1629" s="61">
        <v>12.692600000000001</v>
      </c>
      <c r="F1629" s="61">
        <v>12.5684</v>
      </c>
      <c r="H1629" s="62" t="s">
        <v>3559</v>
      </c>
      <c r="I1629" s="58">
        <f t="shared" si="101"/>
        <v>45064</v>
      </c>
      <c r="J1629" s="60">
        <f t="shared" si="100"/>
        <v>2023</v>
      </c>
      <c r="K1629" s="64">
        <v>17.734200000000001</v>
      </c>
      <c r="L1629" s="64">
        <v>17.587199999999999</v>
      </c>
      <c r="M1629" s="64">
        <v>17.467199999999998</v>
      </c>
    </row>
    <row r="1630" spans="1:13">
      <c r="A1630" s="65" t="s">
        <v>3560</v>
      </c>
      <c r="B1630" s="66">
        <f t="shared" si="98"/>
        <v>40317</v>
      </c>
      <c r="C1630" s="67">
        <f t="shared" si="99"/>
        <v>2010</v>
      </c>
      <c r="D1630" s="68">
        <v>12.9138</v>
      </c>
      <c r="E1630" s="68">
        <v>12.5787</v>
      </c>
      <c r="F1630" s="68">
        <v>12.692600000000001</v>
      </c>
      <c r="H1630" s="69" t="s">
        <v>3561</v>
      </c>
      <c r="I1630" s="66">
        <f t="shared" si="101"/>
        <v>45065</v>
      </c>
      <c r="J1630" s="70">
        <f t="shared" si="100"/>
        <v>2023</v>
      </c>
      <c r="K1630" s="71">
        <v>17.693000000000001</v>
      </c>
      <c r="L1630" s="71">
        <v>17.734200000000001</v>
      </c>
      <c r="M1630" s="71">
        <v>17.587199999999999</v>
      </c>
    </row>
    <row r="1631" spans="1:13">
      <c r="A1631" s="57" t="s">
        <v>3562</v>
      </c>
      <c r="B1631" s="58">
        <f t="shared" ref="B1631:B1694" si="102">DATE(RIGHT(A1631,4),LEFT(RIGHT(A1631,7),2),LEFT(A1631,2))</f>
        <v>40318</v>
      </c>
      <c r="C1631" s="59">
        <f t="shared" ref="C1631:C1694" si="103">YEAR(B1631)</f>
        <v>2010</v>
      </c>
      <c r="D1631" s="61">
        <v>13.1412</v>
      </c>
      <c r="E1631" s="61">
        <v>12.9138</v>
      </c>
      <c r="F1631" s="61">
        <v>12.5787</v>
      </c>
      <c r="H1631" s="62" t="s">
        <v>3563</v>
      </c>
      <c r="I1631" s="58">
        <f t="shared" si="101"/>
        <v>45066</v>
      </c>
      <c r="J1631" s="60">
        <f t="shared" ref="J1631:J1694" si="104">YEAR(I1631)</f>
        <v>2023</v>
      </c>
      <c r="K1631" s="63" t="s">
        <v>362</v>
      </c>
      <c r="L1631" s="63" t="s">
        <v>362</v>
      </c>
      <c r="M1631" s="64">
        <v>17.734200000000001</v>
      </c>
    </row>
    <row r="1632" spans="1:13">
      <c r="A1632" s="65" t="s">
        <v>3564</v>
      </c>
      <c r="B1632" s="66">
        <f t="shared" si="102"/>
        <v>40319</v>
      </c>
      <c r="C1632" s="67">
        <f t="shared" si="103"/>
        <v>2010</v>
      </c>
      <c r="D1632" s="68">
        <v>13.033799999999999</v>
      </c>
      <c r="E1632" s="68">
        <v>13.1412</v>
      </c>
      <c r="F1632" s="68">
        <v>12.9138</v>
      </c>
      <c r="H1632" s="69" t="s">
        <v>3565</v>
      </c>
      <c r="I1632" s="66">
        <f t="shared" ref="I1632:I1695" si="105">DATE(RIGHT(H1632,4),LEFT(RIGHT(A1632,7),2),LEFT(A1632,2))</f>
        <v>45067</v>
      </c>
      <c r="J1632" s="70">
        <f t="shared" si="104"/>
        <v>2023</v>
      </c>
      <c r="K1632" s="72" t="s">
        <v>362</v>
      </c>
      <c r="L1632" s="72" t="s">
        <v>362</v>
      </c>
      <c r="M1632" s="71">
        <v>17.734200000000001</v>
      </c>
    </row>
    <row r="1633" spans="1:13">
      <c r="A1633" s="57" t="s">
        <v>3566</v>
      </c>
      <c r="B1633" s="58">
        <f t="shared" si="102"/>
        <v>40320</v>
      </c>
      <c r="C1633" s="59">
        <f t="shared" si="103"/>
        <v>2010</v>
      </c>
      <c r="D1633" s="60" t="s">
        <v>362</v>
      </c>
      <c r="E1633" s="60" t="s">
        <v>362</v>
      </c>
      <c r="F1633" s="61">
        <v>13.1412</v>
      </c>
      <c r="H1633" s="62" t="s">
        <v>3567</v>
      </c>
      <c r="I1633" s="58">
        <f t="shared" si="105"/>
        <v>45068</v>
      </c>
      <c r="J1633" s="60">
        <f t="shared" si="104"/>
        <v>2023</v>
      </c>
      <c r="K1633" s="64">
        <v>17.867999999999999</v>
      </c>
      <c r="L1633" s="64">
        <v>17.693000000000001</v>
      </c>
      <c r="M1633" s="64">
        <v>17.734200000000001</v>
      </c>
    </row>
    <row r="1634" spans="1:13">
      <c r="A1634" s="65" t="s">
        <v>3568</v>
      </c>
      <c r="B1634" s="66">
        <f t="shared" si="102"/>
        <v>40321</v>
      </c>
      <c r="C1634" s="67">
        <f t="shared" si="103"/>
        <v>2010</v>
      </c>
      <c r="D1634" s="70" t="s">
        <v>362</v>
      </c>
      <c r="E1634" s="70" t="s">
        <v>362</v>
      </c>
      <c r="F1634" s="68">
        <v>13.1412</v>
      </c>
      <c r="H1634" s="69" t="s">
        <v>3569</v>
      </c>
      <c r="I1634" s="66">
        <f t="shared" si="105"/>
        <v>45069</v>
      </c>
      <c r="J1634" s="70">
        <f t="shared" si="104"/>
        <v>2023</v>
      </c>
      <c r="K1634" s="71">
        <v>17.968699999999998</v>
      </c>
      <c r="L1634" s="71">
        <v>17.867999999999999</v>
      </c>
      <c r="M1634" s="71">
        <v>17.693000000000001</v>
      </c>
    </row>
    <row r="1635" spans="1:13">
      <c r="A1635" s="57" t="s">
        <v>3570</v>
      </c>
      <c r="B1635" s="58">
        <f t="shared" si="102"/>
        <v>40322</v>
      </c>
      <c r="C1635" s="59">
        <f t="shared" si="103"/>
        <v>2010</v>
      </c>
      <c r="D1635" s="61">
        <v>12.9588</v>
      </c>
      <c r="E1635" s="61">
        <v>13.033799999999999</v>
      </c>
      <c r="F1635" s="61">
        <v>13.1412</v>
      </c>
      <c r="H1635" s="62" t="s">
        <v>3571</v>
      </c>
      <c r="I1635" s="58">
        <f t="shared" si="105"/>
        <v>45070</v>
      </c>
      <c r="J1635" s="60">
        <f t="shared" si="104"/>
        <v>2023</v>
      </c>
      <c r="K1635" s="64">
        <v>17.819500000000001</v>
      </c>
      <c r="L1635" s="64">
        <v>17.968699999999998</v>
      </c>
      <c r="M1635" s="64">
        <v>17.867999999999999</v>
      </c>
    </row>
    <row r="1636" spans="1:13">
      <c r="A1636" s="65" t="s">
        <v>3572</v>
      </c>
      <c r="B1636" s="66">
        <f t="shared" si="102"/>
        <v>40323</v>
      </c>
      <c r="C1636" s="67">
        <f t="shared" si="103"/>
        <v>2010</v>
      </c>
      <c r="D1636" s="68">
        <v>13.181900000000001</v>
      </c>
      <c r="E1636" s="68">
        <v>12.9588</v>
      </c>
      <c r="F1636" s="68">
        <v>13.033799999999999</v>
      </c>
      <c r="H1636" s="69" t="s">
        <v>3573</v>
      </c>
      <c r="I1636" s="66">
        <f t="shared" si="105"/>
        <v>45071</v>
      </c>
      <c r="J1636" s="70">
        <f t="shared" si="104"/>
        <v>2023</v>
      </c>
      <c r="K1636" s="71">
        <v>17.825199999999999</v>
      </c>
      <c r="L1636" s="71">
        <v>17.819500000000001</v>
      </c>
      <c r="M1636" s="71">
        <v>17.968699999999998</v>
      </c>
    </row>
    <row r="1637" spans="1:13">
      <c r="A1637" s="57" t="s">
        <v>3574</v>
      </c>
      <c r="B1637" s="58">
        <f t="shared" si="102"/>
        <v>40324</v>
      </c>
      <c r="C1637" s="59">
        <f t="shared" si="103"/>
        <v>2010</v>
      </c>
      <c r="D1637" s="61">
        <v>12.9955</v>
      </c>
      <c r="E1637" s="61">
        <v>13.181900000000001</v>
      </c>
      <c r="F1637" s="61">
        <v>12.9588</v>
      </c>
      <c r="H1637" s="62" t="s">
        <v>3575</v>
      </c>
      <c r="I1637" s="58">
        <f t="shared" si="105"/>
        <v>45072</v>
      </c>
      <c r="J1637" s="60">
        <f t="shared" si="104"/>
        <v>2023</v>
      </c>
      <c r="K1637" s="64">
        <v>17.6723</v>
      </c>
      <c r="L1637" s="64">
        <v>17.825199999999999</v>
      </c>
      <c r="M1637" s="64">
        <v>17.819500000000001</v>
      </c>
    </row>
    <row r="1638" spans="1:13">
      <c r="A1638" s="65" t="s">
        <v>3576</v>
      </c>
      <c r="B1638" s="66">
        <f t="shared" si="102"/>
        <v>40325</v>
      </c>
      <c r="C1638" s="67">
        <f t="shared" si="103"/>
        <v>2010</v>
      </c>
      <c r="D1638" s="68">
        <v>12.884600000000001</v>
      </c>
      <c r="E1638" s="68">
        <v>12.9955</v>
      </c>
      <c r="F1638" s="68">
        <v>13.181900000000001</v>
      </c>
      <c r="H1638" s="69" t="s">
        <v>3577</v>
      </c>
      <c r="I1638" s="66">
        <f t="shared" si="105"/>
        <v>45073</v>
      </c>
      <c r="J1638" s="70">
        <f t="shared" si="104"/>
        <v>2023</v>
      </c>
      <c r="K1638" s="72" t="s">
        <v>362</v>
      </c>
      <c r="L1638" s="72" t="s">
        <v>362</v>
      </c>
      <c r="M1638" s="71">
        <v>17.825199999999999</v>
      </c>
    </row>
    <row r="1639" spans="1:13">
      <c r="A1639" s="57" t="s">
        <v>3578</v>
      </c>
      <c r="B1639" s="58">
        <f t="shared" si="102"/>
        <v>40326</v>
      </c>
      <c r="C1639" s="59">
        <f t="shared" si="103"/>
        <v>2010</v>
      </c>
      <c r="D1639" s="61">
        <v>12.8589</v>
      </c>
      <c r="E1639" s="61">
        <v>12.884600000000001</v>
      </c>
      <c r="F1639" s="61">
        <v>12.9955</v>
      </c>
      <c r="H1639" s="62" t="s">
        <v>3579</v>
      </c>
      <c r="I1639" s="58">
        <f t="shared" si="105"/>
        <v>45074</v>
      </c>
      <c r="J1639" s="60">
        <f t="shared" si="104"/>
        <v>2023</v>
      </c>
      <c r="K1639" s="63" t="s">
        <v>362</v>
      </c>
      <c r="L1639" s="63" t="s">
        <v>362</v>
      </c>
      <c r="M1639" s="64">
        <v>17.825199999999999</v>
      </c>
    </row>
    <row r="1640" spans="1:13">
      <c r="A1640" s="65" t="s">
        <v>3580</v>
      </c>
      <c r="B1640" s="66">
        <f t="shared" si="102"/>
        <v>40327</v>
      </c>
      <c r="C1640" s="67">
        <f t="shared" si="103"/>
        <v>2010</v>
      </c>
      <c r="D1640" s="70" t="s">
        <v>362</v>
      </c>
      <c r="E1640" s="70" t="s">
        <v>362</v>
      </c>
      <c r="F1640" s="68">
        <v>12.884600000000001</v>
      </c>
      <c r="H1640" s="69" t="s">
        <v>3581</v>
      </c>
      <c r="I1640" s="66">
        <f t="shared" si="105"/>
        <v>45075</v>
      </c>
      <c r="J1640" s="70">
        <f t="shared" si="104"/>
        <v>2023</v>
      </c>
      <c r="K1640" s="71">
        <v>17.560500000000001</v>
      </c>
      <c r="L1640" s="71">
        <v>17.6723</v>
      </c>
      <c r="M1640" s="71">
        <v>17.825199999999999</v>
      </c>
    </row>
    <row r="1641" spans="1:13">
      <c r="A1641" s="57" t="s">
        <v>3582</v>
      </c>
      <c r="B1641" s="58">
        <f t="shared" si="102"/>
        <v>40328</v>
      </c>
      <c r="C1641" s="59">
        <f t="shared" si="103"/>
        <v>2010</v>
      </c>
      <c r="D1641" s="60" t="s">
        <v>362</v>
      </c>
      <c r="E1641" s="60" t="s">
        <v>362</v>
      </c>
      <c r="F1641" s="61">
        <v>12.884600000000001</v>
      </c>
      <c r="H1641" s="62" t="s">
        <v>3583</v>
      </c>
      <c r="I1641" s="58">
        <f t="shared" si="105"/>
        <v>45076</v>
      </c>
      <c r="J1641" s="60">
        <f t="shared" si="104"/>
        <v>2023</v>
      </c>
      <c r="K1641" s="64">
        <v>17.653199999999998</v>
      </c>
      <c r="L1641" s="64">
        <v>17.560500000000001</v>
      </c>
      <c r="M1641" s="64">
        <v>17.6723</v>
      </c>
    </row>
    <row r="1642" spans="1:13">
      <c r="A1642" s="65" t="s">
        <v>3584</v>
      </c>
      <c r="B1642" s="66">
        <f t="shared" si="102"/>
        <v>40329</v>
      </c>
      <c r="C1642" s="67">
        <f t="shared" si="103"/>
        <v>2010</v>
      </c>
      <c r="D1642" s="68">
        <v>12.9146</v>
      </c>
      <c r="E1642" s="68">
        <v>12.8589</v>
      </c>
      <c r="F1642" s="68">
        <v>12.884600000000001</v>
      </c>
      <c r="H1642" s="69" t="s">
        <v>3585</v>
      </c>
      <c r="I1642" s="66">
        <f t="shared" si="105"/>
        <v>45077</v>
      </c>
      <c r="J1642" s="70">
        <f t="shared" si="104"/>
        <v>2023</v>
      </c>
      <c r="K1642" s="71">
        <v>17.741800000000001</v>
      </c>
      <c r="L1642" s="71">
        <v>17.653199999999998</v>
      </c>
      <c r="M1642" s="71">
        <v>17.560500000000001</v>
      </c>
    </row>
    <row r="1643" spans="1:13">
      <c r="A1643" s="57" t="s">
        <v>3586</v>
      </c>
      <c r="B1643" s="58">
        <f t="shared" si="102"/>
        <v>40330</v>
      </c>
      <c r="C1643" s="59">
        <f t="shared" si="103"/>
        <v>2010</v>
      </c>
      <c r="D1643" s="61">
        <v>12.901199999999999</v>
      </c>
      <c r="E1643" s="61">
        <v>12.9146</v>
      </c>
      <c r="F1643" s="61">
        <v>12.8589</v>
      </c>
      <c r="H1643" s="62" t="s">
        <v>3587</v>
      </c>
      <c r="I1643" s="58">
        <f t="shared" si="105"/>
        <v>45078</v>
      </c>
      <c r="J1643" s="60">
        <f t="shared" si="104"/>
        <v>2023</v>
      </c>
      <c r="K1643" s="64">
        <v>17.567299999999999</v>
      </c>
      <c r="L1643" s="64">
        <v>17.741800000000001</v>
      </c>
      <c r="M1643" s="64">
        <v>17.653199999999998</v>
      </c>
    </row>
    <row r="1644" spans="1:13">
      <c r="A1644" s="65" t="s">
        <v>3588</v>
      </c>
      <c r="B1644" s="66">
        <f t="shared" si="102"/>
        <v>40331</v>
      </c>
      <c r="C1644" s="67">
        <f t="shared" si="103"/>
        <v>2010</v>
      </c>
      <c r="D1644" s="68">
        <v>12.862500000000001</v>
      </c>
      <c r="E1644" s="68">
        <v>12.901199999999999</v>
      </c>
      <c r="F1644" s="68">
        <v>12.9146</v>
      </c>
      <c r="H1644" s="69" t="s">
        <v>3589</v>
      </c>
      <c r="I1644" s="66">
        <f t="shared" si="105"/>
        <v>45079</v>
      </c>
      <c r="J1644" s="70">
        <f t="shared" si="104"/>
        <v>2023</v>
      </c>
      <c r="K1644" s="71">
        <v>17.5063</v>
      </c>
      <c r="L1644" s="71">
        <v>17.567299999999999</v>
      </c>
      <c r="M1644" s="71">
        <v>17.741800000000001</v>
      </c>
    </row>
    <row r="1645" spans="1:13">
      <c r="A1645" s="57" t="s">
        <v>3590</v>
      </c>
      <c r="B1645" s="58">
        <f t="shared" si="102"/>
        <v>40332</v>
      </c>
      <c r="C1645" s="59">
        <f t="shared" si="103"/>
        <v>2010</v>
      </c>
      <c r="D1645" s="61">
        <v>12.7644</v>
      </c>
      <c r="E1645" s="61">
        <v>12.862500000000001</v>
      </c>
      <c r="F1645" s="61">
        <v>12.901199999999999</v>
      </c>
      <c r="H1645" s="62" t="s">
        <v>3591</v>
      </c>
      <c r="I1645" s="58">
        <f t="shared" si="105"/>
        <v>45080</v>
      </c>
      <c r="J1645" s="60">
        <f t="shared" si="104"/>
        <v>2023</v>
      </c>
      <c r="K1645" s="63" t="s">
        <v>362</v>
      </c>
      <c r="L1645" s="63" t="s">
        <v>362</v>
      </c>
      <c r="M1645" s="64">
        <v>17.567299999999999</v>
      </c>
    </row>
    <row r="1646" spans="1:13">
      <c r="A1646" s="65" t="s">
        <v>3592</v>
      </c>
      <c r="B1646" s="66">
        <f t="shared" si="102"/>
        <v>40333</v>
      </c>
      <c r="C1646" s="67">
        <f t="shared" si="103"/>
        <v>2010</v>
      </c>
      <c r="D1646" s="68">
        <v>12.860300000000001</v>
      </c>
      <c r="E1646" s="68">
        <v>12.7644</v>
      </c>
      <c r="F1646" s="68">
        <v>12.862500000000001</v>
      </c>
      <c r="H1646" s="69" t="s">
        <v>3593</v>
      </c>
      <c r="I1646" s="66">
        <f t="shared" si="105"/>
        <v>45081</v>
      </c>
      <c r="J1646" s="70">
        <f t="shared" si="104"/>
        <v>2023</v>
      </c>
      <c r="K1646" s="72" t="s">
        <v>362</v>
      </c>
      <c r="L1646" s="72" t="s">
        <v>362</v>
      </c>
      <c r="M1646" s="71">
        <v>17.567299999999999</v>
      </c>
    </row>
    <row r="1647" spans="1:13">
      <c r="A1647" s="57" t="s">
        <v>3594</v>
      </c>
      <c r="B1647" s="58">
        <f t="shared" si="102"/>
        <v>40334</v>
      </c>
      <c r="C1647" s="59">
        <f t="shared" si="103"/>
        <v>2010</v>
      </c>
      <c r="D1647" s="60" t="s">
        <v>362</v>
      </c>
      <c r="E1647" s="60" t="s">
        <v>362</v>
      </c>
      <c r="F1647" s="61">
        <v>12.7644</v>
      </c>
      <c r="H1647" s="62" t="s">
        <v>3595</v>
      </c>
      <c r="I1647" s="58">
        <f t="shared" si="105"/>
        <v>45082</v>
      </c>
      <c r="J1647" s="60">
        <f t="shared" si="104"/>
        <v>2023</v>
      </c>
      <c r="K1647" s="64">
        <v>17.473199999999999</v>
      </c>
      <c r="L1647" s="64">
        <v>17.5063</v>
      </c>
      <c r="M1647" s="64">
        <v>17.567299999999999</v>
      </c>
    </row>
    <row r="1648" spans="1:13">
      <c r="A1648" s="65" t="s">
        <v>3596</v>
      </c>
      <c r="B1648" s="66">
        <f t="shared" si="102"/>
        <v>40335</v>
      </c>
      <c r="C1648" s="67">
        <f t="shared" si="103"/>
        <v>2010</v>
      </c>
      <c r="D1648" s="70" t="s">
        <v>362</v>
      </c>
      <c r="E1648" s="70" t="s">
        <v>362</v>
      </c>
      <c r="F1648" s="68">
        <v>12.7644</v>
      </c>
      <c r="H1648" s="69" t="s">
        <v>3597</v>
      </c>
      <c r="I1648" s="66">
        <f t="shared" si="105"/>
        <v>45083</v>
      </c>
      <c r="J1648" s="70">
        <f t="shared" si="104"/>
        <v>2023</v>
      </c>
      <c r="K1648" s="71">
        <v>17.4192</v>
      </c>
      <c r="L1648" s="71">
        <v>17.473199999999999</v>
      </c>
      <c r="M1648" s="71">
        <v>17.5063</v>
      </c>
    </row>
    <row r="1649" spans="1:13">
      <c r="A1649" s="57" t="s">
        <v>3598</v>
      </c>
      <c r="B1649" s="58">
        <f t="shared" si="102"/>
        <v>40336</v>
      </c>
      <c r="C1649" s="59">
        <f t="shared" si="103"/>
        <v>2010</v>
      </c>
      <c r="D1649" s="61">
        <v>12.920199999999999</v>
      </c>
      <c r="E1649" s="61">
        <v>12.860300000000001</v>
      </c>
      <c r="F1649" s="61">
        <v>12.7644</v>
      </c>
      <c r="H1649" s="62" t="s">
        <v>3599</v>
      </c>
      <c r="I1649" s="58">
        <f t="shared" si="105"/>
        <v>45084</v>
      </c>
      <c r="J1649" s="60">
        <f t="shared" si="104"/>
        <v>2023</v>
      </c>
      <c r="K1649" s="64">
        <v>17.360800000000001</v>
      </c>
      <c r="L1649" s="64">
        <v>17.4192</v>
      </c>
      <c r="M1649" s="64">
        <v>17.473199999999999</v>
      </c>
    </row>
    <row r="1650" spans="1:13">
      <c r="A1650" s="65" t="s">
        <v>3600</v>
      </c>
      <c r="B1650" s="66">
        <f t="shared" si="102"/>
        <v>40337</v>
      </c>
      <c r="C1650" s="67">
        <f t="shared" si="103"/>
        <v>2010</v>
      </c>
      <c r="D1650" s="68">
        <v>12.928800000000001</v>
      </c>
      <c r="E1650" s="68">
        <v>12.920199999999999</v>
      </c>
      <c r="F1650" s="68">
        <v>12.860300000000001</v>
      </c>
      <c r="H1650" s="69" t="s">
        <v>3601</v>
      </c>
      <c r="I1650" s="66">
        <f t="shared" si="105"/>
        <v>45085</v>
      </c>
      <c r="J1650" s="70">
        <f t="shared" si="104"/>
        <v>2023</v>
      </c>
      <c r="K1650" s="71">
        <v>17.4085</v>
      </c>
      <c r="L1650" s="71">
        <v>17.360800000000001</v>
      </c>
      <c r="M1650" s="71">
        <v>17.4192</v>
      </c>
    </row>
    <row r="1651" spans="1:13">
      <c r="A1651" s="57" t="s">
        <v>3602</v>
      </c>
      <c r="B1651" s="58">
        <f t="shared" si="102"/>
        <v>40338</v>
      </c>
      <c r="C1651" s="59">
        <f t="shared" si="103"/>
        <v>2010</v>
      </c>
      <c r="D1651" s="61">
        <v>12.8093</v>
      </c>
      <c r="E1651" s="61">
        <v>12.928800000000001</v>
      </c>
      <c r="F1651" s="61">
        <v>12.920199999999999</v>
      </c>
      <c r="H1651" s="62" t="s">
        <v>3603</v>
      </c>
      <c r="I1651" s="58">
        <f t="shared" si="105"/>
        <v>45086</v>
      </c>
      <c r="J1651" s="60">
        <f t="shared" si="104"/>
        <v>2023</v>
      </c>
      <c r="K1651" s="64">
        <v>17.283999999999999</v>
      </c>
      <c r="L1651" s="64">
        <v>17.4085</v>
      </c>
      <c r="M1651" s="64">
        <v>17.360800000000001</v>
      </c>
    </row>
    <row r="1652" spans="1:13">
      <c r="A1652" s="65" t="s">
        <v>3604</v>
      </c>
      <c r="B1652" s="66">
        <f t="shared" si="102"/>
        <v>40339</v>
      </c>
      <c r="C1652" s="67">
        <f t="shared" si="103"/>
        <v>2010</v>
      </c>
      <c r="D1652" s="68">
        <v>12.7441</v>
      </c>
      <c r="E1652" s="68">
        <v>12.8093</v>
      </c>
      <c r="F1652" s="68">
        <v>12.928800000000001</v>
      </c>
      <c r="H1652" s="69" t="s">
        <v>3605</v>
      </c>
      <c r="I1652" s="66">
        <f t="shared" si="105"/>
        <v>45087</v>
      </c>
      <c r="J1652" s="70">
        <f t="shared" si="104"/>
        <v>2023</v>
      </c>
      <c r="K1652" s="72" t="s">
        <v>362</v>
      </c>
      <c r="L1652" s="72" t="s">
        <v>362</v>
      </c>
      <c r="M1652" s="71">
        <v>17.4085</v>
      </c>
    </row>
    <row r="1653" spans="1:13">
      <c r="A1653" s="57" t="s">
        <v>3606</v>
      </c>
      <c r="B1653" s="58">
        <f t="shared" si="102"/>
        <v>40340</v>
      </c>
      <c r="C1653" s="59">
        <f t="shared" si="103"/>
        <v>2010</v>
      </c>
      <c r="D1653" s="61">
        <v>12.674799999999999</v>
      </c>
      <c r="E1653" s="61">
        <v>12.7441</v>
      </c>
      <c r="F1653" s="61">
        <v>12.8093</v>
      </c>
      <c r="H1653" s="62" t="s">
        <v>3607</v>
      </c>
      <c r="I1653" s="58">
        <f t="shared" si="105"/>
        <v>45088</v>
      </c>
      <c r="J1653" s="60">
        <f t="shared" si="104"/>
        <v>2023</v>
      </c>
      <c r="K1653" s="63" t="s">
        <v>362</v>
      </c>
      <c r="L1653" s="63" t="s">
        <v>362</v>
      </c>
      <c r="M1653" s="64">
        <v>17.4085</v>
      </c>
    </row>
    <row r="1654" spans="1:13">
      <c r="A1654" s="65" t="s">
        <v>3608</v>
      </c>
      <c r="B1654" s="66">
        <f t="shared" si="102"/>
        <v>40341</v>
      </c>
      <c r="C1654" s="67">
        <f t="shared" si="103"/>
        <v>2010</v>
      </c>
      <c r="D1654" s="70" t="s">
        <v>362</v>
      </c>
      <c r="E1654" s="70" t="s">
        <v>362</v>
      </c>
      <c r="F1654" s="68">
        <v>12.7441</v>
      </c>
      <c r="H1654" s="69" t="s">
        <v>3609</v>
      </c>
      <c r="I1654" s="66">
        <f t="shared" si="105"/>
        <v>45089</v>
      </c>
      <c r="J1654" s="70">
        <f t="shared" si="104"/>
        <v>2023</v>
      </c>
      <c r="K1654" s="71">
        <v>17.312000000000001</v>
      </c>
      <c r="L1654" s="71">
        <v>17.283999999999999</v>
      </c>
      <c r="M1654" s="71">
        <v>17.4085</v>
      </c>
    </row>
    <row r="1655" spans="1:13">
      <c r="A1655" s="57" t="s">
        <v>3610</v>
      </c>
      <c r="B1655" s="58">
        <f t="shared" si="102"/>
        <v>40342</v>
      </c>
      <c r="C1655" s="59">
        <f t="shared" si="103"/>
        <v>2010</v>
      </c>
      <c r="D1655" s="60" t="s">
        <v>362</v>
      </c>
      <c r="E1655" s="60" t="s">
        <v>362</v>
      </c>
      <c r="F1655" s="61">
        <v>12.7441</v>
      </c>
      <c r="H1655" s="62" t="s">
        <v>3611</v>
      </c>
      <c r="I1655" s="58">
        <f t="shared" si="105"/>
        <v>45090</v>
      </c>
      <c r="J1655" s="60">
        <f t="shared" si="104"/>
        <v>2023</v>
      </c>
      <c r="K1655" s="64">
        <v>17.218499999999999</v>
      </c>
      <c r="L1655" s="64">
        <v>17.312000000000001</v>
      </c>
      <c r="M1655" s="64">
        <v>17.283999999999999</v>
      </c>
    </row>
    <row r="1656" spans="1:13">
      <c r="A1656" s="65" t="s">
        <v>3612</v>
      </c>
      <c r="B1656" s="66">
        <f t="shared" si="102"/>
        <v>40343</v>
      </c>
      <c r="C1656" s="67">
        <f t="shared" si="103"/>
        <v>2010</v>
      </c>
      <c r="D1656" s="68">
        <v>12.5974</v>
      </c>
      <c r="E1656" s="68">
        <v>12.674799999999999</v>
      </c>
      <c r="F1656" s="68">
        <v>12.7441</v>
      </c>
      <c r="H1656" s="69" t="s">
        <v>3613</v>
      </c>
      <c r="I1656" s="66">
        <f t="shared" si="105"/>
        <v>45091</v>
      </c>
      <c r="J1656" s="70">
        <f t="shared" si="104"/>
        <v>2023</v>
      </c>
      <c r="K1656" s="71">
        <v>17.124700000000001</v>
      </c>
      <c r="L1656" s="71">
        <v>17.218499999999999</v>
      </c>
      <c r="M1656" s="71">
        <v>17.312000000000001</v>
      </c>
    </row>
    <row r="1657" spans="1:13">
      <c r="A1657" s="57" t="s">
        <v>3614</v>
      </c>
      <c r="B1657" s="58">
        <f t="shared" si="102"/>
        <v>40344</v>
      </c>
      <c r="C1657" s="59">
        <f t="shared" si="103"/>
        <v>2010</v>
      </c>
      <c r="D1657" s="61">
        <v>12.600099999999999</v>
      </c>
      <c r="E1657" s="61">
        <v>12.5974</v>
      </c>
      <c r="F1657" s="61">
        <v>12.674799999999999</v>
      </c>
      <c r="H1657" s="62" t="s">
        <v>3615</v>
      </c>
      <c r="I1657" s="58">
        <f t="shared" si="105"/>
        <v>45092</v>
      </c>
      <c r="J1657" s="60">
        <f t="shared" si="104"/>
        <v>2023</v>
      </c>
      <c r="K1657" s="64">
        <v>17.176200000000001</v>
      </c>
      <c r="L1657" s="64">
        <v>17.124700000000001</v>
      </c>
      <c r="M1657" s="64">
        <v>17.218499999999999</v>
      </c>
    </row>
    <row r="1658" spans="1:13">
      <c r="A1658" s="65" t="s">
        <v>3616</v>
      </c>
      <c r="B1658" s="66">
        <f t="shared" si="102"/>
        <v>40345</v>
      </c>
      <c r="C1658" s="67">
        <f t="shared" si="103"/>
        <v>2010</v>
      </c>
      <c r="D1658" s="68">
        <v>12.5878</v>
      </c>
      <c r="E1658" s="68">
        <v>12.600099999999999</v>
      </c>
      <c r="F1658" s="68">
        <v>12.5974</v>
      </c>
      <c r="H1658" s="69" t="s">
        <v>3617</v>
      </c>
      <c r="I1658" s="66">
        <f t="shared" si="105"/>
        <v>45093</v>
      </c>
      <c r="J1658" s="70">
        <f t="shared" si="104"/>
        <v>2023</v>
      </c>
      <c r="K1658" s="71">
        <v>17.0792</v>
      </c>
      <c r="L1658" s="71">
        <v>17.176200000000001</v>
      </c>
      <c r="M1658" s="71">
        <v>17.124700000000001</v>
      </c>
    </row>
    <row r="1659" spans="1:13">
      <c r="A1659" s="57" t="s">
        <v>3618</v>
      </c>
      <c r="B1659" s="58">
        <f t="shared" si="102"/>
        <v>40346</v>
      </c>
      <c r="C1659" s="59">
        <f t="shared" si="103"/>
        <v>2010</v>
      </c>
      <c r="D1659" s="61">
        <v>12.592499999999999</v>
      </c>
      <c r="E1659" s="61">
        <v>12.5878</v>
      </c>
      <c r="F1659" s="61">
        <v>12.600099999999999</v>
      </c>
      <c r="H1659" s="62" t="s">
        <v>3619</v>
      </c>
      <c r="I1659" s="58">
        <f t="shared" si="105"/>
        <v>45094</v>
      </c>
      <c r="J1659" s="60">
        <f t="shared" si="104"/>
        <v>2023</v>
      </c>
      <c r="K1659" s="63" t="s">
        <v>362</v>
      </c>
      <c r="L1659" s="63" t="s">
        <v>362</v>
      </c>
      <c r="M1659" s="64">
        <v>17.176200000000001</v>
      </c>
    </row>
    <row r="1660" spans="1:13">
      <c r="A1660" s="65" t="s">
        <v>3620</v>
      </c>
      <c r="B1660" s="66">
        <f t="shared" si="102"/>
        <v>40347</v>
      </c>
      <c r="C1660" s="67">
        <f t="shared" si="103"/>
        <v>2010</v>
      </c>
      <c r="D1660" s="68">
        <v>12.54</v>
      </c>
      <c r="E1660" s="68">
        <v>12.592499999999999</v>
      </c>
      <c r="F1660" s="68">
        <v>12.5878</v>
      </c>
      <c r="H1660" s="69" t="s">
        <v>3621</v>
      </c>
      <c r="I1660" s="66">
        <f t="shared" si="105"/>
        <v>45095</v>
      </c>
      <c r="J1660" s="70">
        <f t="shared" si="104"/>
        <v>2023</v>
      </c>
      <c r="K1660" s="72" t="s">
        <v>362</v>
      </c>
      <c r="L1660" s="72" t="s">
        <v>362</v>
      </c>
      <c r="M1660" s="71">
        <v>17.176200000000001</v>
      </c>
    </row>
    <row r="1661" spans="1:13">
      <c r="A1661" s="57" t="s">
        <v>3622</v>
      </c>
      <c r="B1661" s="58">
        <f t="shared" si="102"/>
        <v>40348</v>
      </c>
      <c r="C1661" s="59">
        <f t="shared" si="103"/>
        <v>2010</v>
      </c>
      <c r="D1661" s="60" t="s">
        <v>362</v>
      </c>
      <c r="E1661" s="60" t="s">
        <v>362</v>
      </c>
      <c r="F1661" s="61">
        <v>12.592499999999999</v>
      </c>
      <c r="H1661" s="62" t="s">
        <v>3623</v>
      </c>
      <c r="I1661" s="58">
        <f t="shared" si="105"/>
        <v>45096</v>
      </c>
      <c r="J1661" s="60">
        <f t="shared" si="104"/>
        <v>2023</v>
      </c>
      <c r="K1661" s="64">
        <v>17.0945</v>
      </c>
      <c r="L1661" s="64">
        <v>17.0792</v>
      </c>
      <c r="M1661" s="64">
        <v>17.176200000000001</v>
      </c>
    </row>
    <row r="1662" spans="1:13">
      <c r="A1662" s="65" t="s">
        <v>3624</v>
      </c>
      <c r="B1662" s="66">
        <f t="shared" si="102"/>
        <v>40349</v>
      </c>
      <c r="C1662" s="67">
        <f t="shared" si="103"/>
        <v>2010</v>
      </c>
      <c r="D1662" s="70" t="s">
        <v>362</v>
      </c>
      <c r="E1662" s="70" t="s">
        <v>362</v>
      </c>
      <c r="F1662" s="68">
        <v>12.592499999999999</v>
      </c>
      <c r="H1662" s="69" t="s">
        <v>3625</v>
      </c>
      <c r="I1662" s="66">
        <f t="shared" si="105"/>
        <v>45097</v>
      </c>
      <c r="J1662" s="70">
        <f t="shared" si="104"/>
        <v>2023</v>
      </c>
      <c r="K1662" s="71">
        <v>17.2043</v>
      </c>
      <c r="L1662" s="71">
        <v>17.0945</v>
      </c>
      <c r="M1662" s="71">
        <v>17.0792</v>
      </c>
    </row>
    <row r="1663" spans="1:13">
      <c r="A1663" s="57" t="s">
        <v>3626</v>
      </c>
      <c r="B1663" s="58">
        <f t="shared" si="102"/>
        <v>40350</v>
      </c>
      <c r="C1663" s="59">
        <f t="shared" si="103"/>
        <v>2010</v>
      </c>
      <c r="D1663" s="61">
        <v>12.4604</v>
      </c>
      <c r="E1663" s="61">
        <v>12.54</v>
      </c>
      <c r="F1663" s="61">
        <v>12.592499999999999</v>
      </c>
      <c r="H1663" s="62" t="s">
        <v>3627</v>
      </c>
      <c r="I1663" s="58">
        <f t="shared" si="105"/>
        <v>45098</v>
      </c>
      <c r="J1663" s="60">
        <f t="shared" si="104"/>
        <v>2023</v>
      </c>
      <c r="K1663" s="64">
        <v>17.154699999999998</v>
      </c>
      <c r="L1663" s="64">
        <v>17.2043</v>
      </c>
      <c r="M1663" s="64">
        <v>17.0945</v>
      </c>
    </row>
    <row r="1664" spans="1:13">
      <c r="A1664" s="65" t="s">
        <v>3628</v>
      </c>
      <c r="B1664" s="66">
        <f t="shared" si="102"/>
        <v>40351</v>
      </c>
      <c r="C1664" s="67">
        <f t="shared" si="103"/>
        <v>2010</v>
      </c>
      <c r="D1664" s="68">
        <v>12.5246</v>
      </c>
      <c r="E1664" s="68">
        <v>12.4604</v>
      </c>
      <c r="F1664" s="68">
        <v>12.54</v>
      </c>
      <c r="H1664" s="69" t="s">
        <v>3629</v>
      </c>
      <c r="I1664" s="66">
        <f t="shared" si="105"/>
        <v>45099</v>
      </c>
      <c r="J1664" s="70">
        <f t="shared" si="104"/>
        <v>2023</v>
      </c>
      <c r="K1664" s="71">
        <v>17.171299999999999</v>
      </c>
      <c r="L1664" s="71">
        <v>17.154699999999998</v>
      </c>
      <c r="M1664" s="71">
        <v>17.2043</v>
      </c>
    </row>
    <row r="1665" spans="1:13">
      <c r="A1665" s="57" t="s">
        <v>3630</v>
      </c>
      <c r="B1665" s="58">
        <f t="shared" si="102"/>
        <v>40352</v>
      </c>
      <c r="C1665" s="59">
        <f t="shared" si="103"/>
        <v>2010</v>
      </c>
      <c r="D1665" s="61">
        <v>12.698399999999999</v>
      </c>
      <c r="E1665" s="61">
        <v>12.5246</v>
      </c>
      <c r="F1665" s="61">
        <v>12.4604</v>
      </c>
      <c r="H1665" s="62" t="s">
        <v>3631</v>
      </c>
      <c r="I1665" s="58">
        <f t="shared" si="105"/>
        <v>45100</v>
      </c>
      <c r="J1665" s="60">
        <f t="shared" si="104"/>
        <v>2023</v>
      </c>
      <c r="K1665" s="64">
        <v>17.179500000000001</v>
      </c>
      <c r="L1665" s="64">
        <v>17.171299999999999</v>
      </c>
      <c r="M1665" s="64">
        <v>17.154699999999998</v>
      </c>
    </row>
    <row r="1666" spans="1:13">
      <c r="A1666" s="65" t="s">
        <v>3632</v>
      </c>
      <c r="B1666" s="66">
        <f t="shared" si="102"/>
        <v>40353</v>
      </c>
      <c r="C1666" s="67">
        <f t="shared" si="103"/>
        <v>2010</v>
      </c>
      <c r="D1666" s="68">
        <v>12.7141</v>
      </c>
      <c r="E1666" s="68">
        <v>12.698399999999999</v>
      </c>
      <c r="F1666" s="68">
        <v>12.5246</v>
      </c>
      <c r="H1666" s="69" t="s">
        <v>3633</v>
      </c>
      <c r="I1666" s="66">
        <f t="shared" si="105"/>
        <v>45101</v>
      </c>
      <c r="J1666" s="70">
        <f t="shared" si="104"/>
        <v>2023</v>
      </c>
      <c r="K1666" s="72" t="s">
        <v>362</v>
      </c>
      <c r="L1666" s="72" t="s">
        <v>362</v>
      </c>
      <c r="M1666" s="71">
        <v>17.171299999999999</v>
      </c>
    </row>
    <row r="1667" spans="1:13">
      <c r="A1667" s="57" t="s">
        <v>3634</v>
      </c>
      <c r="B1667" s="58">
        <f t="shared" si="102"/>
        <v>40354</v>
      </c>
      <c r="C1667" s="59">
        <f t="shared" si="103"/>
        <v>2010</v>
      </c>
      <c r="D1667" s="61">
        <v>12.7042</v>
      </c>
      <c r="E1667" s="61">
        <v>12.7141</v>
      </c>
      <c r="F1667" s="61">
        <v>12.698399999999999</v>
      </c>
      <c r="H1667" s="62" t="s">
        <v>3635</v>
      </c>
      <c r="I1667" s="58">
        <f t="shared" si="105"/>
        <v>45102</v>
      </c>
      <c r="J1667" s="60">
        <f t="shared" si="104"/>
        <v>2023</v>
      </c>
      <c r="K1667" s="63" t="s">
        <v>362</v>
      </c>
      <c r="L1667" s="63" t="s">
        <v>362</v>
      </c>
      <c r="M1667" s="64">
        <v>17.171299999999999</v>
      </c>
    </row>
    <row r="1668" spans="1:13">
      <c r="A1668" s="65" t="s">
        <v>3636</v>
      </c>
      <c r="B1668" s="66">
        <f t="shared" si="102"/>
        <v>40355</v>
      </c>
      <c r="C1668" s="67">
        <f t="shared" si="103"/>
        <v>2010</v>
      </c>
      <c r="D1668" s="70" t="s">
        <v>362</v>
      </c>
      <c r="E1668" s="70" t="s">
        <v>362</v>
      </c>
      <c r="F1668" s="68">
        <v>12.7141</v>
      </c>
      <c r="H1668" s="69" t="s">
        <v>3637</v>
      </c>
      <c r="I1668" s="66">
        <f t="shared" si="105"/>
        <v>45103</v>
      </c>
      <c r="J1668" s="70">
        <f t="shared" si="104"/>
        <v>2023</v>
      </c>
      <c r="K1668" s="71">
        <v>17.144500000000001</v>
      </c>
      <c r="L1668" s="71">
        <v>17.179500000000001</v>
      </c>
      <c r="M1668" s="71">
        <v>17.171299999999999</v>
      </c>
    </row>
    <row r="1669" spans="1:13">
      <c r="A1669" s="57" t="s">
        <v>3638</v>
      </c>
      <c r="B1669" s="58">
        <f t="shared" si="102"/>
        <v>40356</v>
      </c>
      <c r="C1669" s="59">
        <f t="shared" si="103"/>
        <v>2010</v>
      </c>
      <c r="D1669" s="60" t="s">
        <v>362</v>
      </c>
      <c r="E1669" s="60" t="s">
        <v>362</v>
      </c>
      <c r="F1669" s="61">
        <v>12.7141</v>
      </c>
      <c r="H1669" s="62" t="s">
        <v>3639</v>
      </c>
      <c r="I1669" s="58">
        <f t="shared" si="105"/>
        <v>45104</v>
      </c>
      <c r="J1669" s="60">
        <f t="shared" si="104"/>
        <v>2023</v>
      </c>
      <c r="K1669" s="64">
        <v>17.101299999999998</v>
      </c>
      <c r="L1669" s="64">
        <v>17.144500000000001</v>
      </c>
      <c r="M1669" s="64">
        <v>17.179500000000001</v>
      </c>
    </row>
    <row r="1670" spans="1:13">
      <c r="A1670" s="65" t="s">
        <v>3640</v>
      </c>
      <c r="B1670" s="66">
        <f t="shared" si="102"/>
        <v>40357</v>
      </c>
      <c r="C1670" s="67">
        <f t="shared" si="103"/>
        <v>2010</v>
      </c>
      <c r="D1670" s="68">
        <v>12.656700000000001</v>
      </c>
      <c r="E1670" s="68">
        <v>12.7042</v>
      </c>
      <c r="F1670" s="68">
        <v>12.7141</v>
      </c>
      <c r="H1670" s="69" t="s">
        <v>3641</v>
      </c>
      <c r="I1670" s="66">
        <f t="shared" si="105"/>
        <v>45105</v>
      </c>
      <c r="J1670" s="70">
        <f t="shared" si="104"/>
        <v>2023</v>
      </c>
      <c r="K1670" s="71">
        <v>17.071999999999999</v>
      </c>
      <c r="L1670" s="71">
        <v>17.101299999999998</v>
      </c>
      <c r="M1670" s="71">
        <v>17.144500000000001</v>
      </c>
    </row>
    <row r="1671" spans="1:13">
      <c r="A1671" s="57" t="s">
        <v>3642</v>
      </c>
      <c r="B1671" s="58">
        <f t="shared" si="102"/>
        <v>40358</v>
      </c>
      <c r="C1671" s="59">
        <f t="shared" si="103"/>
        <v>2010</v>
      </c>
      <c r="D1671" s="61">
        <v>12.839399999999999</v>
      </c>
      <c r="E1671" s="61">
        <v>12.656700000000001</v>
      </c>
      <c r="F1671" s="61">
        <v>12.7042</v>
      </c>
      <c r="H1671" s="62" t="s">
        <v>3643</v>
      </c>
      <c r="I1671" s="58">
        <f t="shared" si="105"/>
        <v>45106</v>
      </c>
      <c r="J1671" s="60">
        <f t="shared" si="104"/>
        <v>2023</v>
      </c>
      <c r="K1671" s="64">
        <v>17.1187</v>
      </c>
      <c r="L1671" s="64">
        <v>17.071999999999999</v>
      </c>
      <c r="M1671" s="64">
        <v>17.101299999999998</v>
      </c>
    </row>
    <row r="1672" spans="1:13">
      <c r="A1672" s="65" t="s">
        <v>3644</v>
      </c>
      <c r="B1672" s="66">
        <f t="shared" si="102"/>
        <v>40359</v>
      </c>
      <c r="C1672" s="67">
        <f t="shared" si="103"/>
        <v>2010</v>
      </c>
      <c r="D1672" s="68">
        <v>12.844099999999999</v>
      </c>
      <c r="E1672" s="68">
        <v>12.839399999999999</v>
      </c>
      <c r="F1672" s="68">
        <v>12.656700000000001</v>
      </c>
      <c r="H1672" s="69" t="s">
        <v>3645</v>
      </c>
      <c r="I1672" s="66">
        <f t="shared" si="105"/>
        <v>45107</v>
      </c>
      <c r="J1672" s="70">
        <f t="shared" si="104"/>
        <v>2023</v>
      </c>
      <c r="K1672" s="71">
        <v>17.1358</v>
      </c>
      <c r="L1672" s="71">
        <v>17.1187</v>
      </c>
      <c r="M1672" s="71">
        <v>17.071999999999999</v>
      </c>
    </row>
    <row r="1673" spans="1:13">
      <c r="A1673" s="57" t="s">
        <v>3646</v>
      </c>
      <c r="B1673" s="58">
        <f t="shared" si="102"/>
        <v>40360</v>
      </c>
      <c r="C1673" s="59">
        <f t="shared" si="103"/>
        <v>2010</v>
      </c>
      <c r="D1673" s="61">
        <v>13.032500000000001</v>
      </c>
      <c r="E1673" s="61">
        <v>12.844099999999999</v>
      </c>
      <c r="F1673" s="61">
        <v>12.839399999999999</v>
      </c>
      <c r="H1673" s="62" t="s">
        <v>3647</v>
      </c>
      <c r="I1673" s="58">
        <f t="shared" si="105"/>
        <v>45108</v>
      </c>
      <c r="J1673" s="60">
        <f t="shared" si="104"/>
        <v>2023</v>
      </c>
      <c r="K1673" s="63" t="s">
        <v>362</v>
      </c>
      <c r="L1673" s="63" t="s">
        <v>362</v>
      </c>
      <c r="M1673" s="64">
        <v>17.1187</v>
      </c>
    </row>
    <row r="1674" spans="1:13">
      <c r="A1674" s="65" t="s">
        <v>3648</v>
      </c>
      <c r="B1674" s="66">
        <f t="shared" si="102"/>
        <v>40361</v>
      </c>
      <c r="C1674" s="67">
        <f t="shared" si="103"/>
        <v>2010</v>
      </c>
      <c r="D1674" s="68">
        <v>13.058999999999999</v>
      </c>
      <c r="E1674" s="68">
        <v>13.032500000000001</v>
      </c>
      <c r="F1674" s="68">
        <v>12.844099999999999</v>
      </c>
      <c r="H1674" s="69" t="s">
        <v>3649</v>
      </c>
      <c r="I1674" s="66">
        <f t="shared" si="105"/>
        <v>45109</v>
      </c>
      <c r="J1674" s="70">
        <f t="shared" si="104"/>
        <v>2023</v>
      </c>
      <c r="K1674" s="72" t="s">
        <v>362</v>
      </c>
      <c r="L1674" s="72" t="s">
        <v>362</v>
      </c>
      <c r="M1674" s="71">
        <v>17.1187</v>
      </c>
    </row>
    <row r="1675" spans="1:13">
      <c r="A1675" s="57" t="s">
        <v>3650</v>
      </c>
      <c r="B1675" s="58">
        <f t="shared" si="102"/>
        <v>40362</v>
      </c>
      <c r="C1675" s="59">
        <f t="shared" si="103"/>
        <v>2010</v>
      </c>
      <c r="D1675" s="60" t="s">
        <v>362</v>
      </c>
      <c r="E1675" s="60" t="s">
        <v>362</v>
      </c>
      <c r="F1675" s="61">
        <v>13.032500000000001</v>
      </c>
      <c r="H1675" s="62" t="s">
        <v>3651</v>
      </c>
      <c r="I1675" s="58">
        <f t="shared" si="105"/>
        <v>45110</v>
      </c>
      <c r="J1675" s="60">
        <f t="shared" si="104"/>
        <v>2023</v>
      </c>
      <c r="K1675" s="64">
        <v>17.0517</v>
      </c>
      <c r="L1675" s="64">
        <v>17.1358</v>
      </c>
      <c r="M1675" s="64">
        <v>17.1187</v>
      </c>
    </row>
    <row r="1676" spans="1:13">
      <c r="A1676" s="65" t="s">
        <v>3652</v>
      </c>
      <c r="B1676" s="66">
        <f t="shared" si="102"/>
        <v>40363</v>
      </c>
      <c r="C1676" s="67">
        <f t="shared" si="103"/>
        <v>2010</v>
      </c>
      <c r="D1676" s="70" t="s">
        <v>362</v>
      </c>
      <c r="E1676" s="70" t="s">
        <v>362</v>
      </c>
      <c r="F1676" s="68">
        <v>13.032500000000001</v>
      </c>
      <c r="H1676" s="69" t="s">
        <v>3653</v>
      </c>
      <c r="I1676" s="66">
        <f t="shared" si="105"/>
        <v>45111</v>
      </c>
      <c r="J1676" s="70">
        <f t="shared" si="104"/>
        <v>2023</v>
      </c>
      <c r="K1676" s="71">
        <v>17.026</v>
      </c>
      <c r="L1676" s="71">
        <v>17.0517</v>
      </c>
      <c r="M1676" s="71">
        <v>17.1358</v>
      </c>
    </row>
    <row r="1677" spans="1:13">
      <c r="A1677" s="57" t="s">
        <v>3654</v>
      </c>
      <c r="B1677" s="58">
        <f t="shared" si="102"/>
        <v>40364</v>
      </c>
      <c r="C1677" s="59">
        <f t="shared" si="103"/>
        <v>2010</v>
      </c>
      <c r="D1677" s="61">
        <v>13.0953</v>
      </c>
      <c r="E1677" s="61">
        <v>13.058999999999999</v>
      </c>
      <c r="F1677" s="61">
        <v>13.032500000000001</v>
      </c>
      <c r="H1677" s="62" t="s">
        <v>3655</v>
      </c>
      <c r="I1677" s="58">
        <f t="shared" si="105"/>
        <v>45112</v>
      </c>
      <c r="J1677" s="60">
        <f t="shared" si="104"/>
        <v>2023</v>
      </c>
      <c r="K1677" s="64">
        <v>17.004000000000001</v>
      </c>
      <c r="L1677" s="64">
        <v>17.026</v>
      </c>
      <c r="M1677" s="64">
        <v>17.0517</v>
      </c>
    </row>
    <row r="1678" spans="1:13">
      <c r="A1678" s="65" t="s">
        <v>3656</v>
      </c>
      <c r="B1678" s="66">
        <f t="shared" si="102"/>
        <v>40365</v>
      </c>
      <c r="C1678" s="67">
        <f t="shared" si="103"/>
        <v>2010</v>
      </c>
      <c r="D1678" s="68">
        <v>12.9308</v>
      </c>
      <c r="E1678" s="68">
        <v>13.0953</v>
      </c>
      <c r="F1678" s="68">
        <v>13.058999999999999</v>
      </c>
      <c r="H1678" s="69" t="s">
        <v>3657</v>
      </c>
      <c r="I1678" s="66">
        <f t="shared" si="105"/>
        <v>45113</v>
      </c>
      <c r="J1678" s="70">
        <f t="shared" si="104"/>
        <v>2023</v>
      </c>
      <c r="K1678" s="71">
        <v>17.282499999999999</v>
      </c>
      <c r="L1678" s="71">
        <v>17.004000000000001</v>
      </c>
      <c r="M1678" s="71">
        <v>17.026</v>
      </c>
    </row>
    <row r="1679" spans="1:13">
      <c r="A1679" s="57" t="s">
        <v>3658</v>
      </c>
      <c r="B1679" s="58">
        <f t="shared" si="102"/>
        <v>40366</v>
      </c>
      <c r="C1679" s="59">
        <f t="shared" si="103"/>
        <v>2010</v>
      </c>
      <c r="D1679" s="61">
        <v>12.897500000000001</v>
      </c>
      <c r="E1679" s="61">
        <v>12.9308</v>
      </c>
      <c r="F1679" s="61">
        <v>13.0953</v>
      </c>
      <c r="H1679" s="62" t="s">
        <v>3659</v>
      </c>
      <c r="I1679" s="58">
        <f t="shared" si="105"/>
        <v>45114</v>
      </c>
      <c r="J1679" s="60">
        <f t="shared" si="104"/>
        <v>2023</v>
      </c>
      <c r="K1679" s="64">
        <v>17.101199999999999</v>
      </c>
      <c r="L1679" s="64">
        <v>17.282499999999999</v>
      </c>
      <c r="M1679" s="64">
        <v>17.004000000000001</v>
      </c>
    </row>
    <row r="1680" spans="1:13">
      <c r="A1680" s="65" t="s">
        <v>3660</v>
      </c>
      <c r="B1680" s="66">
        <f t="shared" si="102"/>
        <v>40367</v>
      </c>
      <c r="C1680" s="67">
        <f t="shared" si="103"/>
        <v>2010</v>
      </c>
      <c r="D1680" s="68">
        <v>12.8232</v>
      </c>
      <c r="E1680" s="68">
        <v>12.897500000000001</v>
      </c>
      <c r="F1680" s="68">
        <v>12.9308</v>
      </c>
      <c r="H1680" s="69" t="s">
        <v>3661</v>
      </c>
      <c r="I1680" s="66">
        <f t="shared" si="105"/>
        <v>45115</v>
      </c>
      <c r="J1680" s="70">
        <f t="shared" si="104"/>
        <v>2023</v>
      </c>
      <c r="K1680" s="72" t="s">
        <v>362</v>
      </c>
      <c r="L1680" s="72" t="s">
        <v>362</v>
      </c>
      <c r="M1680" s="71">
        <v>17.282499999999999</v>
      </c>
    </row>
    <row r="1681" spans="1:13">
      <c r="A1681" s="57" t="s">
        <v>3662</v>
      </c>
      <c r="B1681" s="58">
        <f t="shared" si="102"/>
        <v>40368</v>
      </c>
      <c r="C1681" s="59">
        <f t="shared" si="103"/>
        <v>2010</v>
      </c>
      <c r="D1681" s="61">
        <v>12.7859</v>
      </c>
      <c r="E1681" s="61">
        <v>12.8232</v>
      </c>
      <c r="F1681" s="61">
        <v>12.897500000000001</v>
      </c>
      <c r="H1681" s="62" t="s">
        <v>3663</v>
      </c>
      <c r="I1681" s="58">
        <f t="shared" si="105"/>
        <v>45116</v>
      </c>
      <c r="J1681" s="60">
        <f t="shared" si="104"/>
        <v>2023</v>
      </c>
      <c r="K1681" s="63" t="s">
        <v>362</v>
      </c>
      <c r="L1681" s="63" t="s">
        <v>362</v>
      </c>
      <c r="M1681" s="64">
        <v>17.282499999999999</v>
      </c>
    </row>
    <row r="1682" spans="1:13">
      <c r="A1682" s="65" t="s">
        <v>3664</v>
      </c>
      <c r="B1682" s="66">
        <f t="shared" si="102"/>
        <v>40369</v>
      </c>
      <c r="C1682" s="67">
        <f t="shared" si="103"/>
        <v>2010</v>
      </c>
      <c r="D1682" s="70" t="s">
        <v>362</v>
      </c>
      <c r="E1682" s="70" t="s">
        <v>362</v>
      </c>
      <c r="F1682" s="68">
        <v>12.8232</v>
      </c>
      <c r="H1682" s="69" t="s">
        <v>3665</v>
      </c>
      <c r="I1682" s="66">
        <f t="shared" si="105"/>
        <v>45117</v>
      </c>
      <c r="J1682" s="70">
        <f t="shared" si="104"/>
        <v>2023</v>
      </c>
      <c r="K1682" s="71">
        <v>17.060500000000001</v>
      </c>
      <c r="L1682" s="71">
        <v>17.101199999999999</v>
      </c>
      <c r="M1682" s="71">
        <v>17.282499999999999</v>
      </c>
    </row>
    <row r="1683" spans="1:13">
      <c r="A1683" s="57" t="s">
        <v>3666</v>
      </c>
      <c r="B1683" s="58">
        <f t="shared" si="102"/>
        <v>40370</v>
      </c>
      <c r="C1683" s="59">
        <f t="shared" si="103"/>
        <v>2010</v>
      </c>
      <c r="D1683" s="60" t="s">
        <v>362</v>
      </c>
      <c r="E1683" s="60" t="s">
        <v>362</v>
      </c>
      <c r="F1683" s="61">
        <v>12.8232</v>
      </c>
      <c r="H1683" s="62" t="s">
        <v>3667</v>
      </c>
      <c r="I1683" s="58">
        <f t="shared" si="105"/>
        <v>45118</v>
      </c>
      <c r="J1683" s="60">
        <f t="shared" si="104"/>
        <v>2023</v>
      </c>
      <c r="K1683" s="64">
        <v>17.078299999999999</v>
      </c>
      <c r="L1683" s="64">
        <v>17.060500000000001</v>
      </c>
      <c r="M1683" s="64">
        <v>17.101199999999999</v>
      </c>
    </row>
    <row r="1684" spans="1:13">
      <c r="A1684" s="65" t="s">
        <v>3668</v>
      </c>
      <c r="B1684" s="66">
        <f t="shared" si="102"/>
        <v>40371</v>
      </c>
      <c r="C1684" s="67">
        <f t="shared" si="103"/>
        <v>2010</v>
      </c>
      <c r="D1684" s="68">
        <v>12.8233</v>
      </c>
      <c r="E1684" s="68">
        <v>12.7859</v>
      </c>
      <c r="F1684" s="68">
        <v>12.8232</v>
      </c>
      <c r="H1684" s="69" t="s">
        <v>3669</v>
      </c>
      <c r="I1684" s="66">
        <f t="shared" si="105"/>
        <v>45119</v>
      </c>
      <c r="J1684" s="70">
        <f t="shared" si="104"/>
        <v>2023</v>
      </c>
      <c r="K1684" s="71">
        <v>16.8537</v>
      </c>
      <c r="L1684" s="71">
        <v>17.078299999999999</v>
      </c>
      <c r="M1684" s="71">
        <v>17.060500000000001</v>
      </c>
    </row>
    <row r="1685" spans="1:13">
      <c r="A1685" s="57" t="s">
        <v>3670</v>
      </c>
      <c r="B1685" s="58">
        <f t="shared" si="102"/>
        <v>40372</v>
      </c>
      <c r="C1685" s="59">
        <f t="shared" si="103"/>
        <v>2010</v>
      </c>
      <c r="D1685" s="61">
        <v>12.714</v>
      </c>
      <c r="E1685" s="61">
        <v>12.8233</v>
      </c>
      <c r="F1685" s="61">
        <v>12.7859</v>
      </c>
      <c r="H1685" s="62" t="s">
        <v>3671</v>
      </c>
      <c r="I1685" s="58">
        <f t="shared" si="105"/>
        <v>45120</v>
      </c>
      <c r="J1685" s="60">
        <f t="shared" si="104"/>
        <v>2023</v>
      </c>
      <c r="K1685" s="64">
        <v>16.890499999999999</v>
      </c>
      <c r="L1685" s="64">
        <v>16.8537</v>
      </c>
      <c r="M1685" s="64">
        <v>17.078299999999999</v>
      </c>
    </row>
    <row r="1686" spans="1:13">
      <c r="A1686" s="65" t="s">
        <v>3672</v>
      </c>
      <c r="B1686" s="66">
        <f t="shared" si="102"/>
        <v>40373</v>
      </c>
      <c r="C1686" s="67">
        <f t="shared" si="103"/>
        <v>2010</v>
      </c>
      <c r="D1686" s="68">
        <v>12.717599999999999</v>
      </c>
      <c r="E1686" s="68">
        <v>12.714</v>
      </c>
      <c r="F1686" s="68">
        <v>12.8233</v>
      </c>
      <c r="H1686" s="69" t="s">
        <v>3673</v>
      </c>
      <c r="I1686" s="66">
        <f t="shared" si="105"/>
        <v>45121</v>
      </c>
      <c r="J1686" s="70">
        <f t="shared" si="104"/>
        <v>2023</v>
      </c>
      <c r="K1686" s="71">
        <v>16.789200000000001</v>
      </c>
      <c r="L1686" s="71">
        <v>16.890499999999999</v>
      </c>
      <c r="M1686" s="71">
        <v>16.8537</v>
      </c>
    </row>
    <row r="1687" spans="1:13">
      <c r="A1687" s="57" t="s">
        <v>3674</v>
      </c>
      <c r="B1687" s="58">
        <f t="shared" si="102"/>
        <v>40374</v>
      </c>
      <c r="C1687" s="59">
        <f t="shared" si="103"/>
        <v>2010</v>
      </c>
      <c r="D1687" s="61">
        <v>12.779500000000001</v>
      </c>
      <c r="E1687" s="61">
        <v>12.717599999999999</v>
      </c>
      <c r="F1687" s="61">
        <v>12.714</v>
      </c>
      <c r="H1687" s="62" t="s">
        <v>3675</v>
      </c>
      <c r="I1687" s="58">
        <f t="shared" si="105"/>
        <v>45122</v>
      </c>
      <c r="J1687" s="60">
        <f t="shared" si="104"/>
        <v>2023</v>
      </c>
      <c r="K1687" s="63" t="s">
        <v>362</v>
      </c>
      <c r="L1687" s="63" t="s">
        <v>362</v>
      </c>
      <c r="M1687" s="64">
        <v>16.890499999999999</v>
      </c>
    </row>
    <row r="1688" spans="1:13">
      <c r="A1688" s="65" t="s">
        <v>3676</v>
      </c>
      <c r="B1688" s="66">
        <f t="shared" si="102"/>
        <v>40375</v>
      </c>
      <c r="C1688" s="67">
        <f t="shared" si="103"/>
        <v>2010</v>
      </c>
      <c r="D1688" s="68">
        <v>12.901300000000001</v>
      </c>
      <c r="E1688" s="68">
        <v>12.779500000000001</v>
      </c>
      <c r="F1688" s="68">
        <v>12.717599999999999</v>
      </c>
      <c r="H1688" s="69" t="s">
        <v>3677</v>
      </c>
      <c r="I1688" s="66">
        <f t="shared" si="105"/>
        <v>45123</v>
      </c>
      <c r="J1688" s="70">
        <f t="shared" si="104"/>
        <v>2023</v>
      </c>
      <c r="K1688" s="72" t="s">
        <v>362</v>
      </c>
      <c r="L1688" s="72" t="s">
        <v>362</v>
      </c>
      <c r="M1688" s="71">
        <v>16.890499999999999</v>
      </c>
    </row>
    <row r="1689" spans="1:13">
      <c r="A1689" s="57" t="s">
        <v>3678</v>
      </c>
      <c r="B1689" s="58">
        <f t="shared" si="102"/>
        <v>40376</v>
      </c>
      <c r="C1689" s="59">
        <f t="shared" si="103"/>
        <v>2010</v>
      </c>
      <c r="D1689" s="60" t="s">
        <v>362</v>
      </c>
      <c r="E1689" s="60" t="s">
        <v>362</v>
      </c>
      <c r="F1689" s="61">
        <v>12.779500000000001</v>
      </c>
      <c r="H1689" s="62" t="s">
        <v>3679</v>
      </c>
      <c r="I1689" s="58">
        <f t="shared" si="105"/>
        <v>45124</v>
      </c>
      <c r="J1689" s="60">
        <f t="shared" si="104"/>
        <v>2023</v>
      </c>
      <c r="K1689" s="64">
        <v>16.785799999999998</v>
      </c>
      <c r="L1689" s="64">
        <v>16.789200000000001</v>
      </c>
      <c r="M1689" s="64">
        <v>16.890499999999999</v>
      </c>
    </row>
    <row r="1690" spans="1:13">
      <c r="A1690" s="65" t="s">
        <v>3680</v>
      </c>
      <c r="B1690" s="66">
        <f t="shared" si="102"/>
        <v>40377</v>
      </c>
      <c r="C1690" s="67">
        <f t="shared" si="103"/>
        <v>2010</v>
      </c>
      <c r="D1690" s="70" t="s">
        <v>362</v>
      </c>
      <c r="E1690" s="70" t="s">
        <v>362</v>
      </c>
      <c r="F1690" s="68">
        <v>12.779500000000001</v>
      </c>
      <c r="H1690" s="69" t="s">
        <v>3681</v>
      </c>
      <c r="I1690" s="66">
        <f t="shared" si="105"/>
        <v>45125</v>
      </c>
      <c r="J1690" s="70">
        <f t="shared" si="104"/>
        <v>2023</v>
      </c>
      <c r="K1690" s="71">
        <v>16.748000000000001</v>
      </c>
      <c r="L1690" s="71">
        <v>16.785799999999998</v>
      </c>
      <c r="M1690" s="71">
        <v>16.789200000000001</v>
      </c>
    </row>
    <row r="1691" spans="1:13">
      <c r="A1691" s="57" t="s">
        <v>3682</v>
      </c>
      <c r="B1691" s="58">
        <f t="shared" si="102"/>
        <v>40378</v>
      </c>
      <c r="C1691" s="59">
        <f t="shared" si="103"/>
        <v>2010</v>
      </c>
      <c r="D1691" s="61">
        <v>12.9162</v>
      </c>
      <c r="E1691" s="61">
        <v>12.901300000000001</v>
      </c>
      <c r="F1691" s="61">
        <v>12.779500000000001</v>
      </c>
      <c r="H1691" s="62" t="s">
        <v>3683</v>
      </c>
      <c r="I1691" s="58">
        <f t="shared" si="105"/>
        <v>45126</v>
      </c>
      <c r="J1691" s="60">
        <f t="shared" si="104"/>
        <v>2023</v>
      </c>
      <c r="K1691" s="64">
        <v>16.7667</v>
      </c>
      <c r="L1691" s="64">
        <v>16.748000000000001</v>
      </c>
      <c r="M1691" s="64">
        <v>16.785799999999998</v>
      </c>
    </row>
    <row r="1692" spans="1:13">
      <c r="A1692" s="65" t="s">
        <v>3684</v>
      </c>
      <c r="B1692" s="66">
        <f t="shared" si="102"/>
        <v>40379</v>
      </c>
      <c r="C1692" s="67">
        <f t="shared" si="103"/>
        <v>2010</v>
      </c>
      <c r="D1692" s="68">
        <v>12.854900000000001</v>
      </c>
      <c r="E1692" s="68">
        <v>12.9162</v>
      </c>
      <c r="F1692" s="68">
        <v>12.901300000000001</v>
      </c>
      <c r="H1692" s="69" t="s">
        <v>3685</v>
      </c>
      <c r="I1692" s="66">
        <f t="shared" si="105"/>
        <v>45127</v>
      </c>
      <c r="J1692" s="70">
        <f t="shared" si="104"/>
        <v>2023</v>
      </c>
      <c r="K1692" s="71">
        <v>16.846</v>
      </c>
      <c r="L1692" s="71">
        <v>16.7667</v>
      </c>
      <c r="M1692" s="71">
        <v>16.748000000000001</v>
      </c>
    </row>
    <row r="1693" spans="1:13">
      <c r="A1693" s="57" t="s">
        <v>3686</v>
      </c>
      <c r="B1693" s="58">
        <f t="shared" si="102"/>
        <v>40380</v>
      </c>
      <c r="C1693" s="59">
        <f t="shared" si="103"/>
        <v>2010</v>
      </c>
      <c r="D1693" s="61">
        <v>12.7798</v>
      </c>
      <c r="E1693" s="61">
        <v>12.854900000000001</v>
      </c>
      <c r="F1693" s="61">
        <v>12.9162</v>
      </c>
      <c r="H1693" s="62" t="s">
        <v>3687</v>
      </c>
      <c r="I1693" s="58">
        <f t="shared" si="105"/>
        <v>45128</v>
      </c>
      <c r="J1693" s="60">
        <f t="shared" si="104"/>
        <v>2023</v>
      </c>
      <c r="K1693" s="64">
        <v>16.939299999999999</v>
      </c>
      <c r="L1693" s="64">
        <v>16.846</v>
      </c>
      <c r="M1693" s="64">
        <v>16.7667</v>
      </c>
    </row>
    <row r="1694" spans="1:13">
      <c r="A1694" s="65" t="s">
        <v>3688</v>
      </c>
      <c r="B1694" s="66">
        <f t="shared" si="102"/>
        <v>40381</v>
      </c>
      <c r="C1694" s="67">
        <f t="shared" si="103"/>
        <v>2010</v>
      </c>
      <c r="D1694" s="68">
        <v>12.756</v>
      </c>
      <c r="E1694" s="68">
        <v>12.7798</v>
      </c>
      <c r="F1694" s="68">
        <v>12.854900000000001</v>
      </c>
      <c r="H1694" s="69" t="s">
        <v>3689</v>
      </c>
      <c r="I1694" s="66">
        <f t="shared" si="105"/>
        <v>45129</v>
      </c>
      <c r="J1694" s="70">
        <f t="shared" si="104"/>
        <v>2023</v>
      </c>
      <c r="K1694" s="72" t="s">
        <v>362</v>
      </c>
      <c r="L1694" s="72" t="s">
        <v>362</v>
      </c>
      <c r="M1694" s="71">
        <v>16.846</v>
      </c>
    </row>
    <row r="1695" spans="1:13">
      <c r="A1695" s="57" t="s">
        <v>3690</v>
      </c>
      <c r="B1695" s="58">
        <f t="shared" ref="B1695:B1758" si="106">DATE(RIGHT(A1695,4),LEFT(RIGHT(A1695,7),2),LEFT(A1695,2))</f>
        <v>40382</v>
      </c>
      <c r="C1695" s="59">
        <f t="shared" ref="C1695:C1758" si="107">YEAR(B1695)</f>
        <v>2010</v>
      </c>
      <c r="D1695" s="61">
        <v>12.774900000000001</v>
      </c>
      <c r="E1695" s="61">
        <v>12.756</v>
      </c>
      <c r="F1695" s="61">
        <v>12.7798</v>
      </c>
      <c r="H1695" s="62" t="s">
        <v>3691</v>
      </c>
      <c r="I1695" s="58">
        <f t="shared" si="105"/>
        <v>45130</v>
      </c>
      <c r="J1695" s="60">
        <f t="shared" ref="J1695:J1758" si="108">YEAR(I1695)</f>
        <v>2023</v>
      </c>
      <c r="K1695" s="63" t="s">
        <v>362</v>
      </c>
      <c r="L1695" s="63" t="s">
        <v>362</v>
      </c>
      <c r="M1695" s="64">
        <v>16.846</v>
      </c>
    </row>
    <row r="1696" spans="1:13">
      <c r="A1696" s="65" t="s">
        <v>3692</v>
      </c>
      <c r="B1696" s="66">
        <f t="shared" si="106"/>
        <v>40383</v>
      </c>
      <c r="C1696" s="67">
        <f t="shared" si="107"/>
        <v>2010</v>
      </c>
      <c r="D1696" s="70" t="s">
        <v>362</v>
      </c>
      <c r="E1696" s="70" t="s">
        <v>362</v>
      </c>
      <c r="F1696" s="68">
        <v>12.756</v>
      </c>
      <c r="H1696" s="69" t="s">
        <v>3693</v>
      </c>
      <c r="I1696" s="66">
        <f t="shared" ref="I1696:I1759" si="109">DATE(RIGHT(H1696,4),LEFT(RIGHT(A1696,7),2),LEFT(A1696,2))</f>
        <v>45131</v>
      </c>
      <c r="J1696" s="70">
        <f t="shared" si="108"/>
        <v>2023</v>
      </c>
      <c r="K1696" s="71">
        <v>16.8367</v>
      </c>
      <c r="L1696" s="71">
        <v>16.939299999999999</v>
      </c>
      <c r="M1696" s="71">
        <v>16.846</v>
      </c>
    </row>
    <row r="1697" spans="1:13">
      <c r="A1697" s="57" t="s">
        <v>3694</v>
      </c>
      <c r="B1697" s="58">
        <f t="shared" si="106"/>
        <v>40384</v>
      </c>
      <c r="C1697" s="59">
        <f t="shared" si="107"/>
        <v>2010</v>
      </c>
      <c r="D1697" s="60" t="s">
        <v>362</v>
      </c>
      <c r="E1697" s="60" t="s">
        <v>362</v>
      </c>
      <c r="F1697" s="61">
        <v>12.756</v>
      </c>
      <c r="H1697" s="62" t="s">
        <v>3695</v>
      </c>
      <c r="I1697" s="58">
        <f t="shared" si="109"/>
        <v>45132</v>
      </c>
      <c r="J1697" s="60">
        <f t="shared" si="108"/>
        <v>2023</v>
      </c>
      <c r="K1697" s="64">
        <v>16.907499999999999</v>
      </c>
      <c r="L1697" s="64">
        <v>16.8367</v>
      </c>
      <c r="M1697" s="64">
        <v>16.939299999999999</v>
      </c>
    </row>
    <row r="1698" spans="1:13">
      <c r="A1698" s="65" t="s">
        <v>3696</v>
      </c>
      <c r="B1698" s="66">
        <f t="shared" si="106"/>
        <v>40385</v>
      </c>
      <c r="C1698" s="67">
        <f t="shared" si="107"/>
        <v>2010</v>
      </c>
      <c r="D1698" s="68">
        <v>12.6975</v>
      </c>
      <c r="E1698" s="68">
        <v>12.774900000000001</v>
      </c>
      <c r="F1698" s="68">
        <v>12.756</v>
      </c>
      <c r="H1698" s="69" t="s">
        <v>3697</v>
      </c>
      <c r="I1698" s="66">
        <f t="shared" si="109"/>
        <v>45133</v>
      </c>
      <c r="J1698" s="70">
        <f t="shared" si="108"/>
        <v>2023</v>
      </c>
      <c r="K1698" s="71">
        <v>16.8825</v>
      </c>
      <c r="L1698" s="71">
        <v>16.907499999999999</v>
      </c>
      <c r="M1698" s="71">
        <v>16.8367</v>
      </c>
    </row>
    <row r="1699" spans="1:13">
      <c r="A1699" s="57" t="s">
        <v>3698</v>
      </c>
      <c r="B1699" s="58">
        <f t="shared" si="106"/>
        <v>40386</v>
      </c>
      <c r="C1699" s="59">
        <f t="shared" si="107"/>
        <v>2010</v>
      </c>
      <c r="D1699" s="61">
        <v>12.6469</v>
      </c>
      <c r="E1699" s="61">
        <v>12.6975</v>
      </c>
      <c r="F1699" s="61">
        <v>12.774900000000001</v>
      </c>
      <c r="H1699" s="62" t="s">
        <v>3699</v>
      </c>
      <c r="I1699" s="58">
        <f t="shared" si="109"/>
        <v>45134</v>
      </c>
      <c r="J1699" s="60">
        <f t="shared" si="108"/>
        <v>2023</v>
      </c>
      <c r="K1699" s="64">
        <v>16.733799999999999</v>
      </c>
      <c r="L1699" s="64">
        <v>16.8825</v>
      </c>
      <c r="M1699" s="64">
        <v>16.907499999999999</v>
      </c>
    </row>
    <row r="1700" spans="1:13">
      <c r="A1700" s="65" t="s">
        <v>3700</v>
      </c>
      <c r="B1700" s="66">
        <f t="shared" si="106"/>
        <v>40387</v>
      </c>
      <c r="C1700" s="67">
        <f t="shared" si="107"/>
        <v>2010</v>
      </c>
      <c r="D1700" s="68">
        <v>12.6798</v>
      </c>
      <c r="E1700" s="68">
        <v>12.6469</v>
      </c>
      <c r="F1700" s="68">
        <v>12.6975</v>
      </c>
      <c r="H1700" s="69" t="s">
        <v>3701</v>
      </c>
      <c r="I1700" s="66">
        <f t="shared" si="109"/>
        <v>45135</v>
      </c>
      <c r="J1700" s="70">
        <f t="shared" si="108"/>
        <v>2023</v>
      </c>
      <c r="K1700" s="71">
        <v>16.689499999999999</v>
      </c>
      <c r="L1700" s="71">
        <v>16.733799999999999</v>
      </c>
      <c r="M1700" s="71">
        <v>16.8825</v>
      </c>
    </row>
    <row r="1701" spans="1:13">
      <c r="A1701" s="57" t="s">
        <v>3702</v>
      </c>
      <c r="B1701" s="58">
        <f t="shared" si="106"/>
        <v>40388</v>
      </c>
      <c r="C1701" s="59">
        <f t="shared" si="107"/>
        <v>2010</v>
      </c>
      <c r="D1701" s="61">
        <v>12.703799999999999</v>
      </c>
      <c r="E1701" s="61">
        <v>12.6798</v>
      </c>
      <c r="F1701" s="61">
        <v>12.6469</v>
      </c>
      <c r="H1701" s="62" t="s">
        <v>3703</v>
      </c>
      <c r="I1701" s="58">
        <f t="shared" si="109"/>
        <v>45136</v>
      </c>
      <c r="J1701" s="60">
        <f t="shared" si="108"/>
        <v>2023</v>
      </c>
      <c r="K1701" s="63" t="s">
        <v>362</v>
      </c>
      <c r="L1701" s="63" t="s">
        <v>362</v>
      </c>
      <c r="M1701" s="64">
        <v>16.733799999999999</v>
      </c>
    </row>
    <row r="1702" spans="1:13">
      <c r="A1702" s="65" t="s">
        <v>3704</v>
      </c>
      <c r="B1702" s="66">
        <f t="shared" si="106"/>
        <v>40389</v>
      </c>
      <c r="C1702" s="67">
        <f t="shared" si="107"/>
        <v>2010</v>
      </c>
      <c r="D1702" s="68">
        <v>12.6455</v>
      </c>
      <c r="E1702" s="68">
        <v>12.703799999999999</v>
      </c>
      <c r="F1702" s="68">
        <v>12.6798</v>
      </c>
      <c r="H1702" s="69" t="s">
        <v>3705</v>
      </c>
      <c r="I1702" s="66">
        <f t="shared" si="109"/>
        <v>45137</v>
      </c>
      <c r="J1702" s="70">
        <f t="shared" si="108"/>
        <v>2023</v>
      </c>
      <c r="K1702" s="72" t="s">
        <v>362</v>
      </c>
      <c r="L1702" s="72" t="s">
        <v>362</v>
      </c>
      <c r="M1702" s="71">
        <v>16.733799999999999</v>
      </c>
    </row>
    <row r="1703" spans="1:13">
      <c r="A1703" s="57" t="s">
        <v>3706</v>
      </c>
      <c r="B1703" s="58">
        <f t="shared" si="106"/>
        <v>40390</v>
      </c>
      <c r="C1703" s="59">
        <f t="shared" si="107"/>
        <v>2010</v>
      </c>
      <c r="D1703" s="60" t="s">
        <v>362</v>
      </c>
      <c r="E1703" s="60" t="s">
        <v>362</v>
      </c>
      <c r="F1703" s="61">
        <v>12.703799999999999</v>
      </c>
      <c r="H1703" s="62" t="s">
        <v>3707</v>
      </c>
      <c r="I1703" s="58">
        <f t="shared" si="109"/>
        <v>45138</v>
      </c>
      <c r="J1703" s="60">
        <f t="shared" si="108"/>
        <v>2023</v>
      </c>
      <c r="K1703" s="64">
        <v>16.7303</v>
      </c>
      <c r="L1703" s="64">
        <v>16.689499999999999</v>
      </c>
      <c r="M1703" s="64">
        <v>16.733799999999999</v>
      </c>
    </row>
    <row r="1704" spans="1:13">
      <c r="A1704" s="65" t="s">
        <v>3708</v>
      </c>
      <c r="B1704" s="66">
        <f t="shared" si="106"/>
        <v>40391</v>
      </c>
      <c r="C1704" s="67">
        <f t="shared" si="107"/>
        <v>2010</v>
      </c>
      <c r="D1704" s="70" t="s">
        <v>362</v>
      </c>
      <c r="E1704" s="70" t="s">
        <v>362</v>
      </c>
      <c r="F1704" s="68">
        <v>12.703799999999999</v>
      </c>
      <c r="H1704" s="69" t="s">
        <v>3709</v>
      </c>
      <c r="I1704" s="66">
        <f t="shared" si="109"/>
        <v>45139</v>
      </c>
      <c r="J1704" s="70">
        <f t="shared" si="108"/>
        <v>2023</v>
      </c>
      <c r="K1704" s="71">
        <v>16.853300000000001</v>
      </c>
      <c r="L1704" s="71">
        <v>16.7303</v>
      </c>
      <c r="M1704" s="71">
        <v>16.689499999999999</v>
      </c>
    </row>
    <row r="1705" spans="1:13">
      <c r="A1705" s="57" t="s">
        <v>3710</v>
      </c>
      <c r="B1705" s="58">
        <f t="shared" si="106"/>
        <v>40392</v>
      </c>
      <c r="C1705" s="59">
        <f t="shared" si="107"/>
        <v>2010</v>
      </c>
      <c r="D1705" s="61">
        <v>12.572800000000001</v>
      </c>
      <c r="E1705" s="61">
        <v>12.6455</v>
      </c>
      <c r="F1705" s="61">
        <v>12.703799999999999</v>
      </c>
      <c r="H1705" s="62" t="s">
        <v>3711</v>
      </c>
      <c r="I1705" s="58">
        <f t="shared" si="109"/>
        <v>45140</v>
      </c>
      <c r="J1705" s="60">
        <f t="shared" si="108"/>
        <v>2023</v>
      </c>
      <c r="K1705" s="64">
        <v>17.019300000000001</v>
      </c>
      <c r="L1705" s="64">
        <v>16.853300000000001</v>
      </c>
      <c r="M1705" s="64">
        <v>16.7303</v>
      </c>
    </row>
    <row r="1706" spans="1:13">
      <c r="A1706" s="65" t="s">
        <v>3712</v>
      </c>
      <c r="B1706" s="66">
        <f t="shared" si="106"/>
        <v>40393</v>
      </c>
      <c r="C1706" s="67">
        <f t="shared" si="107"/>
        <v>2010</v>
      </c>
      <c r="D1706" s="68">
        <v>12.604799999999999</v>
      </c>
      <c r="E1706" s="68">
        <v>12.572800000000001</v>
      </c>
      <c r="F1706" s="68">
        <v>12.6455</v>
      </c>
      <c r="H1706" s="69" t="s">
        <v>3713</v>
      </c>
      <c r="I1706" s="66">
        <f t="shared" si="109"/>
        <v>45141</v>
      </c>
      <c r="J1706" s="70">
        <f t="shared" si="108"/>
        <v>2023</v>
      </c>
      <c r="K1706" s="71">
        <v>17.289200000000001</v>
      </c>
      <c r="L1706" s="71">
        <v>17.019300000000001</v>
      </c>
      <c r="M1706" s="71">
        <v>16.853300000000001</v>
      </c>
    </row>
    <row r="1707" spans="1:13">
      <c r="A1707" s="57" t="s">
        <v>3714</v>
      </c>
      <c r="B1707" s="58">
        <f t="shared" si="106"/>
        <v>40394</v>
      </c>
      <c r="C1707" s="59">
        <f t="shared" si="107"/>
        <v>2010</v>
      </c>
      <c r="D1707" s="61">
        <v>12.5535</v>
      </c>
      <c r="E1707" s="61">
        <v>12.604799999999999</v>
      </c>
      <c r="F1707" s="61">
        <v>12.572800000000001</v>
      </c>
      <c r="H1707" s="62" t="s">
        <v>3715</v>
      </c>
      <c r="I1707" s="58">
        <f t="shared" si="109"/>
        <v>45142</v>
      </c>
      <c r="J1707" s="60">
        <f t="shared" si="108"/>
        <v>2023</v>
      </c>
      <c r="K1707" s="64">
        <v>17.055499999999999</v>
      </c>
      <c r="L1707" s="64">
        <v>17.289200000000001</v>
      </c>
      <c r="M1707" s="64">
        <v>17.019300000000001</v>
      </c>
    </row>
    <row r="1708" spans="1:13">
      <c r="A1708" s="65" t="s">
        <v>3716</v>
      </c>
      <c r="B1708" s="66">
        <f t="shared" si="106"/>
        <v>40395</v>
      </c>
      <c r="C1708" s="67">
        <f t="shared" si="107"/>
        <v>2010</v>
      </c>
      <c r="D1708" s="68">
        <v>12.5367</v>
      </c>
      <c r="E1708" s="68">
        <v>12.5535</v>
      </c>
      <c r="F1708" s="68">
        <v>12.604799999999999</v>
      </c>
      <c r="H1708" s="69" t="s">
        <v>3717</v>
      </c>
      <c r="I1708" s="66">
        <f t="shared" si="109"/>
        <v>45143</v>
      </c>
      <c r="J1708" s="70">
        <f t="shared" si="108"/>
        <v>2023</v>
      </c>
      <c r="K1708" s="72" t="s">
        <v>362</v>
      </c>
      <c r="L1708" s="72" t="s">
        <v>362</v>
      </c>
      <c r="M1708" s="71">
        <v>17.289200000000001</v>
      </c>
    </row>
    <row r="1709" spans="1:13">
      <c r="A1709" s="57" t="s">
        <v>3718</v>
      </c>
      <c r="B1709" s="58">
        <f t="shared" si="106"/>
        <v>40396</v>
      </c>
      <c r="C1709" s="59">
        <f t="shared" si="107"/>
        <v>2010</v>
      </c>
      <c r="D1709" s="61">
        <v>12.654999999999999</v>
      </c>
      <c r="E1709" s="61">
        <v>12.5367</v>
      </c>
      <c r="F1709" s="61">
        <v>12.5535</v>
      </c>
      <c r="H1709" s="62" t="s">
        <v>3719</v>
      </c>
      <c r="I1709" s="58">
        <f t="shared" si="109"/>
        <v>45144</v>
      </c>
      <c r="J1709" s="60">
        <f t="shared" si="108"/>
        <v>2023</v>
      </c>
      <c r="K1709" s="63" t="s">
        <v>362</v>
      </c>
      <c r="L1709" s="63" t="s">
        <v>362</v>
      </c>
      <c r="M1709" s="64">
        <v>17.289200000000001</v>
      </c>
    </row>
    <row r="1710" spans="1:13">
      <c r="A1710" s="65" t="s">
        <v>3720</v>
      </c>
      <c r="B1710" s="66">
        <f t="shared" si="106"/>
        <v>40397</v>
      </c>
      <c r="C1710" s="67">
        <f t="shared" si="107"/>
        <v>2010</v>
      </c>
      <c r="D1710" s="70" t="s">
        <v>362</v>
      </c>
      <c r="E1710" s="70" t="s">
        <v>362</v>
      </c>
      <c r="F1710" s="68">
        <v>12.5367</v>
      </c>
      <c r="H1710" s="69" t="s">
        <v>3721</v>
      </c>
      <c r="I1710" s="66">
        <f t="shared" si="109"/>
        <v>45145</v>
      </c>
      <c r="J1710" s="70">
        <f t="shared" si="108"/>
        <v>2023</v>
      </c>
      <c r="K1710" s="71">
        <v>17.0608</v>
      </c>
      <c r="L1710" s="71">
        <v>17.055499999999999</v>
      </c>
      <c r="M1710" s="71">
        <v>17.289200000000001</v>
      </c>
    </row>
    <row r="1711" spans="1:13">
      <c r="A1711" s="57" t="s">
        <v>3722</v>
      </c>
      <c r="B1711" s="58">
        <f t="shared" si="106"/>
        <v>40398</v>
      </c>
      <c r="C1711" s="59">
        <f t="shared" si="107"/>
        <v>2010</v>
      </c>
      <c r="D1711" s="60" t="s">
        <v>362</v>
      </c>
      <c r="E1711" s="60" t="s">
        <v>362</v>
      </c>
      <c r="F1711" s="61">
        <v>12.5367</v>
      </c>
      <c r="H1711" s="62" t="s">
        <v>3723</v>
      </c>
      <c r="I1711" s="58">
        <f t="shared" si="109"/>
        <v>45146</v>
      </c>
      <c r="J1711" s="60">
        <f t="shared" si="108"/>
        <v>2023</v>
      </c>
      <c r="K1711" s="64">
        <v>17.112200000000001</v>
      </c>
      <c r="L1711" s="64">
        <v>17.0608</v>
      </c>
      <c r="M1711" s="64">
        <v>17.055499999999999</v>
      </c>
    </row>
    <row r="1712" spans="1:13">
      <c r="A1712" s="65" t="s">
        <v>3724</v>
      </c>
      <c r="B1712" s="66">
        <f t="shared" si="106"/>
        <v>40399</v>
      </c>
      <c r="C1712" s="67">
        <f t="shared" si="107"/>
        <v>2010</v>
      </c>
      <c r="D1712" s="68">
        <v>12.646100000000001</v>
      </c>
      <c r="E1712" s="68">
        <v>12.654999999999999</v>
      </c>
      <c r="F1712" s="68">
        <v>12.5367</v>
      </c>
      <c r="H1712" s="69" t="s">
        <v>3725</v>
      </c>
      <c r="I1712" s="66">
        <f t="shared" si="109"/>
        <v>45147</v>
      </c>
      <c r="J1712" s="70">
        <f t="shared" si="108"/>
        <v>2023</v>
      </c>
      <c r="K1712" s="71">
        <v>17.076699999999999</v>
      </c>
      <c r="L1712" s="71">
        <v>17.112200000000001</v>
      </c>
      <c r="M1712" s="71">
        <v>17.0608</v>
      </c>
    </row>
    <row r="1713" spans="1:13">
      <c r="A1713" s="57" t="s">
        <v>3726</v>
      </c>
      <c r="B1713" s="58">
        <f t="shared" si="106"/>
        <v>40400</v>
      </c>
      <c r="C1713" s="59">
        <f t="shared" si="107"/>
        <v>2010</v>
      </c>
      <c r="D1713" s="61">
        <v>12.6927</v>
      </c>
      <c r="E1713" s="61">
        <v>12.646100000000001</v>
      </c>
      <c r="F1713" s="61">
        <v>12.654999999999999</v>
      </c>
      <c r="H1713" s="62" t="s">
        <v>3727</v>
      </c>
      <c r="I1713" s="58">
        <f t="shared" si="109"/>
        <v>45148</v>
      </c>
      <c r="J1713" s="60">
        <f t="shared" si="108"/>
        <v>2023</v>
      </c>
      <c r="K1713" s="64">
        <v>16.954799999999999</v>
      </c>
      <c r="L1713" s="64">
        <v>17.076699999999999</v>
      </c>
      <c r="M1713" s="64">
        <v>17.112200000000001</v>
      </c>
    </row>
    <row r="1714" spans="1:13">
      <c r="A1714" s="65" t="s">
        <v>3728</v>
      </c>
      <c r="B1714" s="66">
        <f t="shared" si="106"/>
        <v>40401</v>
      </c>
      <c r="C1714" s="67">
        <f t="shared" si="107"/>
        <v>2010</v>
      </c>
      <c r="D1714" s="68">
        <v>12.7432</v>
      </c>
      <c r="E1714" s="68">
        <v>12.6927</v>
      </c>
      <c r="F1714" s="68">
        <v>12.646100000000001</v>
      </c>
      <c r="H1714" s="69" t="s">
        <v>3729</v>
      </c>
      <c r="I1714" s="66">
        <f t="shared" si="109"/>
        <v>45149</v>
      </c>
      <c r="J1714" s="70">
        <f t="shared" si="108"/>
        <v>2023</v>
      </c>
      <c r="K1714" s="71">
        <v>17.0045</v>
      </c>
      <c r="L1714" s="71">
        <v>16.954799999999999</v>
      </c>
      <c r="M1714" s="71">
        <v>17.076699999999999</v>
      </c>
    </row>
    <row r="1715" spans="1:13">
      <c r="A1715" s="57" t="s">
        <v>3730</v>
      </c>
      <c r="B1715" s="58">
        <f t="shared" si="106"/>
        <v>40402</v>
      </c>
      <c r="C1715" s="59">
        <f t="shared" si="107"/>
        <v>2010</v>
      </c>
      <c r="D1715" s="61">
        <v>12.7258</v>
      </c>
      <c r="E1715" s="61">
        <v>12.7432</v>
      </c>
      <c r="F1715" s="61">
        <v>12.6927</v>
      </c>
      <c r="H1715" s="62" t="s">
        <v>3731</v>
      </c>
      <c r="I1715" s="58">
        <f t="shared" si="109"/>
        <v>45150</v>
      </c>
      <c r="J1715" s="60">
        <f t="shared" si="108"/>
        <v>2023</v>
      </c>
      <c r="K1715" s="63" t="s">
        <v>362</v>
      </c>
      <c r="L1715" s="63" t="s">
        <v>362</v>
      </c>
      <c r="M1715" s="64">
        <v>16.954799999999999</v>
      </c>
    </row>
    <row r="1716" spans="1:13">
      <c r="A1716" s="65" t="s">
        <v>3732</v>
      </c>
      <c r="B1716" s="66">
        <f t="shared" si="106"/>
        <v>40403</v>
      </c>
      <c r="C1716" s="67">
        <f t="shared" si="107"/>
        <v>2010</v>
      </c>
      <c r="D1716" s="68">
        <v>12.7256</v>
      </c>
      <c r="E1716" s="68">
        <v>12.7258</v>
      </c>
      <c r="F1716" s="68">
        <v>12.7432</v>
      </c>
      <c r="H1716" s="69" t="s">
        <v>3733</v>
      </c>
      <c r="I1716" s="66">
        <f t="shared" si="109"/>
        <v>45151</v>
      </c>
      <c r="J1716" s="70">
        <f t="shared" si="108"/>
        <v>2023</v>
      </c>
      <c r="K1716" s="72" t="s">
        <v>362</v>
      </c>
      <c r="L1716" s="72" t="s">
        <v>362</v>
      </c>
      <c r="M1716" s="71">
        <v>16.954799999999999</v>
      </c>
    </row>
    <row r="1717" spans="1:13">
      <c r="A1717" s="57" t="s">
        <v>3734</v>
      </c>
      <c r="B1717" s="58">
        <f t="shared" si="106"/>
        <v>40404</v>
      </c>
      <c r="C1717" s="59">
        <f t="shared" si="107"/>
        <v>2010</v>
      </c>
      <c r="D1717" s="60" t="s">
        <v>362</v>
      </c>
      <c r="E1717" s="60" t="s">
        <v>362</v>
      </c>
      <c r="F1717" s="61">
        <v>12.7258</v>
      </c>
      <c r="H1717" s="62" t="s">
        <v>3735</v>
      </c>
      <c r="I1717" s="58">
        <f t="shared" si="109"/>
        <v>45152</v>
      </c>
      <c r="J1717" s="60">
        <f t="shared" si="108"/>
        <v>2023</v>
      </c>
      <c r="K1717" s="64">
        <v>17.0672</v>
      </c>
      <c r="L1717" s="64">
        <v>17.0045</v>
      </c>
      <c r="M1717" s="64">
        <v>16.954799999999999</v>
      </c>
    </row>
    <row r="1718" spans="1:13">
      <c r="A1718" s="65" t="s">
        <v>3736</v>
      </c>
      <c r="B1718" s="66">
        <f t="shared" si="106"/>
        <v>40405</v>
      </c>
      <c r="C1718" s="67">
        <f t="shared" si="107"/>
        <v>2010</v>
      </c>
      <c r="D1718" s="70" t="s">
        <v>362</v>
      </c>
      <c r="E1718" s="70" t="s">
        <v>362</v>
      </c>
      <c r="F1718" s="68">
        <v>12.7258</v>
      </c>
      <c r="H1718" s="69" t="s">
        <v>3737</v>
      </c>
      <c r="I1718" s="66">
        <f t="shared" si="109"/>
        <v>45153</v>
      </c>
      <c r="J1718" s="70">
        <f t="shared" si="108"/>
        <v>2023</v>
      </c>
      <c r="K1718" s="71">
        <v>17.1388</v>
      </c>
      <c r="L1718" s="71">
        <v>17.0672</v>
      </c>
      <c r="M1718" s="71">
        <v>17.0045</v>
      </c>
    </row>
    <row r="1719" spans="1:13">
      <c r="A1719" s="57" t="s">
        <v>3738</v>
      </c>
      <c r="B1719" s="58">
        <f t="shared" si="106"/>
        <v>40406</v>
      </c>
      <c r="C1719" s="59">
        <f t="shared" si="107"/>
        <v>2010</v>
      </c>
      <c r="D1719" s="61">
        <v>12.645799999999999</v>
      </c>
      <c r="E1719" s="61">
        <v>12.7256</v>
      </c>
      <c r="F1719" s="61">
        <v>12.7258</v>
      </c>
      <c r="H1719" s="62" t="s">
        <v>3739</v>
      </c>
      <c r="I1719" s="58">
        <f t="shared" si="109"/>
        <v>45154</v>
      </c>
      <c r="J1719" s="60">
        <f t="shared" si="108"/>
        <v>2023</v>
      </c>
      <c r="K1719" s="64">
        <v>17.076799999999999</v>
      </c>
      <c r="L1719" s="64">
        <v>17.1388</v>
      </c>
      <c r="M1719" s="64">
        <v>17.0672</v>
      </c>
    </row>
    <row r="1720" spans="1:13">
      <c r="A1720" s="65" t="s">
        <v>3740</v>
      </c>
      <c r="B1720" s="66">
        <f t="shared" si="106"/>
        <v>40407</v>
      </c>
      <c r="C1720" s="67">
        <f t="shared" si="107"/>
        <v>2010</v>
      </c>
      <c r="D1720" s="68">
        <v>12.5944</v>
      </c>
      <c r="E1720" s="68">
        <v>12.645799999999999</v>
      </c>
      <c r="F1720" s="68">
        <v>12.7256</v>
      </c>
      <c r="H1720" s="69" t="s">
        <v>3741</v>
      </c>
      <c r="I1720" s="66">
        <f t="shared" si="109"/>
        <v>45155</v>
      </c>
      <c r="J1720" s="70">
        <f t="shared" si="108"/>
        <v>2023</v>
      </c>
      <c r="K1720" s="71">
        <v>17.122499999999999</v>
      </c>
      <c r="L1720" s="71">
        <v>17.076799999999999</v>
      </c>
      <c r="M1720" s="71">
        <v>17.1388</v>
      </c>
    </row>
    <row r="1721" spans="1:13">
      <c r="A1721" s="57" t="s">
        <v>3742</v>
      </c>
      <c r="B1721" s="58">
        <f t="shared" si="106"/>
        <v>40408</v>
      </c>
      <c r="C1721" s="59">
        <f t="shared" si="107"/>
        <v>2010</v>
      </c>
      <c r="D1721" s="61">
        <v>12.6073</v>
      </c>
      <c r="E1721" s="61">
        <v>12.5944</v>
      </c>
      <c r="F1721" s="61">
        <v>12.645799999999999</v>
      </c>
      <c r="H1721" s="62" t="s">
        <v>3743</v>
      </c>
      <c r="I1721" s="58">
        <f t="shared" si="109"/>
        <v>45156</v>
      </c>
      <c r="J1721" s="60">
        <f t="shared" si="108"/>
        <v>2023</v>
      </c>
      <c r="K1721" s="64">
        <v>17.047699999999999</v>
      </c>
      <c r="L1721" s="64">
        <v>17.122499999999999</v>
      </c>
      <c r="M1721" s="64">
        <v>17.076799999999999</v>
      </c>
    </row>
    <row r="1722" spans="1:13">
      <c r="A1722" s="65" t="s">
        <v>3744</v>
      </c>
      <c r="B1722" s="66">
        <f t="shared" si="106"/>
        <v>40409</v>
      </c>
      <c r="C1722" s="67">
        <f t="shared" si="107"/>
        <v>2010</v>
      </c>
      <c r="D1722" s="68">
        <v>12.7226</v>
      </c>
      <c r="E1722" s="68">
        <v>12.6073</v>
      </c>
      <c r="F1722" s="68">
        <v>12.5944</v>
      </c>
      <c r="H1722" s="69" t="s">
        <v>3745</v>
      </c>
      <c r="I1722" s="66">
        <f t="shared" si="109"/>
        <v>45157</v>
      </c>
      <c r="J1722" s="70">
        <f t="shared" si="108"/>
        <v>2023</v>
      </c>
      <c r="K1722" s="72" t="s">
        <v>362</v>
      </c>
      <c r="L1722" s="72" t="s">
        <v>362</v>
      </c>
      <c r="M1722" s="71">
        <v>17.122499999999999</v>
      </c>
    </row>
    <row r="1723" spans="1:13">
      <c r="A1723" s="57" t="s">
        <v>3746</v>
      </c>
      <c r="B1723" s="58">
        <f t="shared" si="106"/>
        <v>40410</v>
      </c>
      <c r="C1723" s="59">
        <f t="shared" si="107"/>
        <v>2010</v>
      </c>
      <c r="D1723" s="61">
        <v>12.7683</v>
      </c>
      <c r="E1723" s="61">
        <v>12.7226</v>
      </c>
      <c r="F1723" s="61">
        <v>12.6073</v>
      </c>
      <c r="H1723" s="62" t="s">
        <v>3747</v>
      </c>
      <c r="I1723" s="58">
        <f t="shared" si="109"/>
        <v>45158</v>
      </c>
      <c r="J1723" s="60">
        <f t="shared" si="108"/>
        <v>2023</v>
      </c>
      <c r="K1723" s="63" t="s">
        <v>362</v>
      </c>
      <c r="L1723" s="63" t="s">
        <v>362</v>
      </c>
      <c r="M1723" s="64">
        <v>17.122499999999999</v>
      </c>
    </row>
    <row r="1724" spans="1:13">
      <c r="A1724" s="65" t="s">
        <v>3748</v>
      </c>
      <c r="B1724" s="66">
        <f t="shared" si="106"/>
        <v>40411</v>
      </c>
      <c r="C1724" s="67">
        <f t="shared" si="107"/>
        <v>2010</v>
      </c>
      <c r="D1724" s="70" t="s">
        <v>362</v>
      </c>
      <c r="E1724" s="70" t="s">
        <v>362</v>
      </c>
      <c r="F1724" s="68">
        <v>12.7226</v>
      </c>
      <c r="H1724" s="69" t="s">
        <v>3749</v>
      </c>
      <c r="I1724" s="66">
        <f t="shared" si="109"/>
        <v>45159</v>
      </c>
      <c r="J1724" s="70">
        <f t="shared" si="108"/>
        <v>2023</v>
      </c>
      <c r="K1724" s="71">
        <v>17.020199999999999</v>
      </c>
      <c r="L1724" s="71">
        <v>17.047699999999999</v>
      </c>
      <c r="M1724" s="71">
        <v>17.122499999999999</v>
      </c>
    </row>
    <row r="1725" spans="1:13">
      <c r="A1725" s="57" t="s">
        <v>3750</v>
      </c>
      <c r="B1725" s="58">
        <f t="shared" si="106"/>
        <v>40412</v>
      </c>
      <c r="C1725" s="59">
        <f t="shared" si="107"/>
        <v>2010</v>
      </c>
      <c r="D1725" s="60" t="s">
        <v>362</v>
      </c>
      <c r="E1725" s="60" t="s">
        <v>362</v>
      </c>
      <c r="F1725" s="61">
        <v>12.7226</v>
      </c>
      <c r="H1725" s="62" t="s">
        <v>3751</v>
      </c>
      <c r="I1725" s="58">
        <f t="shared" si="109"/>
        <v>45160</v>
      </c>
      <c r="J1725" s="60">
        <f t="shared" si="108"/>
        <v>2023</v>
      </c>
      <c r="K1725" s="64">
        <v>16.9267</v>
      </c>
      <c r="L1725" s="64">
        <v>17.020199999999999</v>
      </c>
      <c r="M1725" s="64">
        <v>17.047699999999999</v>
      </c>
    </row>
    <row r="1726" spans="1:13">
      <c r="A1726" s="65" t="s">
        <v>3752</v>
      </c>
      <c r="B1726" s="66">
        <f t="shared" si="106"/>
        <v>40413</v>
      </c>
      <c r="C1726" s="67">
        <f t="shared" si="107"/>
        <v>2010</v>
      </c>
      <c r="D1726" s="68">
        <v>12.8492</v>
      </c>
      <c r="E1726" s="68">
        <v>12.7683</v>
      </c>
      <c r="F1726" s="68">
        <v>12.7226</v>
      </c>
      <c r="H1726" s="69" t="s">
        <v>3753</v>
      </c>
      <c r="I1726" s="66">
        <f t="shared" si="109"/>
        <v>45161</v>
      </c>
      <c r="J1726" s="70">
        <f t="shared" si="108"/>
        <v>2023</v>
      </c>
      <c r="K1726" s="71">
        <v>16.807700000000001</v>
      </c>
      <c r="L1726" s="71">
        <v>16.9267</v>
      </c>
      <c r="M1726" s="71">
        <v>17.020199999999999</v>
      </c>
    </row>
    <row r="1727" spans="1:13">
      <c r="A1727" s="57" t="s">
        <v>3754</v>
      </c>
      <c r="B1727" s="58">
        <f t="shared" si="106"/>
        <v>40414</v>
      </c>
      <c r="C1727" s="59">
        <f t="shared" si="107"/>
        <v>2010</v>
      </c>
      <c r="D1727" s="61">
        <v>12.936</v>
      </c>
      <c r="E1727" s="61">
        <v>12.8492</v>
      </c>
      <c r="F1727" s="61">
        <v>12.7683</v>
      </c>
      <c r="H1727" s="62" t="s">
        <v>3755</v>
      </c>
      <c r="I1727" s="58">
        <f t="shared" si="109"/>
        <v>45162</v>
      </c>
      <c r="J1727" s="60">
        <f t="shared" si="108"/>
        <v>2023</v>
      </c>
      <c r="K1727" s="64">
        <v>16.809000000000001</v>
      </c>
      <c r="L1727" s="64">
        <v>16.807700000000001</v>
      </c>
      <c r="M1727" s="64">
        <v>16.9267</v>
      </c>
    </row>
    <row r="1728" spans="1:13">
      <c r="A1728" s="65" t="s">
        <v>3756</v>
      </c>
      <c r="B1728" s="66">
        <f t="shared" si="106"/>
        <v>40415</v>
      </c>
      <c r="C1728" s="67">
        <f t="shared" si="107"/>
        <v>2010</v>
      </c>
      <c r="D1728" s="68">
        <v>13.045299999999999</v>
      </c>
      <c r="E1728" s="68">
        <v>12.936</v>
      </c>
      <c r="F1728" s="68">
        <v>12.8492</v>
      </c>
      <c r="H1728" s="69" t="s">
        <v>3757</v>
      </c>
      <c r="I1728" s="66">
        <f t="shared" si="109"/>
        <v>45163</v>
      </c>
      <c r="J1728" s="70">
        <f t="shared" si="108"/>
        <v>2023</v>
      </c>
      <c r="K1728" s="71">
        <v>16.771799999999999</v>
      </c>
      <c r="L1728" s="71">
        <v>16.809000000000001</v>
      </c>
      <c r="M1728" s="71">
        <v>16.807700000000001</v>
      </c>
    </row>
    <row r="1729" spans="1:13">
      <c r="A1729" s="57" t="s">
        <v>3758</v>
      </c>
      <c r="B1729" s="58">
        <f t="shared" si="106"/>
        <v>40416</v>
      </c>
      <c r="C1729" s="59">
        <f t="shared" si="107"/>
        <v>2010</v>
      </c>
      <c r="D1729" s="61">
        <v>12.984</v>
      </c>
      <c r="E1729" s="61">
        <v>13.045299999999999</v>
      </c>
      <c r="F1729" s="61">
        <v>12.936</v>
      </c>
      <c r="H1729" s="62" t="s">
        <v>3759</v>
      </c>
      <c r="I1729" s="58">
        <f t="shared" si="109"/>
        <v>45164</v>
      </c>
      <c r="J1729" s="60">
        <f t="shared" si="108"/>
        <v>2023</v>
      </c>
      <c r="K1729" s="63" t="s">
        <v>362</v>
      </c>
      <c r="L1729" s="63" t="s">
        <v>362</v>
      </c>
      <c r="M1729" s="64">
        <v>16.809000000000001</v>
      </c>
    </row>
    <row r="1730" spans="1:13">
      <c r="A1730" s="65" t="s">
        <v>3760</v>
      </c>
      <c r="B1730" s="66">
        <f t="shared" si="106"/>
        <v>40417</v>
      </c>
      <c r="C1730" s="67">
        <f t="shared" si="107"/>
        <v>2010</v>
      </c>
      <c r="D1730" s="68">
        <v>13.014799999999999</v>
      </c>
      <c r="E1730" s="68">
        <v>12.984</v>
      </c>
      <c r="F1730" s="68">
        <v>13.045299999999999</v>
      </c>
      <c r="H1730" s="69" t="s">
        <v>3761</v>
      </c>
      <c r="I1730" s="66">
        <f t="shared" si="109"/>
        <v>45165</v>
      </c>
      <c r="J1730" s="70">
        <f t="shared" si="108"/>
        <v>2023</v>
      </c>
      <c r="K1730" s="72" t="s">
        <v>362</v>
      </c>
      <c r="L1730" s="72" t="s">
        <v>362</v>
      </c>
      <c r="M1730" s="71">
        <v>16.809000000000001</v>
      </c>
    </row>
    <row r="1731" spans="1:13">
      <c r="A1731" s="57" t="s">
        <v>3762</v>
      </c>
      <c r="B1731" s="58">
        <f t="shared" si="106"/>
        <v>40418</v>
      </c>
      <c r="C1731" s="59">
        <f t="shared" si="107"/>
        <v>2010</v>
      </c>
      <c r="D1731" s="60" t="s">
        <v>362</v>
      </c>
      <c r="E1731" s="60" t="s">
        <v>362</v>
      </c>
      <c r="F1731" s="61">
        <v>12.984</v>
      </c>
      <c r="H1731" s="62" t="s">
        <v>3763</v>
      </c>
      <c r="I1731" s="58">
        <f t="shared" si="109"/>
        <v>45166</v>
      </c>
      <c r="J1731" s="60">
        <f t="shared" si="108"/>
        <v>2023</v>
      </c>
      <c r="K1731" s="64">
        <v>16.743200000000002</v>
      </c>
      <c r="L1731" s="64">
        <v>16.771799999999999</v>
      </c>
      <c r="M1731" s="64">
        <v>16.809000000000001</v>
      </c>
    </row>
    <row r="1732" spans="1:13">
      <c r="A1732" s="65" t="s">
        <v>3764</v>
      </c>
      <c r="B1732" s="66">
        <f t="shared" si="106"/>
        <v>40419</v>
      </c>
      <c r="C1732" s="67">
        <f t="shared" si="107"/>
        <v>2010</v>
      </c>
      <c r="D1732" s="70" t="s">
        <v>362</v>
      </c>
      <c r="E1732" s="70" t="s">
        <v>362</v>
      </c>
      <c r="F1732" s="68">
        <v>12.984</v>
      </c>
      <c r="H1732" s="69" t="s">
        <v>3765</v>
      </c>
      <c r="I1732" s="66">
        <f t="shared" si="109"/>
        <v>45167</v>
      </c>
      <c r="J1732" s="70">
        <f t="shared" si="108"/>
        <v>2023</v>
      </c>
      <c r="K1732" s="71">
        <v>16.840199999999999</v>
      </c>
      <c r="L1732" s="71">
        <v>16.743200000000002</v>
      </c>
      <c r="M1732" s="71">
        <v>16.771799999999999</v>
      </c>
    </row>
    <row r="1733" spans="1:13">
      <c r="A1733" s="57" t="s">
        <v>3766</v>
      </c>
      <c r="B1733" s="58">
        <f t="shared" si="106"/>
        <v>40420</v>
      </c>
      <c r="C1733" s="59">
        <f t="shared" si="107"/>
        <v>2010</v>
      </c>
      <c r="D1733" s="61">
        <v>13.136699999999999</v>
      </c>
      <c r="E1733" s="61">
        <v>13.014799999999999</v>
      </c>
      <c r="F1733" s="61">
        <v>12.984</v>
      </c>
      <c r="H1733" s="62" t="s">
        <v>3767</v>
      </c>
      <c r="I1733" s="58">
        <f t="shared" si="109"/>
        <v>45168</v>
      </c>
      <c r="J1733" s="60">
        <f t="shared" si="108"/>
        <v>2023</v>
      </c>
      <c r="K1733" s="64">
        <v>16.747699999999998</v>
      </c>
      <c r="L1733" s="64">
        <v>16.840199999999999</v>
      </c>
      <c r="M1733" s="64">
        <v>16.743200000000002</v>
      </c>
    </row>
    <row r="1734" spans="1:13">
      <c r="A1734" s="65" t="s">
        <v>3768</v>
      </c>
      <c r="B1734" s="66">
        <f t="shared" si="106"/>
        <v>40421</v>
      </c>
      <c r="C1734" s="67">
        <f t="shared" si="107"/>
        <v>2010</v>
      </c>
      <c r="D1734" s="68">
        <v>13.1676</v>
      </c>
      <c r="E1734" s="68">
        <v>13.136699999999999</v>
      </c>
      <c r="F1734" s="68">
        <v>13.014799999999999</v>
      </c>
      <c r="H1734" s="69" t="s">
        <v>3769</v>
      </c>
      <c r="I1734" s="66">
        <f t="shared" si="109"/>
        <v>45169</v>
      </c>
      <c r="J1734" s="70">
        <f t="shared" si="108"/>
        <v>2023</v>
      </c>
      <c r="K1734" s="71">
        <v>16.917000000000002</v>
      </c>
      <c r="L1734" s="71">
        <v>16.747699999999998</v>
      </c>
      <c r="M1734" s="71">
        <v>16.840199999999999</v>
      </c>
    </row>
    <row r="1735" spans="1:13">
      <c r="A1735" s="57" t="s">
        <v>3770</v>
      </c>
      <c r="B1735" s="58">
        <f t="shared" si="106"/>
        <v>40422</v>
      </c>
      <c r="C1735" s="59">
        <f t="shared" si="107"/>
        <v>2010</v>
      </c>
      <c r="D1735" s="61">
        <v>13.053800000000001</v>
      </c>
      <c r="E1735" s="61">
        <v>13.1676</v>
      </c>
      <c r="F1735" s="61">
        <v>13.136699999999999</v>
      </c>
      <c r="H1735" s="62" t="s">
        <v>3771</v>
      </c>
      <c r="I1735" s="58">
        <f t="shared" si="109"/>
        <v>45170</v>
      </c>
      <c r="J1735" s="60">
        <f t="shared" si="108"/>
        <v>2023</v>
      </c>
      <c r="K1735" s="64">
        <v>17.1113</v>
      </c>
      <c r="L1735" s="64">
        <v>16.917000000000002</v>
      </c>
      <c r="M1735" s="64">
        <v>16.747699999999998</v>
      </c>
    </row>
    <row r="1736" spans="1:13">
      <c r="A1736" s="65" t="s">
        <v>3772</v>
      </c>
      <c r="B1736" s="66">
        <f t="shared" si="106"/>
        <v>40423</v>
      </c>
      <c r="C1736" s="67">
        <f t="shared" si="107"/>
        <v>2010</v>
      </c>
      <c r="D1736" s="68">
        <v>13.055</v>
      </c>
      <c r="E1736" s="68">
        <v>13.053800000000001</v>
      </c>
      <c r="F1736" s="68">
        <v>13.1676</v>
      </c>
      <c r="H1736" s="69" t="s">
        <v>3773</v>
      </c>
      <c r="I1736" s="66">
        <f t="shared" si="109"/>
        <v>45171</v>
      </c>
      <c r="J1736" s="70">
        <f t="shared" si="108"/>
        <v>2023</v>
      </c>
      <c r="K1736" s="72" t="s">
        <v>362</v>
      </c>
      <c r="L1736" s="72" t="s">
        <v>362</v>
      </c>
      <c r="M1736" s="71">
        <v>16.917000000000002</v>
      </c>
    </row>
    <row r="1737" spans="1:13">
      <c r="A1737" s="57" t="s">
        <v>3774</v>
      </c>
      <c r="B1737" s="58">
        <f t="shared" si="106"/>
        <v>40424</v>
      </c>
      <c r="C1737" s="59">
        <f t="shared" si="107"/>
        <v>2010</v>
      </c>
      <c r="D1737" s="61">
        <v>12.9526</v>
      </c>
      <c r="E1737" s="61">
        <v>13.055</v>
      </c>
      <c r="F1737" s="61">
        <v>13.053800000000001</v>
      </c>
      <c r="H1737" s="62" t="s">
        <v>3775</v>
      </c>
      <c r="I1737" s="58">
        <f t="shared" si="109"/>
        <v>45172</v>
      </c>
      <c r="J1737" s="60">
        <f t="shared" si="108"/>
        <v>2023</v>
      </c>
      <c r="K1737" s="63" t="s">
        <v>362</v>
      </c>
      <c r="L1737" s="63" t="s">
        <v>362</v>
      </c>
      <c r="M1737" s="64">
        <v>16.917000000000002</v>
      </c>
    </row>
    <row r="1738" spans="1:13">
      <c r="A1738" s="65" t="s">
        <v>3776</v>
      </c>
      <c r="B1738" s="66">
        <f t="shared" si="106"/>
        <v>40425</v>
      </c>
      <c r="C1738" s="67">
        <f t="shared" si="107"/>
        <v>2010</v>
      </c>
      <c r="D1738" s="70" t="s">
        <v>362</v>
      </c>
      <c r="E1738" s="70" t="s">
        <v>362</v>
      </c>
      <c r="F1738" s="68">
        <v>13.055</v>
      </c>
      <c r="H1738" s="69" t="s">
        <v>3777</v>
      </c>
      <c r="I1738" s="66">
        <f t="shared" si="109"/>
        <v>45173</v>
      </c>
      <c r="J1738" s="70">
        <f t="shared" si="108"/>
        <v>2023</v>
      </c>
      <c r="K1738" s="71">
        <v>17.175000000000001</v>
      </c>
      <c r="L1738" s="71">
        <v>17.1113</v>
      </c>
      <c r="M1738" s="71">
        <v>16.917000000000002</v>
      </c>
    </row>
    <row r="1739" spans="1:13">
      <c r="A1739" s="57" t="s">
        <v>3778</v>
      </c>
      <c r="B1739" s="58">
        <f t="shared" si="106"/>
        <v>40426</v>
      </c>
      <c r="C1739" s="59">
        <f t="shared" si="107"/>
        <v>2010</v>
      </c>
      <c r="D1739" s="60" t="s">
        <v>362</v>
      </c>
      <c r="E1739" s="60" t="s">
        <v>362</v>
      </c>
      <c r="F1739" s="61">
        <v>13.055</v>
      </c>
      <c r="H1739" s="62" t="s">
        <v>3779</v>
      </c>
      <c r="I1739" s="58">
        <f t="shared" si="109"/>
        <v>45174</v>
      </c>
      <c r="J1739" s="60">
        <f t="shared" si="108"/>
        <v>2023</v>
      </c>
      <c r="K1739" s="64">
        <v>17.3492</v>
      </c>
      <c r="L1739" s="64">
        <v>17.175000000000001</v>
      </c>
      <c r="M1739" s="64">
        <v>17.1113</v>
      </c>
    </row>
    <row r="1740" spans="1:13">
      <c r="A1740" s="65" t="s">
        <v>3780</v>
      </c>
      <c r="B1740" s="66">
        <f t="shared" si="106"/>
        <v>40427</v>
      </c>
      <c r="C1740" s="67">
        <f t="shared" si="107"/>
        <v>2010</v>
      </c>
      <c r="D1740" s="68">
        <v>12.939500000000001</v>
      </c>
      <c r="E1740" s="68">
        <v>12.9526</v>
      </c>
      <c r="F1740" s="68">
        <v>13.055</v>
      </c>
      <c r="H1740" s="69" t="s">
        <v>3781</v>
      </c>
      <c r="I1740" s="66">
        <f t="shared" si="109"/>
        <v>45175</v>
      </c>
      <c r="J1740" s="70">
        <f t="shared" si="108"/>
        <v>2023</v>
      </c>
      <c r="K1740" s="71">
        <v>17.580500000000001</v>
      </c>
      <c r="L1740" s="71">
        <v>17.3492</v>
      </c>
      <c r="M1740" s="71">
        <v>17.175000000000001</v>
      </c>
    </row>
    <row r="1741" spans="1:13">
      <c r="A1741" s="57" t="s">
        <v>3782</v>
      </c>
      <c r="B1741" s="58">
        <f t="shared" si="106"/>
        <v>40428</v>
      </c>
      <c r="C1741" s="59">
        <f t="shared" si="107"/>
        <v>2010</v>
      </c>
      <c r="D1741" s="61">
        <v>13.0566</v>
      </c>
      <c r="E1741" s="61">
        <v>12.939500000000001</v>
      </c>
      <c r="F1741" s="61">
        <v>12.9526</v>
      </c>
      <c r="H1741" s="62" t="s">
        <v>3783</v>
      </c>
      <c r="I1741" s="58">
        <f t="shared" si="109"/>
        <v>45176</v>
      </c>
      <c r="J1741" s="60">
        <f t="shared" si="108"/>
        <v>2023</v>
      </c>
      <c r="K1741" s="64">
        <v>17.554300000000001</v>
      </c>
      <c r="L1741" s="64">
        <v>17.580500000000001</v>
      </c>
      <c r="M1741" s="64">
        <v>17.3492</v>
      </c>
    </row>
    <row r="1742" spans="1:13">
      <c r="A1742" s="65" t="s">
        <v>3784</v>
      </c>
      <c r="B1742" s="66">
        <f t="shared" si="106"/>
        <v>40429</v>
      </c>
      <c r="C1742" s="67">
        <f t="shared" si="107"/>
        <v>2010</v>
      </c>
      <c r="D1742" s="68">
        <v>13.003399999999999</v>
      </c>
      <c r="E1742" s="68">
        <v>13.0566</v>
      </c>
      <c r="F1742" s="68">
        <v>12.939500000000001</v>
      </c>
      <c r="H1742" s="69" t="s">
        <v>3785</v>
      </c>
      <c r="I1742" s="66">
        <f t="shared" si="109"/>
        <v>45177</v>
      </c>
      <c r="J1742" s="70">
        <f t="shared" si="108"/>
        <v>2023</v>
      </c>
      <c r="K1742" s="71">
        <v>17.576699999999999</v>
      </c>
      <c r="L1742" s="71">
        <v>17.554300000000001</v>
      </c>
      <c r="M1742" s="71">
        <v>17.580500000000001</v>
      </c>
    </row>
    <row r="1743" spans="1:13">
      <c r="A1743" s="57" t="s">
        <v>3786</v>
      </c>
      <c r="B1743" s="58">
        <f t="shared" si="106"/>
        <v>40430</v>
      </c>
      <c r="C1743" s="59">
        <f t="shared" si="107"/>
        <v>2010</v>
      </c>
      <c r="D1743" s="61">
        <v>12.985300000000001</v>
      </c>
      <c r="E1743" s="61">
        <v>13.003399999999999</v>
      </c>
      <c r="F1743" s="61">
        <v>13.0566</v>
      </c>
      <c r="H1743" s="62" t="s">
        <v>3787</v>
      </c>
      <c r="I1743" s="58">
        <f t="shared" si="109"/>
        <v>45178</v>
      </c>
      <c r="J1743" s="60">
        <f t="shared" si="108"/>
        <v>2023</v>
      </c>
      <c r="K1743" s="63" t="s">
        <v>362</v>
      </c>
      <c r="L1743" s="63" t="s">
        <v>362</v>
      </c>
      <c r="M1743" s="64">
        <v>17.554300000000001</v>
      </c>
    </row>
    <row r="1744" spans="1:13">
      <c r="A1744" s="65" t="s">
        <v>3788</v>
      </c>
      <c r="B1744" s="66">
        <f t="shared" si="106"/>
        <v>40431</v>
      </c>
      <c r="C1744" s="67">
        <f t="shared" si="107"/>
        <v>2010</v>
      </c>
      <c r="D1744" s="68">
        <v>12.961600000000001</v>
      </c>
      <c r="E1744" s="68">
        <v>12.985300000000001</v>
      </c>
      <c r="F1744" s="68">
        <v>13.003399999999999</v>
      </c>
      <c r="H1744" s="69" t="s">
        <v>3789</v>
      </c>
      <c r="I1744" s="66">
        <f t="shared" si="109"/>
        <v>45179</v>
      </c>
      <c r="J1744" s="70">
        <f t="shared" si="108"/>
        <v>2023</v>
      </c>
      <c r="K1744" s="72" t="s">
        <v>362</v>
      </c>
      <c r="L1744" s="72" t="s">
        <v>362</v>
      </c>
      <c r="M1744" s="71">
        <v>17.554300000000001</v>
      </c>
    </row>
    <row r="1745" spans="1:13">
      <c r="A1745" s="57" t="s">
        <v>3790</v>
      </c>
      <c r="B1745" s="58">
        <f t="shared" si="106"/>
        <v>40432</v>
      </c>
      <c r="C1745" s="59">
        <f t="shared" si="107"/>
        <v>2010</v>
      </c>
      <c r="D1745" s="60" t="s">
        <v>362</v>
      </c>
      <c r="E1745" s="60" t="s">
        <v>362</v>
      </c>
      <c r="F1745" s="61">
        <v>12.985300000000001</v>
      </c>
      <c r="H1745" s="62" t="s">
        <v>3791</v>
      </c>
      <c r="I1745" s="58">
        <f t="shared" si="109"/>
        <v>45180</v>
      </c>
      <c r="J1745" s="60">
        <f t="shared" si="108"/>
        <v>2023</v>
      </c>
      <c r="K1745" s="64">
        <v>17.3813</v>
      </c>
      <c r="L1745" s="64">
        <v>17.576699999999999</v>
      </c>
      <c r="M1745" s="64">
        <v>17.554300000000001</v>
      </c>
    </row>
    <row r="1746" spans="1:13">
      <c r="A1746" s="65" t="s">
        <v>3792</v>
      </c>
      <c r="B1746" s="66">
        <f t="shared" si="106"/>
        <v>40433</v>
      </c>
      <c r="C1746" s="67">
        <f t="shared" si="107"/>
        <v>2010</v>
      </c>
      <c r="D1746" s="70" t="s">
        <v>362</v>
      </c>
      <c r="E1746" s="70" t="s">
        <v>362</v>
      </c>
      <c r="F1746" s="68">
        <v>12.985300000000001</v>
      </c>
      <c r="H1746" s="69" t="s">
        <v>3793</v>
      </c>
      <c r="I1746" s="66">
        <f t="shared" si="109"/>
        <v>45181</v>
      </c>
      <c r="J1746" s="70">
        <f t="shared" si="108"/>
        <v>2023</v>
      </c>
      <c r="K1746" s="71">
        <v>17.255299999999998</v>
      </c>
      <c r="L1746" s="71">
        <v>17.3813</v>
      </c>
      <c r="M1746" s="71">
        <v>17.576699999999999</v>
      </c>
    </row>
    <row r="1747" spans="1:13">
      <c r="A1747" s="57" t="s">
        <v>3794</v>
      </c>
      <c r="B1747" s="58">
        <f t="shared" si="106"/>
        <v>40434</v>
      </c>
      <c r="C1747" s="59">
        <f t="shared" si="107"/>
        <v>2010</v>
      </c>
      <c r="D1747" s="61">
        <v>12.8729</v>
      </c>
      <c r="E1747" s="61">
        <v>12.961600000000001</v>
      </c>
      <c r="F1747" s="61">
        <v>12.985300000000001</v>
      </c>
      <c r="H1747" s="62" t="s">
        <v>3795</v>
      </c>
      <c r="I1747" s="58">
        <f t="shared" si="109"/>
        <v>45182</v>
      </c>
      <c r="J1747" s="60">
        <f t="shared" si="108"/>
        <v>2023</v>
      </c>
      <c r="K1747" s="64">
        <v>17.1235</v>
      </c>
      <c r="L1747" s="64">
        <v>17.255299999999998</v>
      </c>
      <c r="M1747" s="64">
        <v>17.3813</v>
      </c>
    </row>
    <row r="1748" spans="1:13">
      <c r="A1748" s="65" t="s">
        <v>3796</v>
      </c>
      <c r="B1748" s="66">
        <f t="shared" si="106"/>
        <v>40435</v>
      </c>
      <c r="C1748" s="67">
        <f t="shared" si="107"/>
        <v>2010</v>
      </c>
      <c r="D1748" s="68">
        <v>12.8355</v>
      </c>
      <c r="E1748" s="68">
        <v>12.8729</v>
      </c>
      <c r="F1748" s="68">
        <v>12.961600000000001</v>
      </c>
      <c r="H1748" s="69" t="s">
        <v>3797</v>
      </c>
      <c r="I1748" s="66">
        <f t="shared" si="109"/>
        <v>45183</v>
      </c>
      <c r="J1748" s="70">
        <f t="shared" si="108"/>
        <v>2023</v>
      </c>
      <c r="K1748" s="71">
        <v>17.104199999999999</v>
      </c>
      <c r="L1748" s="71">
        <v>17.1235</v>
      </c>
      <c r="M1748" s="71">
        <v>17.255299999999998</v>
      </c>
    </row>
    <row r="1749" spans="1:13">
      <c r="A1749" s="57" t="s">
        <v>3798</v>
      </c>
      <c r="B1749" s="58">
        <f t="shared" si="106"/>
        <v>40436</v>
      </c>
      <c r="C1749" s="59">
        <f t="shared" si="107"/>
        <v>2010</v>
      </c>
      <c r="D1749" s="61">
        <v>12.779299999999999</v>
      </c>
      <c r="E1749" s="61">
        <v>12.8355</v>
      </c>
      <c r="F1749" s="61">
        <v>12.8729</v>
      </c>
      <c r="H1749" s="62" t="s">
        <v>3799</v>
      </c>
      <c r="I1749" s="58">
        <f t="shared" si="109"/>
        <v>45184</v>
      </c>
      <c r="J1749" s="60">
        <f t="shared" si="108"/>
        <v>2023</v>
      </c>
      <c r="K1749" s="64">
        <v>17.0807</v>
      </c>
      <c r="L1749" s="64">
        <v>17.104199999999999</v>
      </c>
      <c r="M1749" s="64">
        <v>17.1235</v>
      </c>
    </row>
    <row r="1750" spans="1:13">
      <c r="A1750" s="65" t="s">
        <v>3800</v>
      </c>
      <c r="B1750" s="66">
        <f t="shared" si="106"/>
        <v>40437</v>
      </c>
      <c r="C1750" s="67">
        <f t="shared" si="107"/>
        <v>2010</v>
      </c>
      <c r="D1750" s="70" t="s">
        <v>362</v>
      </c>
      <c r="E1750" s="70" t="s">
        <v>362</v>
      </c>
      <c r="F1750" s="68">
        <v>12.8355</v>
      </c>
      <c r="H1750" s="69" t="s">
        <v>3801</v>
      </c>
      <c r="I1750" s="66">
        <f t="shared" si="109"/>
        <v>45185</v>
      </c>
      <c r="J1750" s="70">
        <f t="shared" si="108"/>
        <v>2023</v>
      </c>
      <c r="K1750" s="72" t="s">
        <v>362</v>
      </c>
      <c r="L1750" s="72" t="s">
        <v>362</v>
      </c>
      <c r="M1750" s="71">
        <v>17.104199999999999</v>
      </c>
    </row>
    <row r="1751" spans="1:13">
      <c r="A1751" s="57" t="s">
        <v>3802</v>
      </c>
      <c r="B1751" s="58">
        <f t="shared" si="106"/>
        <v>40438</v>
      </c>
      <c r="C1751" s="59">
        <f t="shared" si="107"/>
        <v>2010</v>
      </c>
      <c r="D1751" s="60" t="s">
        <v>362</v>
      </c>
      <c r="E1751" s="60" t="s">
        <v>362</v>
      </c>
      <c r="F1751" s="61">
        <v>12.8355</v>
      </c>
      <c r="H1751" s="62" t="s">
        <v>3803</v>
      </c>
      <c r="I1751" s="58">
        <f t="shared" si="109"/>
        <v>45186</v>
      </c>
      <c r="J1751" s="60">
        <f t="shared" si="108"/>
        <v>2023</v>
      </c>
      <c r="K1751" s="63" t="s">
        <v>362</v>
      </c>
      <c r="L1751" s="63" t="s">
        <v>362</v>
      </c>
      <c r="M1751" s="64">
        <v>17.104199999999999</v>
      </c>
    </row>
    <row r="1752" spans="1:13">
      <c r="A1752" s="65" t="s">
        <v>3804</v>
      </c>
      <c r="B1752" s="66">
        <f t="shared" si="106"/>
        <v>40439</v>
      </c>
      <c r="C1752" s="67">
        <f t="shared" si="107"/>
        <v>2010</v>
      </c>
      <c r="D1752" s="70" t="s">
        <v>362</v>
      </c>
      <c r="E1752" s="70" t="s">
        <v>362</v>
      </c>
      <c r="F1752" s="68">
        <v>12.8355</v>
      </c>
      <c r="H1752" s="69" t="s">
        <v>3805</v>
      </c>
      <c r="I1752" s="66">
        <f t="shared" si="109"/>
        <v>45187</v>
      </c>
      <c r="J1752" s="70">
        <f t="shared" si="108"/>
        <v>2023</v>
      </c>
      <c r="K1752" s="71">
        <v>17.130700000000001</v>
      </c>
      <c r="L1752" s="71">
        <v>17.0807</v>
      </c>
      <c r="M1752" s="71">
        <v>17.104199999999999</v>
      </c>
    </row>
    <row r="1753" spans="1:13">
      <c r="A1753" s="57" t="s">
        <v>3806</v>
      </c>
      <c r="B1753" s="58">
        <f t="shared" si="106"/>
        <v>40440</v>
      </c>
      <c r="C1753" s="59">
        <f t="shared" si="107"/>
        <v>2010</v>
      </c>
      <c r="D1753" s="60" t="s">
        <v>362</v>
      </c>
      <c r="E1753" s="60" t="s">
        <v>362</v>
      </c>
      <c r="F1753" s="61">
        <v>12.8355</v>
      </c>
      <c r="H1753" s="62" t="s">
        <v>3807</v>
      </c>
      <c r="I1753" s="58">
        <f t="shared" si="109"/>
        <v>45188</v>
      </c>
      <c r="J1753" s="60">
        <f t="shared" si="108"/>
        <v>2023</v>
      </c>
      <c r="K1753" s="64">
        <v>17.080500000000001</v>
      </c>
      <c r="L1753" s="64">
        <v>17.130700000000001</v>
      </c>
      <c r="M1753" s="64">
        <v>17.0807</v>
      </c>
    </row>
    <row r="1754" spans="1:13">
      <c r="A1754" s="65" t="s">
        <v>3808</v>
      </c>
      <c r="B1754" s="66">
        <f t="shared" si="106"/>
        <v>40441</v>
      </c>
      <c r="C1754" s="67">
        <f t="shared" si="107"/>
        <v>2010</v>
      </c>
      <c r="D1754" s="68">
        <v>12.7623</v>
      </c>
      <c r="E1754" s="68">
        <v>12.779299999999999</v>
      </c>
      <c r="F1754" s="68">
        <v>12.8355</v>
      </c>
      <c r="H1754" s="69" t="s">
        <v>3809</v>
      </c>
      <c r="I1754" s="66">
        <f t="shared" si="109"/>
        <v>45189</v>
      </c>
      <c r="J1754" s="70">
        <f t="shared" si="108"/>
        <v>2023</v>
      </c>
      <c r="K1754" s="71">
        <v>17.024000000000001</v>
      </c>
      <c r="L1754" s="71">
        <v>17.080500000000001</v>
      </c>
      <c r="M1754" s="71">
        <v>17.130700000000001</v>
      </c>
    </row>
    <row r="1755" spans="1:13">
      <c r="A1755" s="57" t="s">
        <v>3810</v>
      </c>
      <c r="B1755" s="58">
        <f t="shared" si="106"/>
        <v>40442</v>
      </c>
      <c r="C1755" s="59">
        <f t="shared" si="107"/>
        <v>2010</v>
      </c>
      <c r="D1755" s="61">
        <v>12.759399999999999</v>
      </c>
      <c r="E1755" s="61">
        <v>12.7623</v>
      </c>
      <c r="F1755" s="61">
        <v>12.779299999999999</v>
      </c>
      <c r="H1755" s="62" t="s">
        <v>3811</v>
      </c>
      <c r="I1755" s="58">
        <f t="shared" si="109"/>
        <v>45190</v>
      </c>
      <c r="J1755" s="60">
        <f t="shared" si="108"/>
        <v>2023</v>
      </c>
      <c r="K1755" s="64">
        <v>17.1675</v>
      </c>
      <c r="L1755" s="64">
        <v>17.024000000000001</v>
      </c>
      <c r="M1755" s="64">
        <v>17.080500000000001</v>
      </c>
    </row>
    <row r="1756" spans="1:13">
      <c r="A1756" s="65" t="s">
        <v>3812</v>
      </c>
      <c r="B1756" s="66">
        <f t="shared" si="106"/>
        <v>40443</v>
      </c>
      <c r="C1756" s="67">
        <f t="shared" si="107"/>
        <v>2010</v>
      </c>
      <c r="D1756" s="68">
        <v>12.688599999999999</v>
      </c>
      <c r="E1756" s="68">
        <v>12.759399999999999</v>
      </c>
      <c r="F1756" s="68">
        <v>12.7623</v>
      </c>
      <c r="H1756" s="69" t="s">
        <v>3813</v>
      </c>
      <c r="I1756" s="66">
        <f t="shared" si="109"/>
        <v>45191</v>
      </c>
      <c r="J1756" s="70">
        <f t="shared" si="108"/>
        <v>2023</v>
      </c>
      <c r="K1756" s="71">
        <v>17.1568</v>
      </c>
      <c r="L1756" s="71">
        <v>17.1675</v>
      </c>
      <c r="M1756" s="71">
        <v>17.024000000000001</v>
      </c>
    </row>
    <row r="1757" spans="1:13">
      <c r="A1757" s="57" t="s">
        <v>3814</v>
      </c>
      <c r="B1757" s="58">
        <f t="shared" si="106"/>
        <v>40444</v>
      </c>
      <c r="C1757" s="59">
        <f t="shared" si="107"/>
        <v>2010</v>
      </c>
      <c r="D1757" s="61">
        <v>12.642200000000001</v>
      </c>
      <c r="E1757" s="61">
        <v>12.688599999999999</v>
      </c>
      <c r="F1757" s="61">
        <v>12.759399999999999</v>
      </c>
      <c r="H1757" s="62" t="s">
        <v>3815</v>
      </c>
      <c r="I1757" s="58">
        <f t="shared" si="109"/>
        <v>45192</v>
      </c>
      <c r="J1757" s="60">
        <f t="shared" si="108"/>
        <v>2023</v>
      </c>
      <c r="K1757" s="63" t="s">
        <v>362</v>
      </c>
      <c r="L1757" s="63" t="s">
        <v>362</v>
      </c>
      <c r="M1757" s="64">
        <v>17.1675</v>
      </c>
    </row>
    <row r="1758" spans="1:13">
      <c r="A1758" s="65" t="s">
        <v>3816</v>
      </c>
      <c r="B1758" s="66">
        <f t="shared" si="106"/>
        <v>40445</v>
      </c>
      <c r="C1758" s="67">
        <f t="shared" si="107"/>
        <v>2010</v>
      </c>
      <c r="D1758" s="68">
        <v>12.549099999999999</v>
      </c>
      <c r="E1758" s="68">
        <v>12.642200000000001</v>
      </c>
      <c r="F1758" s="68">
        <v>12.688599999999999</v>
      </c>
      <c r="H1758" s="69" t="s">
        <v>3817</v>
      </c>
      <c r="I1758" s="66">
        <f t="shared" si="109"/>
        <v>45193</v>
      </c>
      <c r="J1758" s="70">
        <f t="shared" si="108"/>
        <v>2023</v>
      </c>
      <c r="K1758" s="72" t="s">
        <v>362</v>
      </c>
      <c r="L1758" s="72" t="s">
        <v>362</v>
      </c>
      <c r="M1758" s="71">
        <v>17.1675</v>
      </c>
    </row>
    <row r="1759" spans="1:13">
      <c r="A1759" s="57" t="s">
        <v>3818</v>
      </c>
      <c r="B1759" s="58">
        <f t="shared" ref="B1759:B1822" si="110">DATE(RIGHT(A1759,4),LEFT(RIGHT(A1759,7),2),LEFT(A1759,2))</f>
        <v>40446</v>
      </c>
      <c r="C1759" s="59">
        <f t="shared" ref="C1759:C1822" si="111">YEAR(B1759)</f>
        <v>2010</v>
      </c>
      <c r="D1759" s="60" t="s">
        <v>362</v>
      </c>
      <c r="E1759" s="60" t="s">
        <v>362</v>
      </c>
      <c r="F1759" s="61">
        <v>12.642200000000001</v>
      </c>
      <c r="H1759" s="62" t="s">
        <v>3819</v>
      </c>
      <c r="I1759" s="58">
        <f t="shared" si="109"/>
        <v>45194</v>
      </c>
      <c r="J1759" s="60">
        <f t="shared" ref="J1759:J1822" si="112">YEAR(I1759)</f>
        <v>2023</v>
      </c>
      <c r="K1759" s="64">
        <v>17.3733</v>
      </c>
      <c r="L1759" s="64">
        <v>17.1568</v>
      </c>
      <c r="M1759" s="64">
        <v>17.1675</v>
      </c>
    </row>
    <row r="1760" spans="1:13">
      <c r="A1760" s="65" t="s">
        <v>3820</v>
      </c>
      <c r="B1760" s="66">
        <f t="shared" si="110"/>
        <v>40447</v>
      </c>
      <c r="C1760" s="67">
        <f t="shared" si="111"/>
        <v>2010</v>
      </c>
      <c r="D1760" s="70" t="s">
        <v>362</v>
      </c>
      <c r="E1760" s="70" t="s">
        <v>362</v>
      </c>
      <c r="F1760" s="68">
        <v>12.642200000000001</v>
      </c>
      <c r="H1760" s="69" t="s">
        <v>3821</v>
      </c>
      <c r="I1760" s="66">
        <f t="shared" ref="I1760:I1823" si="113">DATE(RIGHT(H1760,4),LEFT(RIGHT(A1760,7),2),LEFT(A1760,2))</f>
        <v>45195</v>
      </c>
      <c r="J1760" s="70">
        <f t="shared" si="112"/>
        <v>2023</v>
      </c>
      <c r="K1760" s="71">
        <v>17.4758</v>
      </c>
      <c r="L1760" s="71">
        <v>17.3733</v>
      </c>
      <c r="M1760" s="71">
        <v>17.1568</v>
      </c>
    </row>
    <row r="1761" spans="1:13">
      <c r="A1761" s="57" t="s">
        <v>3822</v>
      </c>
      <c r="B1761" s="58">
        <f t="shared" si="110"/>
        <v>40448</v>
      </c>
      <c r="C1761" s="59">
        <f t="shared" si="111"/>
        <v>2010</v>
      </c>
      <c r="D1761" s="61">
        <v>12.5168</v>
      </c>
      <c r="E1761" s="61">
        <v>12.549099999999999</v>
      </c>
      <c r="F1761" s="61">
        <v>12.642200000000001</v>
      </c>
      <c r="H1761" s="62" t="s">
        <v>3823</v>
      </c>
      <c r="I1761" s="58">
        <f t="shared" si="113"/>
        <v>45196</v>
      </c>
      <c r="J1761" s="60">
        <f t="shared" si="112"/>
        <v>2023</v>
      </c>
      <c r="K1761" s="64">
        <v>17.7287</v>
      </c>
      <c r="L1761" s="64">
        <v>17.4758</v>
      </c>
      <c r="M1761" s="64">
        <v>17.3733</v>
      </c>
    </row>
    <row r="1762" spans="1:13">
      <c r="A1762" s="65" t="s">
        <v>3824</v>
      </c>
      <c r="B1762" s="66">
        <f t="shared" si="110"/>
        <v>40449</v>
      </c>
      <c r="C1762" s="67">
        <f t="shared" si="111"/>
        <v>2010</v>
      </c>
      <c r="D1762" s="68">
        <v>12.501099999999999</v>
      </c>
      <c r="E1762" s="68">
        <v>12.5168</v>
      </c>
      <c r="F1762" s="68">
        <v>12.549099999999999</v>
      </c>
      <c r="H1762" s="69" t="s">
        <v>3825</v>
      </c>
      <c r="I1762" s="66">
        <f t="shared" si="113"/>
        <v>45197</v>
      </c>
      <c r="J1762" s="70">
        <f t="shared" si="112"/>
        <v>2023</v>
      </c>
      <c r="K1762" s="71">
        <v>17.619499999999999</v>
      </c>
      <c r="L1762" s="71">
        <v>17.7287</v>
      </c>
      <c r="M1762" s="71">
        <v>17.4758</v>
      </c>
    </row>
    <row r="1763" spans="1:13">
      <c r="A1763" s="57" t="s">
        <v>3826</v>
      </c>
      <c r="B1763" s="58">
        <f t="shared" si="110"/>
        <v>40450</v>
      </c>
      <c r="C1763" s="59">
        <f t="shared" si="111"/>
        <v>2010</v>
      </c>
      <c r="D1763" s="61">
        <v>12.4801</v>
      </c>
      <c r="E1763" s="61">
        <v>12.501099999999999</v>
      </c>
      <c r="F1763" s="61">
        <v>12.5168</v>
      </c>
      <c r="H1763" s="62" t="s">
        <v>3827</v>
      </c>
      <c r="I1763" s="58">
        <f t="shared" si="113"/>
        <v>45198</v>
      </c>
      <c r="J1763" s="60">
        <f t="shared" si="112"/>
        <v>2023</v>
      </c>
      <c r="K1763" s="64">
        <v>17.412700000000001</v>
      </c>
      <c r="L1763" s="64">
        <v>17.619499999999999</v>
      </c>
      <c r="M1763" s="64">
        <v>17.7287</v>
      </c>
    </row>
    <row r="1764" spans="1:13">
      <c r="A1764" s="65" t="s">
        <v>3828</v>
      </c>
      <c r="B1764" s="66">
        <f t="shared" si="110"/>
        <v>40451</v>
      </c>
      <c r="C1764" s="67">
        <f t="shared" si="111"/>
        <v>2010</v>
      </c>
      <c r="D1764" s="68">
        <v>12.5998</v>
      </c>
      <c r="E1764" s="68">
        <v>12.4801</v>
      </c>
      <c r="F1764" s="68">
        <v>12.501099999999999</v>
      </c>
      <c r="H1764" s="69" t="s">
        <v>3829</v>
      </c>
      <c r="I1764" s="66">
        <f t="shared" si="113"/>
        <v>45199</v>
      </c>
      <c r="J1764" s="70">
        <f t="shared" si="112"/>
        <v>2023</v>
      </c>
      <c r="K1764" s="72" t="s">
        <v>362</v>
      </c>
      <c r="L1764" s="72" t="s">
        <v>362</v>
      </c>
      <c r="M1764" s="71">
        <v>17.619499999999999</v>
      </c>
    </row>
    <row r="1765" spans="1:13">
      <c r="A1765" s="57" t="s">
        <v>3830</v>
      </c>
      <c r="B1765" s="58">
        <f t="shared" si="110"/>
        <v>40452</v>
      </c>
      <c r="C1765" s="59">
        <f t="shared" si="111"/>
        <v>2010</v>
      </c>
      <c r="D1765" s="61">
        <v>12.5511</v>
      </c>
      <c r="E1765" s="61">
        <v>12.5998</v>
      </c>
      <c r="F1765" s="61">
        <v>12.4801</v>
      </c>
      <c r="H1765" s="62" t="s">
        <v>3831</v>
      </c>
      <c r="I1765" s="58">
        <f t="shared" si="113"/>
        <v>45200</v>
      </c>
      <c r="J1765" s="60">
        <f t="shared" si="112"/>
        <v>2023</v>
      </c>
      <c r="K1765" s="63" t="s">
        <v>362</v>
      </c>
      <c r="L1765" s="63" t="s">
        <v>362</v>
      </c>
      <c r="M1765" s="64">
        <v>17.619499999999999</v>
      </c>
    </row>
    <row r="1766" spans="1:13">
      <c r="A1766" s="65" t="s">
        <v>3832</v>
      </c>
      <c r="B1766" s="66">
        <f t="shared" si="110"/>
        <v>40453</v>
      </c>
      <c r="C1766" s="67">
        <f t="shared" si="111"/>
        <v>2010</v>
      </c>
      <c r="D1766" s="70" t="s">
        <v>362</v>
      </c>
      <c r="E1766" s="70" t="s">
        <v>362</v>
      </c>
      <c r="F1766" s="68">
        <v>12.5998</v>
      </c>
      <c r="H1766" s="69" t="s">
        <v>3833</v>
      </c>
      <c r="I1766" s="66">
        <f t="shared" si="113"/>
        <v>45201</v>
      </c>
      <c r="J1766" s="70">
        <f t="shared" si="112"/>
        <v>2023</v>
      </c>
      <c r="K1766" s="71">
        <v>17.591999999999999</v>
      </c>
      <c r="L1766" s="71">
        <v>17.412700000000001</v>
      </c>
      <c r="M1766" s="71">
        <v>17.619499999999999</v>
      </c>
    </row>
    <row r="1767" spans="1:13">
      <c r="A1767" s="57" t="s">
        <v>3834</v>
      </c>
      <c r="B1767" s="58">
        <f t="shared" si="110"/>
        <v>40454</v>
      </c>
      <c r="C1767" s="59">
        <f t="shared" si="111"/>
        <v>2010</v>
      </c>
      <c r="D1767" s="60" t="s">
        <v>362</v>
      </c>
      <c r="E1767" s="60" t="s">
        <v>362</v>
      </c>
      <c r="F1767" s="61">
        <v>12.5998</v>
      </c>
      <c r="H1767" s="62" t="s">
        <v>3835</v>
      </c>
      <c r="I1767" s="58">
        <f t="shared" si="113"/>
        <v>45202</v>
      </c>
      <c r="J1767" s="60">
        <f t="shared" si="112"/>
        <v>2023</v>
      </c>
      <c r="K1767" s="64">
        <v>17.9025</v>
      </c>
      <c r="L1767" s="64">
        <v>17.591999999999999</v>
      </c>
      <c r="M1767" s="64">
        <v>17.412700000000001</v>
      </c>
    </row>
    <row r="1768" spans="1:13">
      <c r="A1768" s="65" t="s">
        <v>3836</v>
      </c>
      <c r="B1768" s="66">
        <f t="shared" si="110"/>
        <v>40455</v>
      </c>
      <c r="C1768" s="67">
        <f t="shared" si="111"/>
        <v>2010</v>
      </c>
      <c r="D1768" s="68">
        <v>12.5875</v>
      </c>
      <c r="E1768" s="68">
        <v>12.5511</v>
      </c>
      <c r="F1768" s="68">
        <v>12.5998</v>
      </c>
      <c r="H1768" s="69" t="s">
        <v>3837</v>
      </c>
      <c r="I1768" s="66">
        <f t="shared" si="113"/>
        <v>45203</v>
      </c>
      <c r="J1768" s="70">
        <f t="shared" si="112"/>
        <v>2023</v>
      </c>
      <c r="K1768" s="71">
        <v>18.016999999999999</v>
      </c>
      <c r="L1768" s="71">
        <v>17.9025</v>
      </c>
      <c r="M1768" s="71">
        <v>17.591999999999999</v>
      </c>
    </row>
    <row r="1769" spans="1:13">
      <c r="A1769" s="57" t="s">
        <v>3838</v>
      </c>
      <c r="B1769" s="58">
        <f t="shared" si="110"/>
        <v>40456</v>
      </c>
      <c r="C1769" s="59">
        <f t="shared" si="111"/>
        <v>2010</v>
      </c>
      <c r="D1769" s="61">
        <v>12.5099</v>
      </c>
      <c r="E1769" s="61">
        <v>12.5875</v>
      </c>
      <c r="F1769" s="61">
        <v>12.5511</v>
      </c>
      <c r="H1769" s="62" t="s">
        <v>3839</v>
      </c>
      <c r="I1769" s="58">
        <f t="shared" si="113"/>
        <v>45204</v>
      </c>
      <c r="J1769" s="60">
        <f t="shared" si="112"/>
        <v>2023</v>
      </c>
      <c r="K1769" s="64">
        <v>18.2407</v>
      </c>
      <c r="L1769" s="64">
        <v>18.016999999999999</v>
      </c>
      <c r="M1769" s="64">
        <v>17.9025</v>
      </c>
    </row>
    <row r="1770" spans="1:13">
      <c r="A1770" s="65" t="s">
        <v>3840</v>
      </c>
      <c r="B1770" s="66">
        <f t="shared" si="110"/>
        <v>40457</v>
      </c>
      <c r="C1770" s="67">
        <f t="shared" si="111"/>
        <v>2010</v>
      </c>
      <c r="D1770" s="68">
        <v>12.4779</v>
      </c>
      <c r="E1770" s="68">
        <v>12.5099</v>
      </c>
      <c r="F1770" s="68">
        <v>12.5875</v>
      </c>
      <c r="H1770" s="69" t="s">
        <v>3841</v>
      </c>
      <c r="I1770" s="66">
        <f t="shared" si="113"/>
        <v>45205</v>
      </c>
      <c r="J1770" s="70">
        <f t="shared" si="112"/>
        <v>2023</v>
      </c>
      <c r="K1770" s="71">
        <v>18.183700000000002</v>
      </c>
      <c r="L1770" s="71">
        <v>18.2407</v>
      </c>
      <c r="M1770" s="71">
        <v>18.016999999999999</v>
      </c>
    </row>
    <row r="1771" spans="1:13">
      <c r="A1771" s="57" t="s">
        <v>3842</v>
      </c>
      <c r="B1771" s="58">
        <f t="shared" si="110"/>
        <v>40458</v>
      </c>
      <c r="C1771" s="59">
        <f t="shared" si="111"/>
        <v>2010</v>
      </c>
      <c r="D1771" s="61">
        <v>12.527699999999999</v>
      </c>
      <c r="E1771" s="61">
        <v>12.4779</v>
      </c>
      <c r="F1771" s="61">
        <v>12.5099</v>
      </c>
      <c r="H1771" s="62" t="s">
        <v>3843</v>
      </c>
      <c r="I1771" s="58">
        <f t="shared" si="113"/>
        <v>45206</v>
      </c>
      <c r="J1771" s="60">
        <f t="shared" si="112"/>
        <v>2023</v>
      </c>
      <c r="K1771" s="63" t="s">
        <v>362</v>
      </c>
      <c r="L1771" s="63" t="s">
        <v>362</v>
      </c>
      <c r="M1771" s="64">
        <v>18.2407</v>
      </c>
    </row>
    <row r="1772" spans="1:13">
      <c r="A1772" s="65" t="s">
        <v>3844</v>
      </c>
      <c r="B1772" s="66">
        <f t="shared" si="110"/>
        <v>40459</v>
      </c>
      <c r="C1772" s="67">
        <f t="shared" si="111"/>
        <v>2010</v>
      </c>
      <c r="D1772" s="68">
        <v>12.4895</v>
      </c>
      <c r="E1772" s="68">
        <v>12.527699999999999</v>
      </c>
      <c r="F1772" s="68">
        <v>12.4779</v>
      </c>
      <c r="H1772" s="69" t="s">
        <v>3845</v>
      </c>
      <c r="I1772" s="66">
        <f t="shared" si="113"/>
        <v>45207</v>
      </c>
      <c r="J1772" s="70">
        <f t="shared" si="112"/>
        <v>2023</v>
      </c>
      <c r="K1772" s="72" t="s">
        <v>362</v>
      </c>
      <c r="L1772" s="72" t="s">
        <v>362</v>
      </c>
      <c r="M1772" s="71">
        <v>18.2407</v>
      </c>
    </row>
    <row r="1773" spans="1:13">
      <c r="A1773" s="57" t="s">
        <v>3846</v>
      </c>
      <c r="B1773" s="58">
        <f t="shared" si="110"/>
        <v>40460</v>
      </c>
      <c r="C1773" s="59">
        <f t="shared" si="111"/>
        <v>2010</v>
      </c>
      <c r="D1773" s="60" t="s">
        <v>362</v>
      </c>
      <c r="E1773" s="60" t="s">
        <v>362</v>
      </c>
      <c r="F1773" s="61">
        <v>12.527699999999999</v>
      </c>
      <c r="H1773" s="62" t="s">
        <v>3847</v>
      </c>
      <c r="I1773" s="58">
        <f t="shared" si="113"/>
        <v>45208</v>
      </c>
      <c r="J1773" s="60">
        <f t="shared" si="112"/>
        <v>2023</v>
      </c>
      <c r="K1773" s="64">
        <v>18.348199999999999</v>
      </c>
      <c r="L1773" s="64">
        <v>18.183700000000002</v>
      </c>
      <c r="M1773" s="64">
        <v>18.2407</v>
      </c>
    </row>
    <row r="1774" spans="1:13">
      <c r="A1774" s="65" t="s">
        <v>3848</v>
      </c>
      <c r="B1774" s="66">
        <f t="shared" si="110"/>
        <v>40461</v>
      </c>
      <c r="C1774" s="67">
        <f t="shared" si="111"/>
        <v>2010</v>
      </c>
      <c r="D1774" s="70" t="s">
        <v>362</v>
      </c>
      <c r="E1774" s="70" t="s">
        <v>362</v>
      </c>
      <c r="F1774" s="68">
        <v>12.527699999999999</v>
      </c>
      <c r="H1774" s="69" t="s">
        <v>3849</v>
      </c>
      <c r="I1774" s="66">
        <f t="shared" si="113"/>
        <v>45209</v>
      </c>
      <c r="J1774" s="70">
        <f t="shared" si="112"/>
        <v>2023</v>
      </c>
      <c r="K1774" s="71">
        <v>17.991700000000002</v>
      </c>
      <c r="L1774" s="71">
        <v>18.348199999999999</v>
      </c>
      <c r="M1774" s="71">
        <v>18.183700000000002</v>
      </c>
    </row>
    <row r="1775" spans="1:13">
      <c r="A1775" s="57" t="s">
        <v>3850</v>
      </c>
      <c r="B1775" s="58">
        <f t="shared" si="110"/>
        <v>40462</v>
      </c>
      <c r="C1775" s="59">
        <f t="shared" si="111"/>
        <v>2010</v>
      </c>
      <c r="D1775" s="61">
        <v>12.4224</v>
      </c>
      <c r="E1775" s="61">
        <v>12.4895</v>
      </c>
      <c r="F1775" s="61">
        <v>12.527699999999999</v>
      </c>
      <c r="H1775" s="62" t="s">
        <v>3851</v>
      </c>
      <c r="I1775" s="58">
        <f t="shared" si="113"/>
        <v>45210</v>
      </c>
      <c r="J1775" s="60">
        <f t="shared" si="112"/>
        <v>2023</v>
      </c>
      <c r="K1775" s="64">
        <v>17.841999999999999</v>
      </c>
      <c r="L1775" s="64">
        <v>17.991700000000002</v>
      </c>
      <c r="M1775" s="64">
        <v>18.348199999999999</v>
      </c>
    </row>
    <row r="1776" spans="1:13">
      <c r="A1776" s="65" t="s">
        <v>3852</v>
      </c>
      <c r="B1776" s="66">
        <f t="shared" si="110"/>
        <v>40463</v>
      </c>
      <c r="C1776" s="67">
        <f t="shared" si="111"/>
        <v>2010</v>
      </c>
      <c r="D1776" s="68">
        <v>12.432</v>
      </c>
      <c r="E1776" s="68">
        <v>12.4224</v>
      </c>
      <c r="F1776" s="68">
        <v>12.4895</v>
      </c>
      <c r="H1776" s="69" t="s">
        <v>3853</v>
      </c>
      <c r="I1776" s="66">
        <f t="shared" si="113"/>
        <v>45211</v>
      </c>
      <c r="J1776" s="70">
        <f t="shared" si="112"/>
        <v>2023</v>
      </c>
      <c r="K1776" s="71">
        <v>17.9132</v>
      </c>
      <c r="L1776" s="71">
        <v>17.841999999999999</v>
      </c>
      <c r="M1776" s="71">
        <v>17.991700000000002</v>
      </c>
    </row>
    <row r="1777" spans="1:13">
      <c r="A1777" s="57" t="s">
        <v>3854</v>
      </c>
      <c r="B1777" s="58">
        <f t="shared" si="110"/>
        <v>40464</v>
      </c>
      <c r="C1777" s="59">
        <f t="shared" si="111"/>
        <v>2010</v>
      </c>
      <c r="D1777" s="61">
        <v>12.3683</v>
      </c>
      <c r="E1777" s="61">
        <v>12.432</v>
      </c>
      <c r="F1777" s="61">
        <v>12.4224</v>
      </c>
      <c r="H1777" s="62" t="s">
        <v>3855</v>
      </c>
      <c r="I1777" s="58">
        <f t="shared" si="113"/>
        <v>45212</v>
      </c>
      <c r="J1777" s="60">
        <f t="shared" si="112"/>
        <v>2023</v>
      </c>
      <c r="K1777" s="64">
        <v>18.036200000000001</v>
      </c>
      <c r="L1777" s="64">
        <v>17.9132</v>
      </c>
      <c r="M1777" s="64">
        <v>17.841999999999999</v>
      </c>
    </row>
    <row r="1778" spans="1:13">
      <c r="A1778" s="65" t="s">
        <v>3856</v>
      </c>
      <c r="B1778" s="66">
        <f t="shared" si="110"/>
        <v>40465</v>
      </c>
      <c r="C1778" s="67">
        <f t="shared" si="111"/>
        <v>2010</v>
      </c>
      <c r="D1778" s="68">
        <v>12.4101</v>
      </c>
      <c r="E1778" s="68">
        <v>12.3683</v>
      </c>
      <c r="F1778" s="68">
        <v>12.432</v>
      </c>
      <c r="H1778" s="69" t="s">
        <v>3857</v>
      </c>
      <c r="I1778" s="66">
        <f t="shared" si="113"/>
        <v>45213</v>
      </c>
      <c r="J1778" s="70">
        <f t="shared" si="112"/>
        <v>2023</v>
      </c>
      <c r="K1778" s="72" t="s">
        <v>362</v>
      </c>
      <c r="L1778" s="72" t="s">
        <v>362</v>
      </c>
      <c r="M1778" s="71">
        <v>17.9132</v>
      </c>
    </row>
    <row r="1779" spans="1:13">
      <c r="A1779" s="57" t="s">
        <v>3858</v>
      </c>
      <c r="B1779" s="58">
        <f t="shared" si="110"/>
        <v>40466</v>
      </c>
      <c r="C1779" s="59">
        <f t="shared" si="111"/>
        <v>2010</v>
      </c>
      <c r="D1779" s="61">
        <v>12.4276</v>
      </c>
      <c r="E1779" s="61">
        <v>12.4101</v>
      </c>
      <c r="F1779" s="61">
        <v>12.3683</v>
      </c>
      <c r="H1779" s="62" t="s">
        <v>3859</v>
      </c>
      <c r="I1779" s="58">
        <f t="shared" si="113"/>
        <v>45214</v>
      </c>
      <c r="J1779" s="60">
        <f t="shared" si="112"/>
        <v>2023</v>
      </c>
      <c r="K1779" s="63" t="s">
        <v>362</v>
      </c>
      <c r="L1779" s="63" t="s">
        <v>362</v>
      </c>
      <c r="M1779" s="64">
        <v>17.9132</v>
      </c>
    </row>
    <row r="1780" spans="1:13">
      <c r="A1780" s="65" t="s">
        <v>3860</v>
      </c>
      <c r="B1780" s="66">
        <f t="shared" si="110"/>
        <v>40467</v>
      </c>
      <c r="C1780" s="67">
        <f t="shared" si="111"/>
        <v>2010</v>
      </c>
      <c r="D1780" s="70" t="s">
        <v>362</v>
      </c>
      <c r="E1780" s="70" t="s">
        <v>362</v>
      </c>
      <c r="F1780" s="68">
        <v>12.4101</v>
      </c>
      <c r="H1780" s="69" t="s">
        <v>3861</v>
      </c>
      <c r="I1780" s="66">
        <f t="shared" si="113"/>
        <v>45215</v>
      </c>
      <c r="J1780" s="70">
        <f t="shared" si="112"/>
        <v>2023</v>
      </c>
      <c r="K1780" s="71">
        <v>17.956800000000001</v>
      </c>
      <c r="L1780" s="71">
        <v>18.036200000000001</v>
      </c>
      <c r="M1780" s="71">
        <v>17.9132</v>
      </c>
    </row>
    <row r="1781" spans="1:13">
      <c r="A1781" s="57" t="s">
        <v>3862</v>
      </c>
      <c r="B1781" s="58">
        <f t="shared" si="110"/>
        <v>40468</v>
      </c>
      <c r="C1781" s="59">
        <f t="shared" si="111"/>
        <v>2010</v>
      </c>
      <c r="D1781" s="60" t="s">
        <v>362</v>
      </c>
      <c r="E1781" s="60" t="s">
        <v>362</v>
      </c>
      <c r="F1781" s="61">
        <v>12.4101</v>
      </c>
      <c r="H1781" s="62" t="s">
        <v>3863</v>
      </c>
      <c r="I1781" s="58">
        <f t="shared" si="113"/>
        <v>45216</v>
      </c>
      <c r="J1781" s="60">
        <f t="shared" si="112"/>
        <v>2023</v>
      </c>
      <c r="K1781" s="64">
        <v>17.909700000000001</v>
      </c>
      <c r="L1781" s="64">
        <v>17.956800000000001</v>
      </c>
      <c r="M1781" s="64">
        <v>18.036200000000001</v>
      </c>
    </row>
    <row r="1782" spans="1:13">
      <c r="A1782" s="65" t="s">
        <v>3864</v>
      </c>
      <c r="B1782" s="66">
        <f t="shared" si="110"/>
        <v>40469</v>
      </c>
      <c r="C1782" s="67">
        <f t="shared" si="111"/>
        <v>2010</v>
      </c>
      <c r="D1782" s="68">
        <v>12.413500000000001</v>
      </c>
      <c r="E1782" s="68">
        <v>12.4276</v>
      </c>
      <c r="F1782" s="68">
        <v>12.4101</v>
      </c>
      <c r="H1782" s="69" t="s">
        <v>3865</v>
      </c>
      <c r="I1782" s="66">
        <f t="shared" si="113"/>
        <v>45217</v>
      </c>
      <c r="J1782" s="70">
        <f t="shared" si="112"/>
        <v>2023</v>
      </c>
      <c r="K1782" s="71">
        <v>18.244</v>
      </c>
      <c r="L1782" s="71">
        <v>17.909700000000001</v>
      </c>
      <c r="M1782" s="71">
        <v>17.956800000000001</v>
      </c>
    </row>
    <row r="1783" spans="1:13">
      <c r="A1783" s="57" t="s">
        <v>3866</v>
      </c>
      <c r="B1783" s="58">
        <f t="shared" si="110"/>
        <v>40470</v>
      </c>
      <c r="C1783" s="59">
        <f t="shared" si="111"/>
        <v>2010</v>
      </c>
      <c r="D1783" s="61">
        <v>12.4818</v>
      </c>
      <c r="E1783" s="61">
        <v>12.413500000000001</v>
      </c>
      <c r="F1783" s="61">
        <v>12.4276</v>
      </c>
      <c r="H1783" s="62" t="s">
        <v>3867</v>
      </c>
      <c r="I1783" s="58">
        <f t="shared" si="113"/>
        <v>45218</v>
      </c>
      <c r="J1783" s="60">
        <f t="shared" si="112"/>
        <v>2023</v>
      </c>
      <c r="K1783" s="64">
        <v>18.287299999999998</v>
      </c>
      <c r="L1783" s="64">
        <v>18.244</v>
      </c>
      <c r="M1783" s="64">
        <v>17.909700000000001</v>
      </c>
    </row>
    <row r="1784" spans="1:13">
      <c r="A1784" s="65" t="s">
        <v>3868</v>
      </c>
      <c r="B1784" s="66">
        <f t="shared" si="110"/>
        <v>40471</v>
      </c>
      <c r="C1784" s="67">
        <f t="shared" si="111"/>
        <v>2010</v>
      </c>
      <c r="D1784" s="68">
        <v>12.4117</v>
      </c>
      <c r="E1784" s="68">
        <v>12.4818</v>
      </c>
      <c r="F1784" s="68">
        <v>12.413500000000001</v>
      </c>
      <c r="H1784" s="69" t="s">
        <v>3869</v>
      </c>
      <c r="I1784" s="66">
        <f t="shared" si="113"/>
        <v>45219</v>
      </c>
      <c r="J1784" s="70">
        <f t="shared" si="112"/>
        <v>2023</v>
      </c>
      <c r="K1784" s="71">
        <v>18.234300000000001</v>
      </c>
      <c r="L1784" s="71">
        <v>18.287299999999998</v>
      </c>
      <c r="M1784" s="71">
        <v>18.244</v>
      </c>
    </row>
    <row r="1785" spans="1:13">
      <c r="A1785" s="57" t="s">
        <v>3870</v>
      </c>
      <c r="B1785" s="58">
        <f t="shared" si="110"/>
        <v>40472</v>
      </c>
      <c r="C1785" s="59">
        <f t="shared" si="111"/>
        <v>2010</v>
      </c>
      <c r="D1785" s="61">
        <v>12.3613</v>
      </c>
      <c r="E1785" s="61">
        <v>12.4117</v>
      </c>
      <c r="F1785" s="61">
        <v>12.4818</v>
      </c>
      <c r="H1785" s="62" t="s">
        <v>3871</v>
      </c>
      <c r="I1785" s="58">
        <f t="shared" si="113"/>
        <v>45220</v>
      </c>
      <c r="J1785" s="60">
        <f t="shared" si="112"/>
        <v>2023</v>
      </c>
      <c r="K1785" s="63" t="s">
        <v>362</v>
      </c>
      <c r="L1785" s="63" t="s">
        <v>362</v>
      </c>
      <c r="M1785" s="64">
        <v>18.287299999999998</v>
      </c>
    </row>
    <row r="1786" spans="1:13">
      <c r="A1786" s="65" t="s">
        <v>3872</v>
      </c>
      <c r="B1786" s="66">
        <f t="shared" si="110"/>
        <v>40473</v>
      </c>
      <c r="C1786" s="67">
        <f t="shared" si="111"/>
        <v>2010</v>
      </c>
      <c r="D1786" s="68">
        <v>12.387700000000001</v>
      </c>
      <c r="E1786" s="68">
        <v>12.3613</v>
      </c>
      <c r="F1786" s="68">
        <v>12.4117</v>
      </c>
      <c r="H1786" s="69" t="s">
        <v>3873</v>
      </c>
      <c r="I1786" s="66">
        <f t="shared" si="113"/>
        <v>45221</v>
      </c>
      <c r="J1786" s="70">
        <f t="shared" si="112"/>
        <v>2023</v>
      </c>
      <c r="K1786" s="72" t="s">
        <v>362</v>
      </c>
      <c r="L1786" s="72" t="s">
        <v>362</v>
      </c>
      <c r="M1786" s="71">
        <v>18.287299999999998</v>
      </c>
    </row>
    <row r="1787" spans="1:13">
      <c r="A1787" s="57" t="s">
        <v>3874</v>
      </c>
      <c r="B1787" s="58">
        <f t="shared" si="110"/>
        <v>40474</v>
      </c>
      <c r="C1787" s="59">
        <f t="shared" si="111"/>
        <v>2010</v>
      </c>
      <c r="D1787" s="60" t="s">
        <v>362</v>
      </c>
      <c r="E1787" s="60" t="s">
        <v>362</v>
      </c>
      <c r="F1787" s="61">
        <v>12.3613</v>
      </c>
      <c r="H1787" s="62" t="s">
        <v>3875</v>
      </c>
      <c r="I1787" s="58">
        <f t="shared" si="113"/>
        <v>45222</v>
      </c>
      <c r="J1787" s="60">
        <f t="shared" si="112"/>
        <v>2023</v>
      </c>
      <c r="K1787" s="64">
        <v>18.1218</v>
      </c>
      <c r="L1787" s="64">
        <v>18.234300000000001</v>
      </c>
      <c r="M1787" s="64">
        <v>18.287299999999998</v>
      </c>
    </row>
    <row r="1788" spans="1:13">
      <c r="A1788" s="65" t="s">
        <v>3876</v>
      </c>
      <c r="B1788" s="66">
        <f t="shared" si="110"/>
        <v>40475</v>
      </c>
      <c r="C1788" s="67">
        <f t="shared" si="111"/>
        <v>2010</v>
      </c>
      <c r="D1788" s="70" t="s">
        <v>362</v>
      </c>
      <c r="E1788" s="70" t="s">
        <v>362</v>
      </c>
      <c r="F1788" s="68">
        <v>12.3613</v>
      </c>
      <c r="H1788" s="69" t="s">
        <v>3877</v>
      </c>
      <c r="I1788" s="66">
        <f t="shared" si="113"/>
        <v>45223</v>
      </c>
      <c r="J1788" s="70">
        <f t="shared" si="112"/>
        <v>2023</v>
      </c>
      <c r="K1788" s="71">
        <v>18.284199999999998</v>
      </c>
      <c r="L1788" s="71">
        <v>18.1218</v>
      </c>
      <c r="M1788" s="71">
        <v>18.234300000000001</v>
      </c>
    </row>
    <row r="1789" spans="1:13">
      <c r="A1789" s="57" t="s">
        <v>3878</v>
      </c>
      <c r="B1789" s="58">
        <f t="shared" si="110"/>
        <v>40476</v>
      </c>
      <c r="C1789" s="59">
        <f t="shared" si="111"/>
        <v>2010</v>
      </c>
      <c r="D1789" s="61">
        <v>12.320499999999999</v>
      </c>
      <c r="E1789" s="61">
        <v>12.387700000000001</v>
      </c>
      <c r="F1789" s="61">
        <v>12.3613</v>
      </c>
      <c r="H1789" s="62" t="s">
        <v>3879</v>
      </c>
      <c r="I1789" s="58">
        <f t="shared" si="113"/>
        <v>45224</v>
      </c>
      <c r="J1789" s="60">
        <f t="shared" si="112"/>
        <v>2023</v>
      </c>
      <c r="K1789" s="64">
        <v>18.312200000000001</v>
      </c>
      <c r="L1789" s="64">
        <v>18.284199999999998</v>
      </c>
      <c r="M1789" s="64">
        <v>18.1218</v>
      </c>
    </row>
    <row r="1790" spans="1:13">
      <c r="A1790" s="65" t="s">
        <v>3880</v>
      </c>
      <c r="B1790" s="66">
        <f t="shared" si="110"/>
        <v>40477</v>
      </c>
      <c r="C1790" s="67">
        <f t="shared" si="111"/>
        <v>2010</v>
      </c>
      <c r="D1790" s="68">
        <v>12.385899999999999</v>
      </c>
      <c r="E1790" s="68">
        <v>12.320499999999999</v>
      </c>
      <c r="F1790" s="68">
        <v>12.387700000000001</v>
      </c>
      <c r="H1790" s="69" t="s">
        <v>3881</v>
      </c>
      <c r="I1790" s="66">
        <f t="shared" si="113"/>
        <v>45225</v>
      </c>
      <c r="J1790" s="70">
        <f t="shared" si="112"/>
        <v>2023</v>
      </c>
      <c r="K1790" s="71">
        <v>18.2178</v>
      </c>
      <c r="L1790" s="71">
        <v>18.312200000000001</v>
      </c>
      <c r="M1790" s="71">
        <v>18.284199999999998</v>
      </c>
    </row>
    <row r="1791" spans="1:13">
      <c r="A1791" s="57" t="s">
        <v>3882</v>
      </c>
      <c r="B1791" s="58">
        <f t="shared" si="110"/>
        <v>40478</v>
      </c>
      <c r="C1791" s="59">
        <f t="shared" si="111"/>
        <v>2010</v>
      </c>
      <c r="D1791" s="61">
        <v>12.477600000000001</v>
      </c>
      <c r="E1791" s="61">
        <v>12.385899999999999</v>
      </c>
      <c r="F1791" s="61">
        <v>12.320499999999999</v>
      </c>
      <c r="H1791" s="62" t="s">
        <v>3883</v>
      </c>
      <c r="I1791" s="58">
        <f t="shared" si="113"/>
        <v>45226</v>
      </c>
      <c r="J1791" s="60">
        <f t="shared" si="112"/>
        <v>2023</v>
      </c>
      <c r="K1791" s="64">
        <v>18.075199999999999</v>
      </c>
      <c r="L1791" s="64">
        <v>18.2178</v>
      </c>
      <c r="M1791" s="64">
        <v>18.312200000000001</v>
      </c>
    </row>
    <row r="1792" spans="1:13">
      <c r="A1792" s="65" t="s">
        <v>3884</v>
      </c>
      <c r="B1792" s="66">
        <f t="shared" si="110"/>
        <v>40479</v>
      </c>
      <c r="C1792" s="67">
        <f t="shared" si="111"/>
        <v>2010</v>
      </c>
      <c r="D1792" s="68">
        <v>12.4023</v>
      </c>
      <c r="E1792" s="68">
        <v>12.477600000000001</v>
      </c>
      <c r="F1792" s="68">
        <v>12.385899999999999</v>
      </c>
      <c r="H1792" s="69" t="s">
        <v>3885</v>
      </c>
      <c r="I1792" s="66">
        <f t="shared" si="113"/>
        <v>45227</v>
      </c>
      <c r="J1792" s="70">
        <f t="shared" si="112"/>
        <v>2023</v>
      </c>
      <c r="K1792" s="72" t="s">
        <v>362</v>
      </c>
      <c r="L1792" s="72" t="s">
        <v>362</v>
      </c>
      <c r="M1792" s="71">
        <v>18.2178</v>
      </c>
    </row>
    <row r="1793" spans="1:13">
      <c r="A1793" s="57" t="s">
        <v>3886</v>
      </c>
      <c r="B1793" s="58">
        <f t="shared" si="110"/>
        <v>40480</v>
      </c>
      <c r="C1793" s="59">
        <f t="shared" si="111"/>
        <v>2010</v>
      </c>
      <c r="D1793" s="61">
        <v>12.338699999999999</v>
      </c>
      <c r="E1793" s="61">
        <v>12.4023</v>
      </c>
      <c r="F1793" s="61">
        <v>12.477600000000001</v>
      </c>
      <c r="H1793" s="62" t="s">
        <v>3887</v>
      </c>
      <c r="I1793" s="58">
        <f t="shared" si="113"/>
        <v>45228</v>
      </c>
      <c r="J1793" s="60">
        <f t="shared" si="112"/>
        <v>2023</v>
      </c>
      <c r="K1793" s="63" t="s">
        <v>362</v>
      </c>
      <c r="L1793" s="63" t="s">
        <v>362</v>
      </c>
      <c r="M1793" s="64">
        <v>18.2178</v>
      </c>
    </row>
    <row r="1794" spans="1:13">
      <c r="A1794" s="65" t="s">
        <v>3888</v>
      </c>
      <c r="B1794" s="66">
        <f t="shared" si="110"/>
        <v>40481</v>
      </c>
      <c r="C1794" s="67">
        <f t="shared" si="111"/>
        <v>2010</v>
      </c>
      <c r="D1794" s="70" t="s">
        <v>362</v>
      </c>
      <c r="E1794" s="70" t="s">
        <v>362</v>
      </c>
      <c r="F1794" s="68">
        <v>12.4023</v>
      </c>
      <c r="H1794" s="69" t="s">
        <v>3889</v>
      </c>
      <c r="I1794" s="66">
        <f t="shared" si="113"/>
        <v>45229</v>
      </c>
      <c r="J1794" s="70">
        <f t="shared" si="112"/>
        <v>2023</v>
      </c>
      <c r="K1794" s="71">
        <v>18.064</v>
      </c>
      <c r="L1794" s="71">
        <v>18.075199999999999</v>
      </c>
      <c r="M1794" s="71">
        <v>18.2178</v>
      </c>
    </row>
    <row r="1795" spans="1:13">
      <c r="A1795" s="57" t="s">
        <v>3890</v>
      </c>
      <c r="B1795" s="58">
        <f t="shared" si="110"/>
        <v>40482</v>
      </c>
      <c r="C1795" s="59">
        <f t="shared" si="111"/>
        <v>2010</v>
      </c>
      <c r="D1795" s="60" t="s">
        <v>362</v>
      </c>
      <c r="E1795" s="60" t="s">
        <v>362</v>
      </c>
      <c r="F1795" s="61">
        <v>12.4023</v>
      </c>
      <c r="H1795" s="62" t="s">
        <v>3891</v>
      </c>
      <c r="I1795" s="58">
        <f t="shared" si="113"/>
        <v>45230</v>
      </c>
      <c r="J1795" s="60">
        <f t="shared" si="112"/>
        <v>2023</v>
      </c>
      <c r="K1795" s="64">
        <v>18.036799999999999</v>
      </c>
      <c r="L1795" s="64">
        <v>18.064</v>
      </c>
      <c r="M1795" s="64">
        <v>18.075199999999999</v>
      </c>
    </row>
    <row r="1796" spans="1:13">
      <c r="A1796" s="65" t="s">
        <v>3892</v>
      </c>
      <c r="B1796" s="66">
        <f t="shared" si="110"/>
        <v>40483</v>
      </c>
      <c r="C1796" s="67">
        <f t="shared" si="111"/>
        <v>2010</v>
      </c>
      <c r="D1796" s="68">
        <v>12.3452</v>
      </c>
      <c r="E1796" s="68">
        <v>12.338699999999999</v>
      </c>
      <c r="F1796" s="68">
        <v>12.4023</v>
      </c>
      <c r="H1796" s="69" t="s">
        <v>3893</v>
      </c>
      <c r="I1796" s="66">
        <f t="shared" si="113"/>
        <v>45231</v>
      </c>
      <c r="J1796" s="70">
        <f t="shared" si="112"/>
        <v>2023</v>
      </c>
      <c r="K1796" s="71">
        <v>17.930499999999999</v>
      </c>
      <c r="L1796" s="71">
        <v>18.036799999999999</v>
      </c>
      <c r="M1796" s="71">
        <v>18.064</v>
      </c>
    </row>
    <row r="1797" spans="1:13">
      <c r="A1797" s="57" t="s">
        <v>3894</v>
      </c>
      <c r="B1797" s="58">
        <f t="shared" si="110"/>
        <v>40484</v>
      </c>
      <c r="C1797" s="59">
        <f t="shared" si="111"/>
        <v>2010</v>
      </c>
      <c r="D1797" s="60" t="s">
        <v>362</v>
      </c>
      <c r="E1797" s="60" t="s">
        <v>362</v>
      </c>
      <c r="F1797" s="61">
        <v>12.338699999999999</v>
      </c>
      <c r="H1797" s="62" t="s">
        <v>3895</v>
      </c>
      <c r="I1797" s="58">
        <f t="shared" si="113"/>
        <v>45232</v>
      </c>
      <c r="J1797" s="60">
        <f t="shared" si="112"/>
        <v>2023</v>
      </c>
      <c r="K1797" s="63" t="s">
        <v>362</v>
      </c>
      <c r="L1797" s="63" t="s">
        <v>362</v>
      </c>
      <c r="M1797" s="64">
        <v>18.036799999999999</v>
      </c>
    </row>
    <row r="1798" spans="1:13">
      <c r="A1798" s="65" t="s">
        <v>3896</v>
      </c>
      <c r="B1798" s="66">
        <f t="shared" si="110"/>
        <v>40485</v>
      </c>
      <c r="C1798" s="67">
        <f t="shared" si="111"/>
        <v>2010</v>
      </c>
      <c r="D1798" s="68">
        <v>12.3041</v>
      </c>
      <c r="E1798" s="68">
        <v>12.3452</v>
      </c>
      <c r="F1798" s="68">
        <v>12.338699999999999</v>
      </c>
      <c r="H1798" s="69" t="s">
        <v>3897</v>
      </c>
      <c r="I1798" s="66">
        <f t="shared" si="113"/>
        <v>45233</v>
      </c>
      <c r="J1798" s="70">
        <f t="shared" si="112"/>
        <v>2023</v>
      </c>
      <c r="K1798" s="71">
        <v>17.4117</v>
      </c>
      <c r="L1798" s="71">
        <v>17.930499999999999</v>
      </c>
      <c r="M1798" s="71">
        <v>18.036799999999999</v>
      </c>
    </row>
    <row r="1799" spans="1:13">
      <c r="A1799" s="57" t="s">
        <v>3898</v>
      </c>
      <c r="B1799" s="58">
        <f t="shared" si="110"/>
        <v>40486</v>
      </c>
      <c r="C1799" s="59">
        <f t="shared" si="111"/>
        <v>2010</v>
      </c>
      <c r="D1799" s="61">
        <v>12.238099999999999</v>
      </c>
      <c r="E1799" s="61">
        <v>12.3041</v>
      </c>
      <c r="F1799" s="61">
        <v>12.3452</v>
      </c>
      <c r="H1799" s="62" t="s">
        <v>3899</v>
      </c>
      <c r="I1799" s="58">
        <f t="shared" si="113"/>
        <v>45234</v>
      </c>
      <c r="J1799" s="60">
        <f t="shared" si="112"/>
        <v>2023</v>
      </c>
      <c r="K1799" s="63" t="s">
        <v>362</v>
      </c>
      <c r="L1799" s="63" t="s">
        <v>362</v>
      </c>
      <c r="M1799" s="64">
        <v>17.930499999999999</v>
      </c>
    </row>
    <row r="1800" spans="1:13">
      <c r="A1800" s="65" t="s">
        <v>3900</v>
      </c>
      <c r="B1800" s="66">
        <f t="shared" si="110"/>
        <v>40487</v>
      </c>
      <c r="C1800" s="67">
        <f t="shared" si="111"/>
        <v>2010</v>
      </c>
      <c r="D1800" s="68">
        <v>12.205500000000001</v>
      </c>
      <c r="E1800" s="68">
        <v>12.238099999999999</v>
      </c>
      <c r="F1800" s="68">
        <v>12.3041</v>
      </c>
      <c r="H1800" s="69" t="s">
        <v>3901</v>
      </c>
      <c r="I1800" s="66">
        <f t="shared" si="113"/>
        <v>45235</v>
      </c>
      <c r="J1800" s="70">
        <f t="shared" si="112"/>
        <v>2023</v>
      </c>
      <c r="K1800" s="72" t="s">
        <v>362</v>
      </c>
      <c r="L1800" s="72" t="s">
        <v>362</v>
      </c>
      <c r="M1800" s="71">
        <v>17.930499999999999</v>
      </c>
    </row>
    <row r="1801" spans="1:13">
      <c r="A1801" s="57" t="s">
        <v>3902</v>
      </c>
      <c r="B1801" s="58">
        <f t="shared" si="110"/>
        <v>40488</v>
      </c>
      <c r="C1801" s="59">
        <f t="shared" si="111"/>
        <v>2010</v>
      </c>
      <c r="D1801" s="60" t="s">
        <v>362</v>
      </c>
      <c r="E1801" s="60" t="s">
        <v>362</v>
      </c>
      <c r="F1801" s="61">
        <v>12.238099999999999</v>
      </c>
      <c r="H1801" s="62" t="s">
        <v>3903</v>
      </c>
      <c r="I1801" s="58">
        <f t="shared" si="113"/>
        <v>45236</v>
      </c>
      <c r="J1801" s="60">
        <f t="shared" si="112"/>
        <v>2023</v>
      </c>
      <c r="K1801" s="64">
        <v>17.530799999999999</v>
      </c>
      <c r="L1801" s="64">
        <v>17.4117</v>
      </c>
      <c r="M1801" s="64">
        <v>17.930499999999999</v>
      </c>
    </row>
    <row r="1802" spans="1:13">
      <c r="A1802" s="65" t="s">
        <v>3904</v>
      </c>
      <c r="B1802" s="66">
        <f t="shared" si="110"/>
        <v>40489</v>
      </c>
      <c r="C1802" s="67">
        <f t="shared" si="111"/>
        <v>2010</v>
      </c>
      <c r="D1802" s="70" t="s">
        <v>362</v>
      </c>
      <c r="E1802" s="70" t="s">
        <v>362</v>
      </c>
      <c r="F1802" s="68">
        <v>12.238099999999999</v>
      </c>
      <c r="H1802" s="69" t="s">
        <v>3905</v>
      </c>
      <c r="I1802" s="66">
        <f t="shared" si="113"/>
        <v>45237</v>
      </c>
      <c r="J1802" s="70">
        <f t="shared" si="112"/>
        <v>2023</v>
      </c>
      <c r="K1802" s="71">
        <v>17.509699999999999</v>
      </c>
      <c r="L1802" s="71">
        <v>17.530799999999999</v>
      </c>
      <c r="M1802" s="71">
        <v>17.4117</v>
      </c>
    </row>
    <row r="1803" spans="1:13">
      <c r="A1803" s="57" t="s">
        <v>3906</v>
      </c>
      <c r="B1803" s="58">
        <f t="shared" si="110"/>
        <v>40490</v>
      </c>
      <c r="C1803" s="59">
        <f t="shared" si="111"/>
        <v>2010</v>
      </c>
      <c r="D1803" s="61">
        <v>12.2483</v>
      </c>
      <c r="E1803" s="61">
        <v>12.205500000000001</v>
      </c>
      <c r="F1803" s="61">
        <v>12.238099999999999</v>
      </c>
      <c r="H1803" s="62" t="s">
        <v>3907</v>
      </c>
      <c r="I1803" s="58">
        <f t="shared" si="113"/>
        <v>45238</v>
      </c>
      <c r="J1803" s="60">
        <f t="shared" si="112"/>
        <v>2023</v>
      </c>
      <c r="K1803" s="64">
        <v>17.5017</v>
      </c>
      <c r="L1803" s="64">
        <v>17.509699999999999</v>
      </c>
      <c r="M1803" s="64">
        <v>17.530799999999999</v>
      </c>
    </row>
    <row r="1804" spans="1:13">
      <c r="A1804" s="65" t="s">
        <v>3908</v>
      </c>
      <c r="B1804" s="66">
        <f t="shared" si="110"/>
        <v>40491</v>
      </c>
      <c r="C1804" s="67">
        <f t="shared" si="111"/>
        <v>2010</v>
      </c>
      <c r="D1804" s="68">
        <v>12.206799999999999</v>
      </c>
      <c r="E1804" s="68">
        <v>12.2483</v>
      </c>
      <c r="F1804" s="68">
        <v>12.205500000000001</v>
      </c>
      <c r="H1804" s="69" t="s">
        <v>3909</v>
      </c>
      <c r="I1804" s="66">
        <f t="shared" si="113"/>
        <v>45239</v>
      </c>
      <c r="J1804" s="70">
        <f t="shared" si="112"/>
        <v>2023</v>
      </c>
      <c r="K1804" s="71">
        <v>17.488800000000001</v>
      </c>
      <c r="L1804" s="71">
        <v>17.5017</v>
      </c>
      <c r="M1804" s="71">
        <v>17.509699999999999</v>
      </c>
    </row>
    <row r="1805" spans="1:13">
      <c r="A1805" s="57" t="s">
        <v>3910</v>
      </c>
      <c r="B1805" s="58">
        <f t="shared" si="110"/>
        <v>40492</v>
      </c>
      <c r="C1805" s="59">
        <f t="shared" si="111"/>
        <v>2010</v>
      </c>
      <c r="D1805" s="61">
        <v>12.2714</v>
      </c>
      <c r="E1805" s="61">
        <v>12.206799999999999</v>
      </c>
      <c r="F1805" s="61">
        <v>12.2483</v>
      </c>
      <c r="H1805" s="62" t="s">
        <v>3911</v>
      </c>
      <c r="I1805" s="58">
        <f t="shared" si="113"/>
        <v>45240</v>
      </c>
      <c r="J1805" s="60">
        <f t="shared" si="112"/>
        <v>2023</v>
      </c>
      <c r="K1805" s="64">
        <v>17.748000000000001</v>
      </c>
      <c r="L1805" s="64">
        <v>17.488800000000001</v>
      </c>
      <c r="M1805" s="64">
        <v>17.5017</v>
      </c>
    </row>
    <row r="1806" spans="1:13">
      <c r="A1806" s="65" t="s">
        <v>3912</v>
      </c>
      <c r="B1806" s="66">
        <f t="shared" si="110"/>
        <v>40493</v>
      </c>
      <c r="C1806" s="67">
        <f t="shared" si="111"/>
        <v>2010</v>
      </c>
      <c r="D1806" s="68">
        <v>12.259600000000001</v>
      </c>
      <c r="E1806" s="68">
        <v>12.2714</v>
      </c>
      <c r="F1806" s="68">
        <v>12.206799999999999</v>
      </c>
      <c r="H1806" s="69" t="s">
        <v>3913</v>
      </c>
      <c r="I1806" s="66">
        <f t="shared" si="113"/>
        <v>45241</v>
      </c>
      <c r="J1806" s="70">
        <f t="shared" si="112"/>
        <v>2023</v>
      </c>
      <c r="K1806" s="72" t="s">
        <v>362</v>
      </c>
      <c r="L1806" s="72" t="s">
        <v>362</v>
      </c>
      <c r="M1806" s="71">
        <v>17.488800000000001</v>
      </c>
    </row>
    <row r="1807" spans="1:13">
      <c r="A1807" s="57" t="s">
        <v>3914</v>
      </c>
      <c r="B1807" s="58">
        <f t="shared" si="110"/>
        <v>40494</v>
      </c>
      <c r="C1807" s="59">
        <f t="shared" si="111"/>
        <v>2010</v>
      </c>
      <c r="D1807" s="61">
        <v>12.262600000000001</v>
      </c>
      <c r="E1807" s="61">
        <v>12.259600000000001</v>
      </c>
      <c r="F1807" s="61">
        <v>12.2714</v>
      </c>
      <c r="H1807" s="62" t="s">
        <v>3915</v>
      </c>
      <c r="I1807" s="58">
        <f t="shared" si="113"/>
        <v>45242</v>
      </c>
      <c r="J1807" s="60">
        <f t="shared" si="112"/>
        <v>2023</v>
      </c>
      <c r="K1807" s="63" t="s">
        <v>362</v>
      </c>
      <c r="L1807" s="63" t="s">
        <v>362</v>
      </c>
      <c r="M1807" s="64">
        <v>17.488800000000001</v>
      </c>
    </row>
    <row r="1808" spans="1:13">
      <c r="A1808" s="65" t="s">
        <v>3916</v>
      </c>
      <c r="B1808" s="66">
        <f t="shared" si="110"/>
        <v>40495</v>
      </c>
      <c r="C1808" s="67">
        <f t="shared" si="111"/>
        <v>2010</v>
      </c>
      <c r="D1808" s="70" t="s">
        <v>362</v>
      </c>
      <c r="E1808" s="70" t="s">
        <v>362</v>
      </c>
      <c r="F1808" s="68">
        <v>12.259600000000001</v>
      </c>
      <c r="H1808" s="69" t="s">
        <v>3917</v>
      </c>
      <c r="I1808" s="66">
        <f t="shared" si="113"/>
        <v>45243</v>
      </c>
      <c r="J1808" s="70">
        <f t="shared" si="112"/>
        <v>2023</v>
      </c>
      <c r="K1808" s="71">
        <v>17.613800000000001</v>
      </c>
      <c r="L1808" s="71">
        <v>17.748000000000001</v>
      </c>
      <c r="M1808" s="71">
        <v>17.488800000000001</v>
      </c>
    </row>
    <row r="1809" spans="1:13">
      <c r="A1809" s="57" t="s">
        <v>3918</v>
      </c>
      <c r="B1809" s="58">
        <f t="shared" si="110"/>
        <v>40496</v>
      </c>
      <c r="C1809" s="59">
        <f t="shared" si="111"/>
        <v>2010</v>
      </c>
      <c r="D1809" s="60" t="s">
        <v>362</v>
      </c>
      <c r="E1809" s="60" t="s">
        <v>362</v>
      </c>
      <c r="F1809" s="61">
        <v>12.259600000000001</v>
      </c>
      <c r="H1809" s="62" t="s">
        <v>3919</v>
      </c>
      <c r="I1809" s="58">
        <f t="shared" si="113"/>
        <v>45244</v>
      </c>
      <c r="J1809" s="60">
        <f t="shared" si="112"/>
        <v>2023</v>
      </c>
      <c r="K1809" s="64">
        <v>17.3917</v>
      </c>
      <c r="L1809" s="64">
        <v>17.613800000000001</v>
      </c>
      <c r="M1809" s="64">
        <v>17.748000000000001</v>
      </c>
    </row>
    <row r="1810" spans="1:13">
      <c r="A1810" s="65" t="s">
        <v>3920</v>
      </c>
      <c r="B1810" s="66">
        <f t="shared" si="110"/>
        <v>40497</v>
      </c>
      <c r="C1810" s="67">
        <f t="shared" si="111"/>
        <v>2010</v>
      </c>
      <c r="D1810" s="70" t="s">
        <v>362</v>
      </c>
      <c r="E1810" s="70" t="s">
        <v>362</v>
      </c>
      <c r="F1810" s="68">
        <v>12.259600000000001</v>
      </c>
      <c r="H1810" s="69" t="s">
        <v>3921</v>
      </c>
      <c r="I1810" s="66">
        <f t="shared" si="113"/>
        <v>45245</v>
      </c>
      <c r="J1810" s="70">
        <f t="shared" si="112"/>
        <v>2023</v>
      </c>
      <c r="K1810" s="71">
        <v>17.338699999999999</v>
      </c>
      <c r="L1810" s="71">
        <v>17.3917</v>
      </c>
      <c r="M1810" s="71">
        <v>17.613800000000001</v>
      </c>
    </row>
    <row r="1811" spans="1:13">
      <c r="A1811" s="57" t="s">
        <v>3922</v>
      </c>
      <c r="B1811" s="58">
        <f t="shared" si="110"/>
        <v>40498</v>
      </c>
      <c r="C1811" s="59">
        <f t="shared" si="111"/>
        <v>2010</v>
      </c>
      <c r="D1811" s="61">
        <v>12.4353</v>
      </c>
      <c r="E1811" s="61">
        <v>12.262600000000001</v>
      </c>
      <c r="F1811" s="61">
        <v>12.259600000000001</v>
      </c>
      <c r="H1811" s="62" t="s">
        <v>3923</v>
      </c>
      <c r="I1811" s="58">
        <f t="shared" si="113"/>
        <v>45246</v>
      </c>
      <c r="J1811" s="60">
        <f t="shared" si="112"/>
        <v>2023</v>
      </c>
      <c r="K1811" s="64">
        <v>17.270800000000001</v>
      </c>
      <c r="L1811" s="64">
        <v>17.338699999999999</v>
      </c>
      <c r="M1811" s="64">
        <v>17.3917</v>
      </c>
    </row>
    <row r="1812" spans="1:13">
      <c r="A1812" s="65" t="s">
        <v>3924</v>
      </c>
      <c r="B1812" s="66">
        <f t="shared" si="110"/>
        <v>40499</v>
      </c>
      <c r="C1812" s="67">
        <f t="shared" si="111"/>
        <v>2010</v>
      </c>
      <c r="D1812" s="68">
        <v>12.378299999999999</v>
      </c>
      <c r="E1812" s="68">
        <v>12.4353</v>
      </c>
      <c r="F1812" s="68">
        <v>12.262600000000001</v>
      </c>
      <c r="H1812" s="69" t="s">
        <v>3925</v>
      </c>
      <c r="I1812" s="66">
        <f t="shared" si="113"/>
        <v>45247</v>
      </c>
      <c r="J1812" s="70">
        <f t="shared" si="112"/>
        <v>2023</v>
      </c>
      <c r="K1812" s="71">
        <v>17.217500000000001</v>
      </c>
      <c r="L1812" s="71">
        <v>17.270800000000001</v>
      </c>
      <c r="M1812" s="71">
        <v>17.338699999999999</v>
      </c>
    </row>
    <row r="1813" spans="1:13">
      <c r="A1813" s="57" t="s">
        <v>3926</v>
      </c>
      <c r="B1813" s="58">
        <f t="shared" si="110"/>
        <v>40500</v>
      </c>
      <c r="C1813" s="59">
        <f t="shared" si="111"/>
        <v>2010</v>
      </c>
      <c r="D1813" s="61">
        <v>12.292400000000001</v>
      </c>
      <c r="E1813" s="61">
        <v>12.378299999999999</v>
      </c>
      <c r="F1813" s="61">
        <v>12.4353</v>
      </c>
      <c r="H1813" s="62" t="s">
        <v>3927</v>
      </c>
      <c r="I1813" s="58">
        <f t="shared" si="113"/>
        <v>45248</v>
      </c>
      <c r="J1813" s="60">
        <f t="shared" si="112"/>
        <v>2023</v>
      </c>
      <c r="K1813" s="63" t="s">
        <v>362</v>
      </c>
      <c r="L1813" s="63" t="s">
        <v>362</v>
      </c>
      <c r="M1813" s="64">
        <v>17.270800000000001</v>
      </c>
    </row>
    <row r="1814" spans="1:13">
      <c r="A1814" s="65" t="s">
        <v>3928</v>
      </c>
      <c r="B1814" s="66">
        <f t="shared" si="110"/>
        <v>40501</v>
      </c>
      <c r="C1814" s="67">
        <f t="shared" si="111"/>
        <v>2010</v>
      </c>
      <c r="D1814" s="68">
        <v>12.2996</v>
      </c>
      <c r="E1814" s="68">
        <v>12.292400000000001</v>
      </c>
      <c r="F1814" s="68">
        <v>12.378299999999999</v>
      </c>
      <c r="H1814" s="69" t="s">
        <v>3929</v>
      </c>
      <c r="I1814" s="66">
        <f t="shared" si="113"/>
        <v>45249</v>
      </c>
      <c r="J1814" s="70">
        <f t="shared" si="112"/>
        <v>2023</v>
      </c>
      <c r="K1814" s="72" t="s">
        <v>362</v>
      </c>
      <c r="L1814" s="72" t="s">
        <v>362</v>
      </c>
      <c r="M1814" s="71">
        <v>17.270800000000001</v>
      </c>
    </row>
    <row r="1815" spans="1:13">
      <c r="A1815" s="57" t="s">
        <v>3930</v>
      </c>
      <c r="B1815" s="58">
        <f t="shared" si="110"/>
        <v>40502</v>
      </c>
      <c r="C1815" s="59">
        <f t="shared" si="111"/>
        <v>2010</v>
      </c>
      <c r="D1815" s="60" t="s">
        <v>362</v>
      </c>
      <c r="E1815" s="60" t="s">
        <v>362</v>
      </c>
      <c r="F1815" s="61">
        <v>12.292400000000001</v>
      </c>
      <c r="H1815" s="62" t="s">
        <v>3931</v>
      </c>
      <c r="I1815" s="58">
        <f t="shared" si="113"/>
        <v>45250</v>
      </c>
      <c r="J1815" s="60">
        <f t="shared" si="112"/>
        <v>2023</v>
      </c>
      <c r="K1815" s="63" t="s">
        <v>362</v>
      </c>
      <c r="L1815" s="63" t="s">
        <v>362</v>
      </c>
      <c r="M1815" s="64">
        <v>17.270800000000001</v>
      </c>
    </row>
    <row r="1816" spans="1:13">
      <c r="A1816" s="65" t="s">
        <v>3932</v>
      </c>
      <c r="B1816" s="66">
        <f t="shared" si="110"/>
        <v>40503</v>
      </c>
      <c r="C1816" s="67">
        <f t="shared" si="111"/>
        <v>2010</v>
      </c>
      <c r="D1816" s="70" t="s">
        <v>362</v>
      </c>
      <c r="E1816" s="70" t="s">
        <v>362</v>
      </c>
      <c r="F1816" s="68">
        <v>12.292400000000001</v>
      </c>
      <c r="H1816" s="69" t="s">
        <v>3933</v>
      </c>
      <c r="I1816" s="66">
        <f t="shared" si="113"/>
        <v>45251</v>
      </c>
      <c r="J1816" s="70">
        <f t="shared" si="112"/>
        <v>2023</v>
      </c>
      <c r="K1816" s="71">
        <v>17.2102</v>
      </c>
      <c r="L1816" s="71">
        <v>17.217500000000001</v>
      </c>
      <c r="M1816" s="71">
        <v>17.270800000000001</v>
      </c>
    </row>
    <row r="1817" spans="1:13">
      <c r="A1817" s="57" t="s">
        <v>3934</v>
      </c>
      <c r="B1817" s="58">
        <f t="shared" si="110"/>
        <v>40504</v>
      </c>
      <c r="C1817" s="59">
        <f t="shared" si="111"/>
        <v>2010</v>
      </c>
      <c r="D1817" s="61">
        <v>12.308999999999999</v>
      </c>
      <c r="E1817" s="61">
        <v>12.2996</v>
      </c>
      <c r="F1817" s="61">
        <v>12.292400000000001</v>
      </c>
      <c r="H1817" s="62" t="s">
        <v>3935</v>
      </c>
      <c r="I1817" s="58">
        <f t="shared" si="113"/>
        <v>45252</v>
      </c>
      <c r="J1817" s="60">
        <f t="shared" si="112"/>
        <v>2023</v>
      </c>
      <c r="K1817" s="64">
        <v>17.2133</v>
      </c>
      <c r="L1817" s="64">
        <v>17.2102</v>
      </c>
      <c r="M1817" s="64">
        <v>17.217500000000001</v>
      </c>
    </row>
    <row r="1818" spans="1:13">
      <c r="A1818" s="65" t="s">
        <v>3936</v>
      </c>
      <c r="B1818" s="66">
        <f t="shared" si="110"/>
        <v>40505</v>
      </c>
      <c r="C1818" s="67">
        <f t="shared" si="111"/>
        <v>2010</v>
      </c>
      <c r="D1818" s="68">
        <v>12.457700000000001</v>
      </c>
      <c r="E1818" s="68">
        <v>12.308999999999999</v>
      </c>
      <c r="F1818" s="68">
        <v>12.2996</v>
      </c>
      <c r="H1818" s="69" t="s">
        <v>3937</v>
      </c>
      <c r="I1818" s="66">
        <f t="shared" si="113"/>
        <v>45253</v>
      </c>
      <c r="J1818" s="70">
        <f t="shared" si="112"/>
        <v>2023</v>
      </c>
      <c r="K1818" s="71">
        <v>17.178699999999999</v>
      </c>
      <c r="L1818" s="71">
        <v>17.2133</v>
      </c>
      <c r="M1818" s="71">
        <v>17.2102</v>
      </c>
    </row>
    <row r="1819" spans="1:13">
      <c r="A1819" s="57" t="s">
        <v>3938</v>
      </c>
      <c r="B1819" s="58">
        <f t="shared" si="110"/>
        <v>40506</v>
      </c>
      <c r="C1819" s="59">
        <f t="shared" si="111"/>
        <v>2010</v>
      </c>
      <c r="D1819" s="61">
        <v>12.3912</v>
      </c>
      <c r="E1819" s="61">
        <v>12.457700000000001</v>
      </c>
      <c r="F1819" s="61">
        <v>12.308999999999999</v>
      </c>
      <c r="H1819" s="62" t="s">
        <v>3939</v>
      </c>
      <c r="I1819" s="58">
        <f t="shared" si="113"/>
        <v>45254</v>
      </c>
      <c r="J1819" s="60">
        <f t="shared" si="112"/>
        <v>2023</v>
      </c>
      <c r="K1819" s="64">
        <v>17.126799999999999</v>
      </c>
      <c r="L1819" s="64">
        <v>17.178699999999999</v>
      </c>
      <c r="M1819" s="64">
        <v>17.2133</v>
      </c>
    </row>
    <row r="1820" spans="1:13">
      <c r="A1820" s="65" t="s">
        <v>3940</v>
      </c>
      <c r="B1820" s="66">
        <f t="shared" si="110"/>
        <v>40507</v>
      </c>
      <c r="C1820" s="67">
        <f t="shared" si="111"/>
        <v>2010</v>
      </c>
      <c r="D1820" s="68">
        <v>12.366899999999999</v>
      </c>
      <c r="E1820" s="68">
        <v>12.3912</v>
      </c>
      <c r="F1820" s="68">
        <v>12.457700000000001</v>
      </c>
      <c r="H1820" s="69" t="s">
        <v>3941</v>
      </c>
      <c r="I1820" s="66">
        <f t="shared" si="113"/>
        <v>45255</v>
      </c>
      <c r="J1820" s="70">
        <f t="shared" si="112"/>
        <v>2023</v>
      </c>
      <c r="K1820" s="72" t="s">
        <v>362</v>
      </c>
      <c r="L1820" s="72" t="s">
        <v>362</v>
      </c>
      <c r="M1820" s="71">
        <v>17.178699999999999</v>
      </c>
    </row>
    <row r="1821" spans="1:13">
      <c r="A1821" s="57" t="s">
        <v>3942</v>
      </c>
      <c r="B1821" s="58">
        <f t="shared" si="110"/>
        <v>40508</v>
      </c>
      <c r="C1821" s="59">
        <f t="shared" si="111"/>
        <v>2010</v>
      </c>
      <c r="D1821" s="61">
        <v>12.489000000000001</v>
      </c>
      <c r="E1821" s="61">
        <v>12.366899999999999</v>
      </c>
      <c r="F1821" s="61">
        <v>12.3912</v>
      </c>
      <c r="H1821" s="62" t="s">
        <v>3943</v>
      </c>
      <c r="I1821" s="58">
        <f t="shared" si="113"/>
        <v>45256</v>
      </c>
      <c r="J1821" s="60">
        <f t="shared" si="112"/>
        <v>2023</v>
      </c>
      <c r="K1821" s="63" t="s">
        <v>362</v>
      </c>
      <c r="L1821" s="63" t="s">
        <v>362</v>
      </c>
      <c r="M1821" s="64">
        <v>17.178699999999999</v>
      </c>
    </row>
    <row r="1822" spans="1:13">
      <c r="A1822" s="65" t="s">
        <v>3944</v>
      </c>
      <c r="B1822" s="66">
        <f t="shared" si="110"/>
        <v>40509</v>
      </c>
      <c r="C1822" s="67">
        <f t="shared" si="111"/>
        <v>2010</v>
      </c>
      <c r="D1822" s="70" t="s">
        <v>362</v>
      </c>
      <c r="E1822" s="70" t="s">
        <v>362</v>
      </c>
      <c r="F1822" s="68">
        <v>12.366899999999999</v>
      </c>
      <c r="H1822" s="69" t="s">
        <v>3945</v>
      </c>
      <c r="I1822" s="66">
        <f t="shared" si="113"/>
        <v>45257</v>
      </c>
      <c r="J1822" s="70">
        <f t="shared" si="112"/>
        <v>2023</v>
      </c>
      <c r="K1822" s="71">
        <v>17.1555</v>
      </c>
      <c r="L1822" s="71">
        <v>17.126799999999999</v>
      </c>
      <c r="M1822" s="71">
        <v>17.178699999999999</v>
      </c>
    </row>
    <row r="1823" spans="1:13">
      <c r="A1823" s="57" t="s">
        <v>3946</v>
      </c>
      <c r="B1823" s="58">
        <f t="shared" ref="B1823:B1886" si="114">DATE(RIGHT(A1823,4),LEFT(RIGHT(A1823,7),2),LEFT(A1823,2))</f>
        <v>40510</v>
      </c>
      <c r="C1823" s="59">
        <f t="shared" ref="C1823:C1886" si="115">YEAR(B1823)</f>
        <v>2010</v>
      </c>
      <c r="D1823" s="60" t="s">
        <v>362</v>
      </c>
      <c r="E1823" s="60" t="s">
        <v>362</v>
      </c>
      <c r="F1823" s="61">
        <v>12.366899999999999</v>
      </c>
      <c r="H1823" s="62" t="s">
        <v>3947</v>
      </c>
      <c r="I1823" s="58">
        <f t="shared" si="113"/>
        <v>45258</v>
      </c>
      <c r="J1823" s="60">
        <f t="shared" ref="J1823:J1886" si="116">YEAR(I1823)</f>
        <v>2023</v>
      </c>
      <c r="K1823" s="64">
        <v>17.1357</v>
      </c>
      <c r="L1823" s="64">
        <v>17.1555</v>
      </c>
      <c r="M1823" s="64">
        <v>17.126799999999999</v>
      </c>
    </row>
    <row r="1824" spans="1:13">
      <c r="A1824" s="65" t="s">
        <v>3948</v>
      </c>
      <c r="B1824" s="66">
        <f t="shared" si="114"/>
        <v>40511</v>
      </c>
      <c r="C1824" s="67">
        <f t="shared" si="115"/>
        <v>2010</v>
      </c>
      <c r="D1824" s="68">
        <v>12.553800000000001</v>
      </c>
      <c r="E1824" s="68">
        <v>12.489000000000001</v>
      </c>
      <c r="F1824" s="68">
        <v>12.366899999999999</v>
      </c>
      <c r="H1824" s="69" t="s">
        <v>3949</v>
      </c>
      <c r="I1824" s="66">
        <f t="shared" ref="I1824:I1887" si="117">DATE(RIGHT(H1824,4),LEFT(RIGHT(A1824,7),2),LEFT(A1824,2))</f>
        <v>45259</v>
      </c>
      <c r="J1824" s="70">
        <f t="shared" si="116"/>
        <v>2023</v>
      </c>
      <c r="K1824" s="71">
        <v>17.187000000000001</v>
      </c>
      <c r="L1824" s="71">
        <v>17.1357</v>
      </c>
      <c r="M1824" s="71">
        <v>17.1555</v>
      </c>
    </row>
    <row r="1825" spans="1:13">
      <c r="A1825" s="57" t="s">
        <v>3950</v>
      </c>
      <c r="B1825" s="58">
        <f t="shared" si="114"/>
        <v>40512</v>
      </c>
      <c r="C1825" s="59">
        <f t="shared" si="115"/>
        <v>2010</v>
      </c>
      <c r="D1825" s="61">
        <v>12.4664</v>
      </c>
      <c r="E1825" s="61">
        <v>12.553800000000001</v>
      </c>
      <c r="F1825" s="61">
        <v>12.489000000000001</v>
      </c>
      <c r="H1825" s="62" t="s">
        <v>3951</v>
      </c>
      <c r="I1825" s="58">
        <f t="shared" si="117"/>
        <v>45260</v>
      </c>
      <c r="J1825" s="60">
        <f t="shared" si="116"/>
        <v>2023</v>
      </c>
      <c r="K1825" s="64">
        <v>17.373000000000001</v>
      </c>
      <c r="L1825" s="64">
        <v>17.187000000000001</v>
      </c>
      <c r="M1825" s="64">
        <v>17.1357</v>
      </c>
    </row>
    <row r="1826" spans="1:13">
      <c r="A1826" s="65" t="s">
        <v>3952</v>
      </c>
      <c r="B1826" s="66">
        <f t="shared" si="114"/>
        <v>40513</v>
      </c>
      <c r="C1826" s="67">
        <f t="shared" si="115"/>
        <v>2010</v>
      </c>
      <c r="D1826" s="68">
        <v>12.396699999999999</v>
      </c>
      <c r="E1826" s="68">
        <v>12.4664</v>
      </c>
      <c r="F1826" s="68">
        <v>12.553800000000001</v>
      </c>
      <c r="H1826" s="69" t="s">
        <v>3953</v>
      </c>
      <c r="I1826" s="66">
        <f t="shared" si="117"/>
        <v>45261</v>
      </c>
      <c r="J1826" s="70">
        <f t="shared" si="116"/>
        <v>2023</v>
      </c>
      <c r="K1826" s="71">
        <v>17.214300000000001</v>
      </c>
      <c r="L1826" s="71">
        <v>17.373000000000001</v>
      </c>
      <c r="M1826" s="71">
        <v>17.187000000000001</v>
      </c>
    </row>
    <row r="1827" spans="1:13">
      <c r="A1827" s="57" t="s">
        <v>3954</v>
      </c>
      <c r="B1827" s="58">
        <f t="shared" si="114"/>
        <v>40514</v>
      </c>
      <c r="C1827" s="59">
        <f t="shared" si="115"/>
        <v>2010</v>
      </c>
      <c r="D1827" s="61">
        <v>12.3546</v>
      </c>
      <c r="E1827" s="61">
        <v>12.396699999999999</v>
      </c>
      <c r="F1827" s="61">
        <v>12.4664</v>
      </c>
      <c r="H1827" s="62" t="s">
        <v>3955</v>
      </c>
      <c r="I1827" s="58">
        <f t="shared" si="117"/>
        <v>45262</v>
      </c>
      <c r="J1827" s="60">
        <f t="shared" si="116"/>
        <v>2023</v>
      </c>
      <c r="K1827" s="63" t="s">
        <v>362</v>
      </c>
      <c r="L1827" s="63" t="s">
        <v>362</v>
      </c>
      <c r="M1827" s="64">
        <v>17.373000000000001</v>
      </c>
    </row>
    <row r="1828" spans="1:13">
      <c r="A1828" s="65" t="s">
        <v>3956</v>
      </c>
      <c r="B1828" s="66">
        <f t="shared" si="114"/>
        <v>40515</v>
      </c>
      <c r="C1828" s="67">
        <f t="shared" si="115"/>
        <v>2010</v>
      </c>
      <c r="D1828" s="68">
        <v>12.3597</v>
      </c>
      <c r="E1828" s="68">
        <v>12.3546</v>
      </c>
      <c r="F1828" s="68">
        <v>12.396699999999999</v>
      </c>
      <c r="H1828" s="69" t="s">
        <v>3957</v>
      </c>
      <c r="I1828" s="66">
        <f t="shared" si="117"/>
        <v>45263</v>
      </c>
      <c r="J1828" s="70">
        <f t="shared" si="116"/>
        <v>2023</v>
      </c>
      <c r="K1828" s="72" t="s">
        <v>362</v>
      </c>
      <c r="L1828" s="72" t="s">
        <v>362</v>
      </c>
      <c r="M1828" s="71">
        <v>17.373000000000001</v>
      </c>
    </row>
    <row r="1829" spans="1:13">
      <c r="A1829" s="57" t="s">
        <v>3958</v>
      </c>
      <c r="B1829" s="58">
        <f t="shared" si="114"/>
        <v>40516</v>
      </c>
      <c r="C1829" s="59">
        <f t="shared" si="115"/>
        <v>2010</v>
      </c>
      <c r="D1829" s="60" t="s">
        <v>362</v>
      </c>
      <c r="E1829" s="60" t="s">
        <v>362</v>
      </c>
      <c r="F1829" s="61">
        <v>12.3546</v>
      </c>
      <c r="H1829" s="62" t="s">
        <v>3959</v>
      </c>
      <c r="I1829" s="58">
        <f t="shared" si="117"/>
        <v>45264</v>
      </c>
      <c r="J1829" s="60">
        <f t="shared" si="116"/>
        <v>2023</v>
      </c>
      <c r="K1829" s="64">
        <v>17.405999999999999</v>
      </c>
      <c r="L1829" s="64">
        <v>17.214300000000001</v>
      </c>
      <c r="M1829" s="64">
        <v>17.373000000000001</v>
      </c>
    </row>
    <row r="1830" spans="1:13">
      <c r="A1830" s="65" t="s">
        <v>3960</v>
      </c>
      <c r="B1830" s="66">
        <f t="shared" si="114"/>
        <v>40517</v>
      </c>
      <c r="C1830" s="67">
        <f t="shared" si="115"/>
        <v>2010</v>
      </c>
      <c r="D1830" s="70" t="s">
        <v>362</v>
      </c>
      <c r="E1830" s="70" t="s">
        <v>362</v>
      </c>
      <c r="F1830" s="68">
        <v>12.3546</v>
      </c>
      <c r="H1830" s="69" t="s">
        <v>3961</v>
      </c>
      <c r="I1830" s="66">
        <f t="shared" si="117"/>
        <v>45265</v>
      </c>
      <c r="J1830" s="70">
        <f t="shared" si="116"/>
        <v>2023</v>
      </c>
      <c r="K1830" s="71">
        <v>17.421500000000002</v>
      </c>
      <c r="L1830" s="71">
        <v>17.405999999999999</v>
      </c>
      <c r="M1830" s="71">
        <v>17.214300000000001</v>
      </c>
    </row>
    <row r="1831" spans="1:13">
      <c r="A1831" s="57" t="s">
        <v>3962</v>
      </c>
      <c r="B1831" s="58">
        <f t="shared" si="114"/>
        <v>40518</v>
      </c>
      <c r="C1831" s="59">
        <f t="shared" si="115"/>
        <v>2010</v>
      </c>
      <c r="D1831" s="61">
        <v>12.388400000000001</v>
      </c>
      <c r="E1831" s="61">
        <v>12.3597</v>
      </c>
      <c r="F1831" s="61">
        <v>12.3546</v>
      </c>
      <c r="H1831" s="62" t="s">
        <v>3963</v>
      </c>
      <c r="I1831" s="58">
        <f t="shared" si="117"/>
        <v>45266</v>
      </c>
      <c r="J1831" s="60">
        <f t="shared" si="116"/>
        <v>2023</v>
      </c>
      <c r="K1831" s="64">
        <v>17.2685</v>
      </c>
      <c r="L1831" s="64">
        <v>17.421500000000002</v>
      </c>
      <c r="M1831" s="64">
        <v>17.405999999999999</v>
      </c>
    </row>
    <row r="1832" spans="1:13">
      <c r="A1832" s="65" t="s">
        <v>3964</v>
      </c>
      <c r="B1832" s="66">
        <f t="shared" si="114"/>
        <v>40519</v>
      </c>
      <c r="C1832" s="67">
        <f t="shared" si="115"/>
        <v>2010</v>
      </c>
      <c r="D1832" s="68">
        <v>12.4123</v>
      </c>
      <c r="E1832" s="68">
        <v>12.388400000000001</v>
      </c>
      <c r="F1832" s="68">
        <v>12.3597</v>
      </c>
      <c r="H1832" s="69" t="s">
        <v>3965</v>
      </c>
      <c r="I1832" s="66">
        <f t="shared" si="117"/>
        <v>45267</v>
      </c>
      <c r="J1832" s="70">
        <f t="shared" si="116"/>
        <v>2023</v>
      </c>
      <c r="K1832" s="71">
        <v>17.419699999999999</v>
      </c>
      <c r="L1832" s="71">
        <v>17.2685</v>
      </c>
      <c r="M1832" s="71">
        <v>17.421500000000002</v>
      </c>
    </row>
    <row r="1833" spans="1:13">
      <c r="A1833" s="57" t="s">
        <v>3966</v>
      </c>
      <c r="B1833" s="58">
        <f t="shared" si="114"/>
        <v>40520</v>
      </c>
      <c r="C1833" s="59">
        <f t="shared" si="115"/>
        <v>2010</v>
      </c>
      <c r="D1833" s="61">
        <v>12.448399999999999</v>
      </c>
      <c r="E1833" s="61">
        <v>12.4123</v>
      </c>
      <c r="F1833" s="61">
        <v>12.388400000000001</v>
      </c>
      <c r="H1833" s="62" t="s">
        <v>3967</v>
      </c>
      <c r="I1833" s="58">
        <f t="shared" si="117"/>
        <v>45268</v>
      </c>
      <c r="J1833" s="60">
        <f t="shared" si="116"/>
        <v>2023</v>
      </c>
      <c r="K1833" s="64">
        <v>17.3688</v>
      </c>
      <c r="L1833" s="64">
        <v>17.419699999999999</v>
      </c>
      <c r="M1833" s="64">
        <v>17.2685</v>
      </c>
    </row>
    <row r="1834" spans="1:13">
      <c r="A1834" s="65" t="s">
        <v>3968</v>
      </c>
      <c r="B1834" s="66">
        <f t="shared" si="114"/>
        <v>40521</v>
      </c>
      <c r="C1834" s="67">
        <f t="shared" si="115"/>
        <v>2010</v>
      </c>
      <c r="D1834" s="68">
        <v>12.458600000000001</v>
      </c>
      <c r="E1834" s="68">
        <v>12.448399999999999</v>
      </c>
      <c r="F1834" s="68">
        <v>12.4123</v>
      </c>
      <c r="H1834" s="69" t="s">
        <v>3969</v>
      </c>
      <c r="I1834" s="66">
        <f t="shared" si="117"/>
        <v>45269</v>
      </c>
      <c r="J1834" s="70">
        <f t="shared" si="116"/>
        <v>2023</v>
      </c>
      <c r="K1834" s="72" t="s">
        <v>362</v>
      </c>
      <c r="L1834" s="72" t="s">
        <v>362</v>
      </c>
      <c r="M1834" s="71">
        <v>17.419699999999999</v>
      </c>
    </row>
    <row r="1835" spans="1:13">
      <c r="A1835" s="57" t="s">
        <v>3970</v>
      </c>
      <c r="B1835" s="58">
        <f t="shared" si="114"/>
        <v>40522</v>
      </c>
      <c r="C1835" s="59">
        <f t="shared" si="115"/>
        <v>2010</v>
      </c>
      <c r="D1835" s="61">
        <v>12.4617</v>
      </c>
      <c r="E1835" s="61">
        <v>12.458600000000001</v>
      </c>
      <c r="F1835" s="61">
        <v>12.448399999999999</v>
      </c>
      <c r="H1835" s="62" t="s">
        <v>3971</v>
      </c>
      <c r="I1835" s="58">
        <f t="shared" si="117"/>
        <v>45270</v>
      </c>
      <c r="J1835" s="60">
        <f t="shared" si="116"/>
        <v>2023</v>
      </c>
      <c r="K1835" s="63" t="s">
        <v>362</v>
      </c>
      <c r="L1835" s="63" t="s">
        <v>362</v>
      </c>
      <c r="M1835" s="64">
        <v>17.419699999999999</v>
      </c>
    </row>
    <row r="1836" spans="1:13">
      <c r="A1836" s="65" t="s">
        <v>3972</v>
      </c>
      <c r="B1836" s="66">
        <f t="shared" si="114"/>
        <v>40523</v>
      </c>
      <c r="C1836" s="67">
        <f t="shared" si="115"/>
        <v>2010</v>
      </c>
      <c r="D1836" s="70" t="s">
        <v>362</v>
      </c>
      <c r="E1836" s="70" t="s">
        <v>362</v>
      </c>
      <c r="F1836" s="68">
        <v>12.458600000000001</v>
      </c>
      <c r="H1836" s="69" t="s">
        <v>3973</v>
      </c>
      <c r="I1836" s="66">
        <f t="shared" si="117"/>
        <v>45271</v>
      </c>
      <c r="J1836" s="70">
        <f t="shared" si="116"/>
        <v>2023</v>
      </c>
      <c r="K1836" s="71">
        <v>17.446999999999999</v>
      </c>
      <c r="L1836" s="71">
        <v>17.3688</v>
      </c>
      <c r="M1836" s="71">
        <v>17.419699999999999</v>
      </c>
    </row>
    <row r="1837" spans="1:13">
      <c r="A1837" s="57" t="s">
        <v>3974</v>
      </c>
      <c r="B1837" s="58">
        <f t="shared" si="114"/>
        <v>40524</v>
      </c>
      <c r="C1837" s="59">
        <f t="shared" si="115"/>
        <v>2010</v>
      </c>
      <c r="D1837" s="60" t="s">
        <v>362</v>
      </c>
      <c r="E1837" s="60" t="s">
        <v>362</v>
      </c>
      <c r="F1837" s="61">
        <v>12.458600000000001</v>
      </c>
      <c r="H1837" s="62" t="s">
        <v>3975</v>
      </c>
      <c r="I1837" s="58">
        <f t="shared" si="117"/>
        <v>45272</v>
      </c>
      <c r="J1837" s="60">
        <f t="shared" si="116"/>
        <v>2023</v>
      </c>
      <c r="K1837" s="63" t="s">
        <v>362</v>
      </c>
      <c r="L1837" s="63" t="s">
        <v>362</v>
      </c>
      <c r="M1837" s="64">
        <v>17.3688</v>
      </c>
    </row>
    <row r="1838" spans="1:13">
      <c r="A1838" s="65" t="s">
        <v>3976</v>
      </c>
      <c r="B1838" s="66">
        <f t="shared" si="114"/>
        <v>40525</v>
      </c>
      <c r="C1838" s="67">
        <f t="shared" si="115"/>
        <v>2010</v>
      </c>
      <c r="D1838" s="68">
        <v>12.386900000000001</v>
      </c>
      <c r="E1838" s="68">
        <v>12.4617</v>
      </c>
      <c r="F1838" s="68">
        <v>12.458600000000001</v>
      </c>
      <c r="H1838" s="69" t="s">
        <v>3977</v>
      </c>
      <c r="I1838" s="66">
        <f t="shared" si="117"/>
        <v>45273</v>
      </c>
      <c r="J1838" s="70">
        <f t="shared" si="116"/>
        <v>2023</v>
      </c>
      <c r="K1838" s="71">
        <v>17.398</v>
      </c>
      <c r="L1838" s="71">
        <v>17.446999999999999</v>
      </c>
      <c r="M1838" s="71">
        <v>17.3688</v>
      </c>
    </row>
    <row r="1839" spans="1:13">
      <c r="A1839" s="57" t="s">
        <v>3978</v>
      </c>
      <c r="B1839" s="58">
        <f t="shared" si="114"/>
        <v>40526</v>
      </c>
      <c r="C1839" s="59">
        <f t="shared" si="115"/>
        <v>2010</v>
      </c>
      <c r="D1839" s="61">
        <v>12.3703</v>
      </c>
      <c r="E1839" s="61">
        <v>12.386900000000001</v>
      </c>
      <c r="F1839" s="61">
        <v>12.4617</v>
      </c>
      <c r="H1839" s="62" t="s">
        <v>3979</v>
      </c>
      <c r="I1839" s="58">
        <f t="shared" si="117"/>
        <v>45274</v>
      </c>
      <c r="J1839" s="60">
        <f t="shared" si="116"/>
        <v>2023</v>
      </c>
      <c r="K1839" s="64">
        <v>17.298999999999999</v>
      </c>
      <c r="L1839" s="64">
        <v>17.398</v>
      </c>
      <c r="M1839" s="64">
        <v>17.446999999999999</v>
      </c>
    </row>
    <row r="1840" spans="1:13">
      <c r="A1840" s="65" t="s">
        <v>3980</v>
      </c>
      <c r="B1840" s="66">
        <f t="shared" si="114"/>
        <v>40527</v>
      </c>
      <c r="C1840" s="67">
        <f t="shared" si="115"/>
        <v>2010</v>
      </c>
      <c r="D1840" s="68">
        <v>12.3963</v>
      </c>
      <c r="E1840" s="68">
        <v>12.3703</v>
      </c>
      <c r="F1840" s="68">
        <v>12.386900000000001</v>
      </c>
      <c r="H1840" s="69" t="s">
        <v>3981</v>
      </c>
      <c r="I1840" s="66">
        <f t="shared" si="117"/>
        <v>45275</v>
      </c>
      <c r="J1840" s="70">
        <f t="shared" si="116"/>
        <v>2023</v>
      </c>
      <c r="K1840" s="71">
        <v>17.190799999999999</v>
      </c>
      <c r="L1840" s="71">
        <v>17.298999999999999</v>
      </c>
      <c r="M1840" s="71">
        <v>17.398</v>
      </c>
    </row>
    <row r="1841" spans="1:13">
      <c r="A1841" s="57" t="s">
        <v>3982</v>
      </c>
      <c r="B1841" s="58">
        <f t="shared" si="114"/>
        <v>40528</v>
      </c>
      <c r="C1841" s="59">
        <f t="shared" si="115"/>
        <v>2010</v>
      </c>
      <c r="D1841" s="61">
        <v>12.4505</v>
      </c>
      <c r="E1841" s="61">
        <v>12.3963</v>
      </c>
      <c r="F1841" s="61">
        <v>12.3703</v>
      </c>
      <c r="H1841" s="62" t="s">
        <v>3983</v>
      </c>
      <c r="I1841" s="58">
        <f t="shared" si="117"/>
        <v>45276</v>
      </c>
      <c r="J1841" s="60">
        <f t="shared" si="116"/>
        <v>2023</v>
      </c>
      <c r="K1841" s="63" t="s">
        <v>362</v>
      </c>
      <c r="L1841" s="63" t="s">
        <v>362</v>
      </c>
      <c r="M1841" s="64">
        <v>17.298999999999999</v>
      </c>
    </row>
    <row r="1842" spans="1:13">
      <c r="A1842" s="65" t="s">
        <v>3984</v>
      </c>
      <c r="B1842" s="66">
        <f t="shared" si="114"/>
        <v>40529</v>
      </c>
      <c r="C1842" s="67">
        <f t="shared" si="115"/>
        <v>2010</v>
      </c>
      <c r="D1842" s="68">
        <v>12.4345</v>
      </c>
      <c r="E1842" s="68">
        <v>12.4505</v>
      </c>
      <c r="F1842" s="68">
        <v>12.3963</v>
      </c>
      <c r="H1842" s="69" t="s">
        <v>3985</v>
      </c>
      <c r="I1842" s="66">
        <f t="shared" si="117"/>
        <v>45277</v>
      </c>
      <c r="J1842" s="70">
        <f t="shared" si="116"/>
        <v>2023</v>
      </c>
      <c r="K1842" s="72" t="s">
        <v>362</v>
      </c>
      <c r="L1842" s="72" t="s">
        <v>362</v>
      </c>
      <c r="M1842" s="71">
        <v>17.298999999999999</v>
      </c>
    </row>
    <row r="1843" spans="1:13">
      <c r="A1843" s="57" t="s">
        <v>3986</v>
      </c>
      <c r="B1843" s="58">
        <f t="shared" si="114"/>
        <v>40530</v>
      </c>
      <c r="C1843" s="59">
        <f t="shared" si="115"/>
        <v>2010</v>
      </c>
      <c r="D1843" s="60" t="s">
        <v>362</v>
      </c>
      <c r="E1843" s="60" t="s">
        <v>362</v>
      </c>
      <c r="F1843" s="61">
        <v>12.4505</v>
      </c>
      <c r="H1843" s="62" t="s">
        <v>3987</v>
      </c>
      <c r="I1843" s="58">
        <f t="shared" si="117"/>
        <v>45278</v>
      </c>
      <c r="J1843" s="60">
        <f t="shared" si="116"/>
        <v>2023</v>
      </c>
      <c r="K1843" s="64">
        <v>17.227699999999999</v>
      </c>
      <c r="L1843" s="64">
        <v>17.190799999999999</v>
      </c>
      <c r="M1843" s="64">
        <v>17.298999999999999</v>
      </c>
    </row>
    <row r="1844" spans="1:13">
      <c r="A1844" s="65" t="s">
        <v>3988</v>
      </c>
      <c r="B1844" s="66">
        <f t="shared" si="114"/>
        <v>40531</v>
      </c>
      <c r="C1844" s="67">
        <f t="shared" si="115"/>
        <v>2010</v>
      </c>
      <c r="D1844" s="70" t="s">
        <v>362</v>
      </c>
      <c r="E1844" s="70" t="s">
        <v>362</v>
      </c>
      <c r="F1844" s="68">
        <v>12.4505</v>
      </c>
      <c r="H1844" s="69" t="s">
        <v>3989</v>
      </c>
      <c r="I1844" s="66">
        <f t="shared" si="117"/>
        <v>45279</v>
      </c>
      <c r="J1844" s="70">
        <f t="shared" si="116"/>
        <v>2023</v>
      </c>
      <c r="K1844" s="71">
        <v>17.065200000000001</v>
      </c>
      <c r="L1844" s="71">
        <v>17.227699999999999</v>
      </c>
      <c r="M1844" s="71">
        <v>17.190799999999999</v>
      </c>
    </row>
    <row r="1845" spans="1:13">
      <c r="A1845" s="57" t="s">
        <v>3990</v>
      </c>
      <c r="B1845" s="58">
        <f t="shared" si="114"/>
        <v>40532</v>
      </c>
      <c r="C1845" s="59">
        <f t="shared" si="115"/>
        <v>2010</v>
      </c>
      <c r="D1845" s="61">
        <v>12.417</v>
      </c>
      <c r="E1845" s="61">
        <v>12.4345</v>
      </c>
      <c r="F1845" s="61">
        <v>12.4505</v>
      </c>
      <c r="H1845" s="62" t="s">
        <v>3991</v>
      </c>
      <c r="I1845" s="58">
        <f t="shared" si="117"/>
        <v>45280</v>
      </c>
      <c r="J1845" s="60">
        <f t="shared" si="116"/>
        <v>2023</v>
      </c>
      <c r="K1845" s="64">
        <v>17.067299999999999</v>
      </c>
      <c r="L1845" s="64">
        <v>17.065200000000001</v>
      </c>
      <c r="M1845" s="64">
        <v>17.227699999999999</v>
      </c>
    </row>
    <row r="1846" spans="1:13">
      <c r="A1846" s="65" t="s">
        <v>3992</v>
      </c>
      <c r="B1846" s="66">
        <f t="shared" si="114"/>
        <v>40533</v>
      </c>
      <c r="C1846" s="67">
        <f t="shared" si="115"/>
        <v>2010</v>
      </c>
      <c r="D1846" s="68">
        <v>12.372</v>
      </c>
      <c r="E1846" s="68">
        <v>12.417</v>
      </c>
      <c r="F1846" s="68">
        <v>12.4345</v>
      </c>
      <c r="H1846" s="69" t="s">
        <v>3993</v>
      </c>
      <c r="I1846" s="66">
        <f t="shared" si="117"/>
        <v>45281</v>
      </c>
      <c r="J1846" s="70">
        <f t="shared" si="116"/>
        <v>2023</v>
      </c>
      <c r="K1846" s="71">
        <v>17.059000000000001</v>
      </c>
      <c r="L1846" s="71">
        <v>17.067299999999999</v>
      </c>
      <c r="M1846" s="71">
        <v>17.065200000000001</v>
      </c>
    </row>
    <row r="1847" spans="1:13">
      <c r="A1847" s="57" t="s">
        <v>3994</v>
      </c>
      <c r="B1847" s="58">
        <f t="shared" si="114"/>
        <v>40534</v>
      </c>
      <c r="C1847" s="59">
        <f t="shared" si="115"/>
        <v>2010</v>
      </c>
      <c r="D1847" s="61">
        <v>12.337899999999999</v>
      </c>
      <c r="E1847" s="61">
        <v>12.372</v>
      </c>
      <c r="F1847" s="61">
        <v>12.417</v>
      </c>
      <c r="H1847" s="62" t="s">
        <v>3995</v>
      </c>
      <c r="I1847" s="58">
        <f t="shared" si="117"/>
        <v>45282</v>
      </c>
      <c r="J1847" s="60">
        <f t="shared" si="116"/>
        <v>2023</v>
      </c>
      <c r="K1847" s="64">
        <v>16.973800000000001</v>
      </c>
      <c r="L1847" s="64">
        <v>17.059000000000001</v>
      </c>
      <c r="M1847" s="64">
        <v>17.067299999999999</v>
      </c>
    </row>
    <row r="1848" spans="1:13">
      <c r="A1848" s="65" t="s">
        <v>3996</v>
      </c>
      <c r="B1848" s="66">
        <f t="shared" si="114"/>
        <v>40535</v>
      </c>
      <c r="C1848" s="67">
        <f t="shared" si="115"/>
        <v>2010</v>
      </c>
      <c r="D1848" s="68">
        <v>12.3332</v>
      </c>
      <c r="E1848" s="68">
        <v>12.337899999999999</v>
      </c>
      <c r="F1848" s="68">
        <v>12.372</v>
      </c>
      <c r="H1848" s="69" t="s">
        <v>3997</v>
      </c>
      <c r="I1848" s="66">
        <f t="shared" si="117"/>
        <v>45283</v>
      </c>
      <c r="J1848" s="70">
        <f t="shared" si="116"/>
        <v>2023</v>
      </c>
      <c r="K1848" s="72" t="s">
        <v>362</v>
      </c>
      <c r="L1848" s="72" t="s">
        <v>362</v>
      </c>
      <c r="M1848" s="71">
        <v>17.059000000000001</v>
      </c>
    </row>
    <row r="1849" spans="1:13">
      <c r="A1849" s="57" t="s">
        <v>3998</v>
      </c>
      <c r="B1849" s="58">
        <f t="shared" si="114"/>
        <v>40536</v>
      </c>
      <c r="C1849" s="59">
        <f t="shared" si="115"/>
        <v>2010</v>
      </c>
      <c r="D1849" s="61">
        <v>12.3459</v>
      </c>
      <c r="E1849" s="61">
        <v>12.3332</v>
      </c>
      <c r="F1849" s="61">
        <v>12.337899999999999</v>
      </c>
      <c r="H1849" s="62" t="s">
        <v>3999</v>
      </c>
      <c r="I1849" s="58">
        <f t="shared" si="117"/>
        <v>45284</v>
      </c>
      <c r="J1849" s="60">
        <f t="shared" si="116"/>
        <v>2023</v>
      </c>
      <c r="K1849" s="63" t="s">
        <v>362</v>
      </c>
      <c r="L1849" s="63" t="s">
        <v>362</v>
      </c>
      <c r="M1849" s="64">
        <v>17.059000000000001</v>
      </c>
    </row>
    <row r="1850" spans="1:13">
      <c r="A1850" s="65" t="s">
        <v>4000</v>
      </c>
      <c r="B1850" s="66">
        <f t="shared" si="114"/>
        <v>40537</v>
      </c>
      <c r="C1850" s="67">
        <f t="shared" si="115"/>
        <v>2010</v>
      </c>
      <c r="D1850" s="70" t="s">
        <v>362</v>
      </c>
      <c r="E1850" s="70" t="s">
        <v>362</v>
      </c>
      <c r="F1850" s="68">
        <v>12.3332</v>
      </c>
      <c r="H1850" s="69" t="s">
        <v>4001</v>
      </c>
      <c r="I1850" s="66">
        <f t="shared" si="117"/>
        <v>45285</v>
      </c>
      <c r="J1850" s="70">
        <f t="shared" si="116"/>
        <v>2023</v>
      </c>
      <c r="K1850" s="72" t="s">
        <v>362</v>
      </c>
      <c r="L1850" s="72" t="s">
        <v>362</v>
      </c>
      <c r="M1850" s="71">
        <v>17.059000000000001</v>
      </c>
    </row>
    <row r="1851" spans="1:13">
      <c r="A1851" s="57" t="s">
        <v>4002</v>
      </c>
      <c r="B1851" s="58">
        <f t="shared" si="114"/>
        <v>40538</v>
      </c>
      <c r="C1851" s="59">
        <f t="shared" si="115"/>
        <v>2010</v>
      </c>
      <c r="D1851" s="60" t="s">
        <v>362</v>
      </c>
      <c r="E1851" s="60" t="s">
        <v>362</v>
      </c>
      <c r="F1851" s="61">
        <v>12.3332</v>
      </c>
      <c r="H1851" s="62" t="s">
        <v>4003</v>
      </c>
      <c r="I1851" s="58">
        <f t="shared" si="117"/>
        <v>45286</v>
      </c>
      <c r="J1851" s="60">
        <f t="shared" si="116"/>
        <v>2023</v>
      </c>
      <c r="K1851" s="64">
        <v>16.9727</v>
      </c>
      <c r="L1851" s="64">
        <v>16.973800000000001</v>
      </c>
      <c r="M1851" s="64">
        <v>17.059000000000001</v>
      </c>
    </row>
    <row r="1852" spans="1:13">
      <c r="A1852" s="65" t="s">
        <v>4004</v>
      </c>
      <c r="B1852" s="66">
        <f t="shared" si="114"/>
        <v>40539</v>
      </c>
      <c r="C1852" s="67">
        <f t="shared" si="115"/>
        <v>2010</v>
      </c>
      <c r="D1852" s="68">
        <v>12.3653</v>
      </c>
      <c r="E1852" s="68">
        <v>12.3459</v>
      </c>
      <c r="F1852" s="68">
        <v>12.3332</v>
      </c>
      <c r="H1852" s="69" t="s">
        <v>4005</v>
      </c>
      <c r="I1852" s="66">
        <f t="shared" si="117"/>
        <v>45287</v>
      </c>
      <c r="J1852" s="70">
        <f t="shared" si="116"/>
        <v>2023</v>
      </c>
      <c r="K1852" s="71">
        <v>16.922000000000001</v>
      </c>
      <c r="L1852" s="71">
        <v>16.9727</v>
      </c>
      <c r="M1852" s="71">
        <v>16.973800000000001</v>
      </c>
    </row>
    <row r="1853" spans="1:13">
      <c r="A1853" s="57" t="s">
        <v>4006</v>
      </c>
      <c r="B1853" s="58">
        <f t="shared" si="114"/>
        <v>40540</v>
      </c>
      <c r="C1853" s="59">
        <f t="shared" si="115"/>
        <v>2010</v>
      </c>
      <c r="D1853" s="61">
        <v>12.3567</v>
      </c>
      <c r="E1853" s="61">
        <v>12.3653</v>
      </c>
      <c r="F1853" s="61">
        <v>12.3459</v>
      </c>
      <c r="H1853" s="62" t="s">
        <v>4007</v>
      </c>
      <c r="I1853" s="58">
        <f t="shared" si="117"/>
        <v>45288</v>
      </c>
      <c r="J1853" s="60">
        <f t="shared" si="116"/>
        <v>2023</v>
      </c>
      <c r="K1853" s="64">
        <v>16.8935</v>
      </c>
      <c r="L1853" s="64">
        <v>16.922000000000001</v>
      </c>
      <c r="M1853" s="64">
        <v>16.9727</v>
      </c>
    </row>
    <row r="1854" spans="1:13">
      <c r="A1854" s="65" t="s">
        <v>4008</v>
      </c>
      <c r="B1854" s="66">
        <f t="shared" si="114"/>
        <v>40541</v>
      </c>
      <c r="C1854" s="67">
        <f t="shared" si="115"/>
        <v>2010</v>
      </c>
      <c r="D1854" s="68">
        <v>12.357100000000001</v>
      </c>
      <c r="E1854" s="68">
        <v>12.3567</v>
      </c>
      <c r="F1854" s="68">
        <v>12.3653</v>
      </c>
      <c r="H1854" s="69" t="s">
        <v>4009</v>
      </c>
      <c r="I1854" s="66">
        <f t="shared" si="117"/>
        <v>45289</v>
      </c>
      <c r="J1854" s="70">
        <f t="shared" si="116"/>
        <v>2023</v>
      </c>
      <c r="K1854" s="71">
        <v>16.919</v>
      </c>
      <c r="L1854" s="71">
        <v>16.8935</v>
      </c>
      <c r="M1854" s="71">
        <v>16.922000000000001</v>
      </c>
    </row>
    <row r="1855" spans="1:13">
      <c r="A1855" s="57" t="s">
        <v>4010</v>
      </c>
      <c r="B1855" s="58">
        <f t="shared" si="114"/>
        <v>40542</v>
      </c>
      <c r="C1855" s="59">
        <f t="shared" si="115"/>
        <v>2010</v>
      </c>
      <c r="D1855" s="61">
        <v>12.3817</v>
      </c>
      <c r="E1855" s="61">
        <v>12.357100000000001</v>
      </c>
      <c r="F1855" s="61">
        <v>12.3567</v>
      </c>
      <c r="H1855" s="62" t="s">
        <v>4011</v>
      </c>
      <c r="I1855" s="58">
        <f t="shared" si="117"/>
        <v>45290</v>
      </c>
      <c r="J1855" s="60">
        <f t="shared" si="116"/>
        <v>2023</v>
      </c>
      <c r="K1855" s="63" t="s">
        <v>362</v>
      </c>
      <c r="L1855" s="63" t="s">
        <v>362</v>
      </c>
      <c r="M1855" s="64">
        <v>16.8935</v>
      </c>
    </row>
    <row r="1856" spans="1:13">
      <c r="A1856" s="65" t="s">
        <v>4012</v>
      </c>
      <c r="B1856" s="66">
        <f t="shared" si="114"/>
        <v>40543</v>
      </c>
      <c r="C1856" s="67">
        <f t="shared" si="115"/>
        <v>2010</v>
      </c>
      <c r="D1856" s="68">
        <v>12.349600000000001</v>
      </c>
      <c r="E1856" s="68">
        <v>12.3817</v>
      </c>
      <c r="F1856" s="68">
        <v>12.357100000000001</v>
      </c>
      <c r="H1856" s="69" t="s">
        <v>4013</v>
      </c>
      <c r="I1856" s="66">
        <f t="shared" si="117"/>
        <v>45291</v>
      </c>
      <c r="J1856" s="70">
        <f t="shared" si="116"/>
        <v>2023</v>
      </c>
      <c r="K1856" s="72" t="s">
        <v>362</v>
      </c>
      <c r="L1856" s="72" t="s">
        <v>362</v>
      </c>
      <c r="M1856" s="71">
        <v>16.8935</v>
      </c>
    </row>
    <row r="1857" spans="1:13">
      <c r="A1857" s="57" t="s">
        <v>4014</v>
      </c>
      <c r="B1857" s="58">
        <f t="shared" si="114"/>
        <v>40544</v>
      </c>
      <c r="C1857" s="59">
        <f t="shared" si="115"/>
        <v>2011</v>
      </c>
      <c r="D1857" s="60" t="s">
        <v>362</v>
      </c>
      <c r="E1857" s="60" t="s">
        <v>362</v>
      </c>
      <c r="F1857" s="61">
        <v>12.3817</v>
      </c>
      <c r="H1857" s="62" t="s">
        <v>4015</v>
      </c>
      <c r="I1857" s="58">
        <f t="shared" si="117"/>
        <v>45292</v>
      </c>
      <c r="J1857" s="60">
        <f t="shared" si="116"/>
        <v>2024</v>
      </c>
      <c r="K1857" s="63" t="s">
        <v>362</v>
      </c>
      <c r="L1857" s="63" t="s">
        <v>362</v>
      </c>
      <c r="M1857" s="64">
        <v>16.8935</v>
      </c>
    </row>
    <row r="1858" spans="1:13">
      <c r="A1858" s="65" t="s">
        <v>4016</v>
      </c>
      <c r="B1858" s="66">
        <f t="shared" si="114"/>
        <v>40545</v>
      </c>
      <c r="C1858" s="67">
        <f t="shared" si="115"/>
        <v>2011</v>
      </c>
      <c r="D1858" s="70" t="s">
        <v>362</v>
      </c>
      <c r="E1858" s="70" t="s">
        <v>362</v>
      </c>
      <c r="F1858" s="68">
        <v>12.3817</v>
      </c>
      <c r="H1858" s="69" t="s">
        <v>4017</v>
      </c>
      <c r="I1858" s="66">
        <f t="shared" si="117"/>
        <v>45293</v>
      </c>
      <c r="J1858" s="70">
        <f t="shared" si="116"/>
        <v>2024</v>
      </c>
      <c r="K1858" s="71">
        <v>17.029699999999998</v>
      </c>
      <c r="L1858" s="71">
        <v>16.919</v>
      </c>
      <c r="M1858" s="71">
        <v>16.8935</v>
      </c>
    </row>
    <row r="1859" spans="1:13">
      <c r="A1859" s="57" t="s">
        <v>4018</v>
      </c>
      <c r="B1859" s="58">
        <f t="shared" si="114"/>
        <v>40546</v>
      </c>
      <c r="C1859" s="59">
        <f t="shared" si="115"/>
        <v>2011</v>
      </c>
      <c r="D1859" s="61">
        <v>12.257400000000001</v>
      </c>
      <c r="E1859" s="61">
        <v>12.349600000000001</v>
      </c>
      <c r="F1859" s="61">
        <v>12.3817</v>
      </c>
      <c r="H1859" s="62" t="s">
        <v>4019</v>
      </c>
      <c r="I1859" s="58">
        <f t="shared" si="117"/>
        <v>45294</v>
      </c>
      <c r="J1859" s="60">
        <f t="shared" si="116"/>
        <v>2024</v>
      </c>
      <c r="K1859" s="64">
        <v>17.049199999999999</v>
      </c>
      <c r="L1859" s="64">
        <v>17.029699999999998</v>
      </c>
      <c r="M1859" s="64">
        <v>16.919</v>
      </c>
    </row>
    <row r="1860" spans="1:13">
      <c r="A1860" s="65" t="s">
        <v>4020</v>
      </c>
      <c r="B1860" s="66">
        <f t="shared" si="114"/>
        <v>40547</v>
      </c>
      <c r="C1860" s="67">
        <f t="shared" si="115"/>
        <v>2011</v>
      </c>
      <c r="D1860" s="68">
        <v>12.261900000000001</v>
      </c>
      <c r="E1860" s="68">
        <v>12.257400000000001</v>
      </c>
      <c r="F1860" s="68">
        <v>12.349600000000001</v>
      </c>
      <c r="H1860" s="69" t="s">
        <v>4021</v>
      </c>
      <c r="I1860" s="66">
        <f t="shared" si="117"/>
        <v>45295</v>
      </c>
      <c r="J1860" s="70">
        <f t="shared" si="116"/>
        <v>2024</v>
      </c>
      <c r="K1860" s="71">
        <v>17.0458</v>
      </c>
      <c r="L1860" s="71">
        <v>17.049199999999999</v>
      </c>
      <c r="M1860" s="71">
        <v>17.029699999999998</v>
      </c>
    </row>
    <row r="1861" spans="1:13">
      <c r="A1861" s="57" t="s">
        <v>4022</v>
      </c>
      <c r="B1861" s="58">
        <f t="shared" si="114"/>
        <v>40548</v>
      </c>
      <c r="C1861" s="59">
        <f t="shared" si="115"/>
        <v>2011</v>
      </c>
      <c r="D1861" s="61">
        <v>12.2064</v>
      </c>
      <c r="E1861" s="61">
        <v>12.261900000000001</v>
      </c>
      <c r="F1861" s="61">
        <v>12.257400000000001</v>
      </c>
      <c r="H1861" s="62" t="s">
        <v>4023</v>
      </c>
      <c r="I1861" s="58">
        <f t="shared" si="117"/>
        <v>45296</v>
      </c>
      <c r="J1861" s="60">
        <f t="shared" si="116"/>
        <v>2024</v>
      </c>
      <c r="K1861" s="64">
        <v>16.898700000000002</v>
      </c>
      <c r="L1861" s="64">
        <v>17.0458</v>
      </c>
      <c r="M1861" s="64">
        <v>17.049199999999999</v>
      </c>
    </row>
    <row r="1862" spans="1:13">
      <c r="A1862" s="65" t="s">
        <v>4024</v>
      </c>
      <c r="B1862" s="66">
        <f t="shared" si="114"/>
        <v>40549</v>
      </c>
      <c r="C1862" s="67">
        <f t="shared" si="115"/>
        <v>2011</v>
      </c>
      <c r="D1862" s="68">
        <v>12.2256</v>
      </c>
      <c r="E1862" s="68">
        <v>12.2064</v>
      </c>
      <c r="F1862" s="68">
        <v>12.261900000000001</v>
      </c>
      <c r="H1862" s="69" t="s">
        <v>4025</v>
      </c>
      <c r="I1862" s="66">
        <f t="shared" si="117"/>
        <v>45297</v>
      </c>
      <c r="J1862" s="70">
        <f t="shared" si="116"/>
        <v>2024</v>
      </c>
      <c r="K1862" s="72" t="s">
        <v>362</v>
      </c>
      <c r="L1862" s="72" t="s">
        <v>362</v>
      </c>
      <c r="M1862" s="71">
        <v>17.0458</v>
      </c>
    </row>
    <row r="1863" spans="1:13">
      <c r="A1863" s="57" t="s">
        <v>4026</v>
      </c>
      <c r="B1863" s="58">
        <f t="shared" si="114"/>
        <v>40550</v>
      </c>
      <c r="C1863" s="59">
        <f t="shared" si="115"/>
        <v>2011</v>
      </c>
      <c r="D1863" s="61">
        <v>12.2369</v>
      </c>
      <c r="E1863" s="61">
        <v>12.2256</v>
      </c>
      <c r="F1863" s="61">
        <v>12.2064</v>
      </c>
      <c r="H1863" s="62" t="s">
        <v>4027</v>
      </c>
      <c r="I1863" s="58">
        <f t="shared" si="117"/>
        <v>45298</v>
      </c>
      <c r="J1863" s="60">
        <f t="shared" si="116"/>
        <v>2024</v>
      </c>
      <c r="K1863" s="63" t="s">
        <v>362</v>
      </c>
      <c r="L1863" s="63" t="s">
        <v>362</v>
      </c>
      <c r="M1863" s="64">
        <v>17.0458</v>
      </c>
    </row>
    <row r="1864" spans="1:13">
      <c r="A1864" s="65" t="s">
        <v>4028</v>
      </c>
      <c r="B1864" s="66">
        <f t="shared" si="114"/>
        <v>40551</v>
      </c>
      <c r="C1864" s="67">
        <f t="shared" si="115"/>
        <v>2011</v>
      </c>
      <c r="D1864" s="70" t="s">
        <v>362</v>
      </c>
      <c r="E1864" s="70" t="s">
        <v>362</v>
      </c>
      <c r="F1864" s="68">
        <v>12.2256</v>
      </c>
      <c r="H1864" s="69" t="s">
        <v>4029</v>
      </c>
      <c r="I1864" s="66">
        <f t="shared" si="117"/>
        <v>45299</v>
      </c>
      <c r="J1864" s="70">
        <f t="shared" si="116"/>
        <v>2024</v>
      </c>
      <c r="K1864" s="71">
        <v>16.813300000000002</v>
      </c>
      <c r="L1864" s="71">
        <v>16.898700000000002</v>
      </c>
      <c r="M1864" s="71">
        <v>17.0458</v>
      </c>
    </row>
    <row r="1865" spans="1:13">
      <c r="A1865" s="57" t="s">
        <v>4030</v>
      </c>
      <c r="B1865" s="58">
        <f t="shared" si="114"/>
        <v>40552</v>
      </c>
      <c r="C1865" s="59">
        <f t="shared" si="115"/>
        <v>2011</v>
      </c>
      <c r="D1865" s="60" t="s">
        <v>362</v>
      </c>
      <c r="E1865" s="60" t="s">
        <v>362</v>
      </c>
      <c r="F1865" s="61">
        <v>12.2256</v>
      </c>
      <c r="H1865" s="62" t="s">
        <v>4031</v>
      </c>
      <c r="I1865" s="58">
        <f t="shared" si="117"/>
        <v>45300</v>
      </c>
      <c r="J1865" s="60">
        <f t="shared" si="116"/>
        <v>2024</v>
      </c>
      <c r="K1865" s="64">
        <v>16.934699999999999</v>
      </c>
      <c r="L1865" s="64">
        <v>16.813300000000002</v>
      </c>
      <c r="M1865" s="64">
        <v>16.898700000000002</v>
      </c>
    </row>
    <row r="1866" spans="1:13">
      <c r="A1866" s="65" t="s">
        <v>4032</v>
      </c>
      <c r="B1866" s="66">
        <f t="shared" si="114"/>
        <v>40553</v>
      </c>
      <c r="C1866" s="67">
        <f t="shared" si="115"/>
        <v>2011</v>
      </c>
      <c r="D1866" s="68">
        <v>12.254200000000001</v>
      </c>
      <c r="E1866" s="68">
        <v>12.2369</v>
      </c>
      <c r="F1866" s="68">
        <v>12.2256</v>
      </c>
      <c r="H1866" s="69" t="s">
        <v>4033</v>
      </c>
      <c r="I1866" s="66">
        <f t="shared" si="117"/>
        <v>45301</v>
      </c>
      <c r="J1866" s="70">
        <f t="shared" si="116"/>
        <v>2024</v>
      </c>
      <c r="K1866" s="71">
        <v>16.991199999999999</v>
      </c>
      <c r="L1866" s="71">
        <v>16.934699999999999</v>
      </c>
      <c r="M1866" s="71">
        <v>16.813300000000002</v>
      </c>
    </row>
    <row r="1867" spans="1:13">
      <c r="A1867" s="57" t="s">
        <v>4034</v>
      </c>
      <c r="B1867" s="58">
        <f t="shared" si="114"/>
        <v>40554</v>
      </c>
      <c r="C1867" s="59">
        <f t="shared" si="115"/>
        <v>2011</v>
      </c>
      <c r="D1867" s="61">
        <v>12.1907</v>
      </c>
      <c r="E1867" s="61">
        <v>12.254200000000001</v>
      </c>
      <c r="F1867" s="61">
        <v>12.2369</v>
      </c>
      <c r="H1867" s="62" t="s">
        <v>4035</v>
      </c>
      <c r="I1867" s="58">
        <f t="shared" si="117"/>
        <v>45302</v>
      </c>
      <c r="J1867" s="60">
        <f t="shared" si="116"/>
        <v>2024</v>
      </c>
      <c r="K1867" s="64">
        <v>16.989799999999999</v>
      </c>
      <c r="L1867" s="64">
        <v>16.991199999999999</v>
      </c>
      <c r="M1867" s="64">
        <v>16.934699999999999</v>
      </c>
    </row>
    <row r="1868" spans="1:13">
      <c r="A1868" s="65" t="s">
        <v>4036</v>
      </c>
      <c r="B1868" s="66">
        <f t="shared" si="114"/>
        <v>40555</v>
      </c>
      <c r="C1868" s="67">
        <f t="shared" si="115"/>
        <v>2011</v>
      </c>
      <c r="D1868" s="68">
        <v>12.075699999999999</v>
      </c>
      <c r="E1868" s="68">
        <v>12.1907</v>
      </c>
      <c r="F1868" s="68">
        <v>12.254200000000001</v>
      </c>
      <c r="H1868" s="69" t="s">
        <v>4037</v>
      </c>
      <c r="I1868" s="66">
        <f t="shared" si="117"/>
        <v>45303</v>
      </c>
      <c r="J1868" s="70">
        <f t="shared" si="116"/>
        <v>2024</v>
      </c>
      <c r="K1868" s="71">
        <v>16.858000000000001</v>
      </c>
      <c r="L1868" s="71">
        <v>16.989799999999999</v>
      </c>
      <c r="M1868" s="71">
        <v>16.991199999999999</v>
      </c>
    </row>
    <row r="1869" spans="1:13">
      <c r="A1869" s="57" t="s">
        <v>4038</v>
      </c>
      <c r="B1869" s="58">
        <f t="shared" si="114"/>
        <v>40556</v>
      </c>
      <c r="C1869" s="59">
        <f t="shared" si="115"/>
        <v>2011</v>
      </c>
      <c r="D1869" s="61">
        <v>12.1028</v>
      </c>
      <c r="E1869" s="61">
        <v>12.075699999999999</v>
      </c>
      <c r="F1869" s="61">
        <v>12.1907</v>
      </c>
      <c r="H1869" s="62" t="s">
        <v>4039</v>
      </c>
      <c r="I1869" s="58">
        <f t="shared" si="117"/>
        <v>45304</v>
      </c>
      <c r="J1869" s="60">
        <f t="shared" si="116"/>
        <v>2024</v>
      </c>
      <c r="K1869" s="63" t="s">
        <v>362</v>
      </c>
      <c r="L1869" s="63" t="s">
        <v>362</v>
      </c>
      <c r="M1869" s="64">
        <v>16.989799999999999</v>
      </c>
    </row>
    <row r="1870" spans="1:13">
      <c r="A1870" s="65" t="s">
        <v>4040</v>
      </c>
      <c r="B1870" s="66">
        <f t="shared" si="114"/>
        <v>40557</v>
      </c>
      <c r="C1870" s="67">
        <f t="shared" si="115"/>
        <v>2011</v>
      </c>
      <c r="D1870" s="68">
        <v>12.0871</v>
      </c>
      <c r="E1870" s="68">
        <v>12.1028</v>
      </c>
      <c r="F1870" s="68">
        <v>12.075699999999999</v>
      </c>
      <c r="H1870" s="69" t="s">
        <v>4041</v>
      </c>
      <c r="I1870" s="66">
        <f t="shared" si="117"/>
        <v>45305</v>
      </c>
      <c r="J1870" s="70">
        <f t="shared" si="116"/>
        <v>2024</v>
      </c>
      <c r="K1870" s="72" t="s">
        <v>362</v>
      </c>
      <c r="L1870" s="72" t="s">
        <v>362</v>
      </c>
      <c r="M1870" s="71">
        <v>16.989799999999999</v>
      </c>
    </row>
    <row r="1871" spans="1:13">
      <c r="A1871" s="57" t="s">
        <v>4042</v>
      </c>
      <c r="B1871" s="58">
        <f t="shared" si="114"/>
        <v>40558</v>
      </c>
      <c r="C1871" s="59">
        <f t="shared" si="115"/>
        <v>2011</v>
      </c>
      <c r="D1871" s="60" t="s">
        <v>362</v>
      </c>
      <c r="E1871" s="60" t="s">
        <v>362</v>
      </c>
      <c r="F1871" s="61">
        <v>12.1028</v>
      </c>
      <c r="H1871" s="62" t="s">
        <v>4043</v>
      </c>
      <c r="I1871" s="58">
        <f t="shared" si="117"/>
        <v>45306</v>
      </c>
      <c r="J1871" s="60">
        <f t="shared" si="116"/>
        <v>2024</v>
      </c>
      <c r="K1871" s="64">
        <v>16.898299999999999</v>
      </c>
      <c r="L1871" s="64">
        <v>16.858000000000001</v>
      </c>
      <c r="M1871" s="64">
        <v>16.989799999999999</v>
      </c>
    </row>
    <row r="1872" spans="1:13">
      <c r="A1872" s="65" t="s">
        <v>4044</v>
      </c>
      <c r="B1872" s="66">
        <f t="shared" si="114"/>
        <v>40559</v>
      </c>
      <c r="C1872" s="67">
        <f t="shared" si="115"/>
        <v>2011</v>
      </c>
      <c r="D1872" s="70" t="s">
        <v>362</v>
      </c>
      <c r="E1872" s="70" t="s">
        <v>362</v>
      </c>
      <c r="F1872" s="68">
        <v>12.1028</v>
      </c>
      <c r="H1872" s="69" t="s">
        <v>4045</v>
      </c>
      <c r="I1872" s="66">
        <f t="shared" si="117"/>
        <v>45307</v>
      </c>
      <c r="J1872" s="70">
        <f t="shared" si="116"/>
        <v>2024</v>
      </c>
      <c r="K1872" s="71">
        <v>17.159800000000001</v>
      </c>
      <c r="L1872" s="71">
        <v>16.898299999999999</v>
      </c>
      <c r="M1872" s="71">
        <v>16.858000000000001</v>
      </c>
    </row>
    <row r="1873" spans="1:13">
      <c r="A1873" s="57" t="s">
        <v>4046</v>
      </c>
      <c r="B1873" s="58">
        <f t="shared" si="114"/>
        <v>40560</v>
      </c>
      <c r="C1873" s="59">
        <f t="shared" si="115"/>
        <v>2011</v>
      </c>
      <c r="D1873" s="61">
        <v>12.0299</v>
      </c>
      <c r="E1873" s="61">
        <v>12.0871</v>
      </c>
      <c r="F1873" s="61">
        <v>12.1028</v>
      </c>
      <c r="H1873" s="62" t="s">
        <v>4047</v>
      </c>
      <c r="I1873" s="58">
        <f t="shared" si="117"/>
        <v>45308</v>
      </c>
      <c r="J1873" s="60">
        <f t="shared" si="116"/>
        <v>2024</v>
      </c>
      <c r="K1873" s="64">
        <v>17.2957</v>
      </c>
      <c r="L1873" s="64">
        <v>17.159800000000001</v>
      </c>
      <c r="M1873" s="64">
        <v>16.898299999999999</v>
      </c>
    </row>
    <row r="1874" spans="1:13">
      <c r="A1874" s="65" t="s">
        <v>4048</v>
      </c>
      <c r="B1874" s="66">
        <f t="shared" si="114"/>
        <v>40561</v>
      </c>
      <c r="C1874" s="67">
        <f t="shared" si="115"/>
        <v>2011</v>
      </c>
      <c r="D1874" s="68">
        <v>12.0261</v>
      </c>
      <c r="E1874" s="68">
        <v>12.0299</v>
      </c>
      <c r="F1874" s="68">
        <v>12.0871</v>
      </c>
      <c r="H1874" s="69" t="s">
        <v>4049</v>
      </c>
      <c r="I1874" s="66">
        <f t="shared" si="117"/>
        <v>45309</v>
      </c>
      <c r="J1874" s="70">
        <f t="shared" si="116"/>
        <v>2024</v>
      </c>
      <c r="K1874" s="71">
        <v>17.1995</v>
      </c>
      <c r="L1874" s="71">
        <v>17.2957</v>
      </c>
      <c r="M1874" s="71">
        <v>17.159800000000001</v>
      </c>
    </row>
    <row r="1875" spans="1:13">
      <c r="A1875" s="57" t="s">
        <v>4050</v>
      </c>
      <c r="B1875" s="58">
        <f t="shared" si="114"/>
        <v>40562</v>
      </c>
      <c r="C1875" s="59">
        <f t="shared" si="115"/>
        <v>2011</v>
      </c>
      <c r="D1875" s="61">
        <v>12.074400000000001</v>
      </c>
      <c r="E1875" s="61">
        <v>12.0261</v>
      </c>
      <c r="F1875" s="61">
        <v>12.0299</v>
      </c>
      <c r="H1875" s="62" t="s">
        <v>4051</v>
      </c>
      <c r="I1875" s="58">
        <f t="shared" si="117"/>
        <v>45310</v>
      </c>
      <c r="J1875" s="60">
        <f t="shared" si="116"/>
        <v>2024</v>
      </c>
      <c r="K1875" s="64">
        <v>17.1325</v>
      </c>
      <c r="L1875" s="64">
        <v>17.1995</v>
      </c>
      <c r="M1875" s="64">
        <v>17.2957</v>
      </c>
    </row>
    <row r="1876" spans="1:13">
      <c r="A1876" s="65" t="s">
        <v>4052</v>
      </c>
      <c r="B1876" s="66">
        <f t="shared" si="114"/>
        <v>40563</v>
      </c>
      <c r="C1876" s="67">
        <f t="shared" si="115"/>
        <v>2011</v>
      </c>
      <c r="D1876" s="68">
        <v>12.090299999999999</v>
      </c>
      <c r="E1876" s="68">
        <v>12.074400000000001</v>
      </c>
      <c r="F1876" s="68">
        <v>12.0261</v>
      </c>
      <c r="H1876" s="69" t="s">
        <v>4053</v>
      </c>
      <c r="I1876" s="66">
        <f t="shared" si="117"/>
        <v>45311</v>
      </c>
      <c r="J1876" s="70">
        <f t="shared" si="116"/>
        <v>2024</v>
      </c>
      <c r="K1876" s="72" t="s">
        <v>362</v>
      </c>
      <c r="L1876" s="72" t="s">
        <v>362</v>
      </c>
      <c r="M1876" s="71">
        <v>17.1995</v>
      </c>
    </row>
    <row r="1877" spans="1:13">
      <c r="A1877" s="57" t="s">
        <v>4054</v>
      </c>
      <c r="B1877" s="58">
        <f t="shared" si="114"/>
        <v>40564</v>
      </c>
      <c r="C1877" s="59">
        <f t="shared" si="115"/>
        <v>2011</v>
      </c>
      <c r="D1877" s="61">
        <v>12.0482</v>
      </c>
      <c r="E1877" s="61">
        <v>12.090299999999999</v>
      </c>
      <c r="F1877" s="61">
        <v>12.074400000000001</v>
      </c>
      <c r="H1877" s="62" t="s">
        <v>4055</v>
      </c>
      <c r="I1877" s="58">
        <f t="shared" si="117"/>
        <v>45312</v>
      </c>
      <c r="J1877" s="60">
        <f t="shared" si="116"/>
        <v>2024</v>
      </c>
      <c r="K1877" s="63" t="s">
        <v>362</v>
      </c>
      <c r="L1877" s="63" t="s">
        <v>362</v>
      </c>
      <c r="M1877" s="64">
        <v>17.1995</v>
      </c>
    </row>
    <row r="1878" spans="1:13">
      <c r="A1878" s="65" t="s">
        <v>4056</v>
      </c>
      <c r="B1878" s="66">
        <f t="shared" si="114"/>
        <v>40565</v>
      </c>
      <c r="C1878" s="67">
        <f t="shared" si="115"/>
        <v>2011</v>
      </c>
      <c r="D1878" s="70" t="s">
        <v>362</v>
      </c>
      <c r="E1878" s="70" t="s">
        <v>362</v>
      </c>
      <c r="F1878" s="68">
        <v>12.090299999999999</v>
      </c>
      <c r="H1878" s="69" t="s">
        <v>4057</v>
      </c>
      <c r="I1878" s="66">
        <f t="shared" si="117"/>
        <v>45313</v>
      </c>
      <c r="J1878" s="70">
        <f t="shared" si="116"/>
        <v>2024</v>
      </c>
      <c r="K1878" s="71">
        <v>17.112500000000001</v>
      </c>
      <c r="L1878" s="71">
        <v>17.1325</v>
      </c>
      <c r="M1878" s="71">
        <v>17.1995</v>
      </c>
    </row>
    <row r="1879" spans="1:13">
      <c r="A1879" s="57" t="s">
        <v>4058</v>
      </c>
      <c r="B1879" s="58">
        <f t="shared" si="114"/>
        <v>40566</v>
      </c>
      <c r="C1879" s="59">
        <f t="shared" si="115"/>
        <v>2011</v>
      </c>
      <c r="D1879" s="60" t="s">
        <v>362</v>
      </c>
      <c r="E1879" s="60" t="s">
        <v>362</v>
      </c>
      <c r="F1879" s="61">
        <v>12.090299999999999</v>
      </c>
      <c r="H1879" s="62" t="s">
        <v>4059</v>
      </c>
      <c r="I1879" s="58">
        <f t="shared" si="117"/>
        <v>45314</v>
      </c>
      <c r="J1879" s="60">
        <f t="shared" si="116"/>
        <v>2024</v>
      </c>
      <c r="K1879" s="64">
        <v>17.352</v>
      </c>
      <c r="L1879" s="64">
        <v>17.112500000000001</v>
      </c>
      <c r="M1879" s="64">
        <v>17.1325</v>
      </c>
    </row>
    <row r="1880" spans="1:13">
      <c r="A1880" s="65" t="s">
        <v>4060</v>
      </c>
      <c r="B1880" s="66">
        <f t="shared" si="114"/>
        <v>40567</v>
      </c>
      <c r="C1880" s="67">
        <f t="shared" si="115"/>
        <v>2011</v>
      </c>
      <c r="D1880" s="68">
        <v>12.051600000000001</v>
      </c>
      <c r="E1880" s="68">
        <v>12.0482</v>
      </c>
      <c r="F1880" s="68">
        <v>12.090299999999999</v>
      </c>
      <c r="H1880" s="69" t="s">
        <v>4061</v>
      </c>
      <c r="I1880" s="66">
        <f t="shared" si="117"/>
        <v>45315</v>
      </c>
      <c r="J1880" s="70">
        <f t="shared" si="116"/>
        <v>2024</v>
      </c>
      <c r="K1880" s="71">
        <v>17.167300000000001</v>
      </c>
      <c r="L1880" s="71">
        <v>17.352</v>
      </c>
      <c r="M1880" s="71">
        <v>17.112500000000001</v>
      </c>
    </row>
    <row r="1881" spans="1:13">
      <c r="A1881" s="57" t="s">
        <v>4062</v>
      </c>
      <c r="B1881" s="58">
        <f t="shared" si="114"/>
        <v>40568</v>
      </c>
      <c r="C1881" s="59">
        <f t="shared" si="115"/>
        <v>2011</v>
      </c>
      <c r="D1881" s="61">
        <v>12.085599999999999</v>
      </c>
      <c r="E1881" s="61">
        <v>12.051600000000001</v>
      </c>
      <c r="F1881" s="61">
        <v>12.0482</v>
      </c>
      <c r="H1881" s="62" t="s">
        <v>4063</v>
      </c>
      <c r="I1881" s="58">
        <f t="shared" si="117"/>
        <v>45316</v>
      </c>
      <c r="J1881" s="60">
        <f t="shared" si="116"/>
        <v>2024</v>
      </c>
      <c r="K1881" s="64">
        <v>17.237500000000001</v>
      </c>
      <c r="L1881" s="64">
        <v>17.167300000000001</v>
      </c>
      <c r="M1881" s="64">
        <v>17.352</v>
      </c>
    </row>
    <row r="1882" spans="1:13">
      <c r="A1882" s="65" t="s">
        <v>4064</v>
      </c>
      <c r="B1882" s="66">
        <f t="shared" si="114"/>
        <v>40569</v>
      </c>
      <c r="C1882" s="67">
        <f t="shared" si="115"/>
        <v>2011</v>
      </c>
      <c r="D1882" s="68">
        <v>12.040800000000001</v>
      </c>
      <c r="E1882" s="68">
        <v>12.085599999999999</v>
      </c>
      <c r="F1882" s="68">
        <v>12.051600000000001</v>
      </c>
      <c r="H1882" s="69" t="s">
        <v>4065</v>
      </c>
      <c r="I1882" s="66">
        <f t="shared" si="117"/>
        <v>45317</v>
      </c>
      <c r="J1882" s="70">
        <f t="shared" si="116"/>
        <v>2024</v>
      </c>
      <c r="K1882" s="71">
        <v>17.165700000000001</v>
      </c>
      <c r="L1882" s="71">
        <v>17.237500000000001</v>
      </c>
      <c r="M1882" s="71">
        <v>17.167300000000001</v>
      </c>
    </row>
    <row r="1883" spans="1:13">
      <c r="A1883" s="57" t="s">
        <v>4066</v>
      </c>
      <c r="B1883" s="58">
        <f t="shared" si="114"/>
        <v>40570</v>
      </c>
      <c r="C1883" s="59">
        <f t="shared" si="115"/>
        <v>2011</v>
      </c>
      <c r="D1883" s="61">
        <v>12.023899999999999</v>
      </c>
      <c r="E1883" s="61">
        <v>12.040800000000001</v>
      </c>
      <c r="F1883" s="61">
        <v>12.085599999999999</v>
      </c>
      <c r="H1883" s="62" t="s">
        <v>4067</v>
      </c>
      <c r="I1883" s="58">
        <f t="shared" si="117"/>
        <v>45318</v>
      </c>
      <c r="J1883" s="60">
        <f t="shared" si="116"/>
        <v>2024</v>
      </c>
      <c r="K1883" s="63" t="s">
        <v>362</v>
      </c>
      <c r="L1883" s="63" t="s">
        <v>362</v>
      </c>
      <c r="M1883" s="64">
        <v>17.237500000000001</v>
      </c>
    </row>
    <row r="1884" spans="1:13">
      <c r="A1884" s="65" t="s">
        <v>4068</v>
      </c>
      <c r="B1884" s="66">
        <f t="shared" si="114"/>
        <v>40571</v>
      </c>
      <c r="C1884" s="67">
        <f t="shared" si="115"/>
        <v>2011</v>
      </c>
      <c r="D1884" s="68">
        <v>12.1214</v>
      </c>
      <c r="E1884" s="68">
        <v>12.023899999999999</v>
      </c>
      <c r="F1884" s="68">
        <v>12.040800000000001</v>
      </c>
      <c r="H1884" s="69" t="s">
        <v>4069</v>
      </c>
      <c r="I1884" s="66">
        <f t="shared" si="117"/>
        <v>45319</v>
      </c>
      <c r="J1884" s="70">
        <f t="shared" si="116"/>
        <v>2024</v>
      </c>
      <c r="K1884" s="72" t="s">
        <v>362</v>
      </c>
      <c r="L1884" s="72" t="s">
        <v>362</v>
      </c>
      <c r="M1884" s="71">
        <v>17.237500000000001</v>
      </c>
    </row>
    <row r="1885" spans="1:13">
      <c r="A1885" s="57" t="s">
        <v>4070</v>
      </c>
      <c r="B1885" s="58">
        <f t="shared" si="114"/>
        <v>40572</v>
      </c>
      <c r="C1885" s="59">
        <f t="shared" si="115"/>
        <v>2011</v>
      </c>
      <c r="D1885" s="60" t="s">
        <v>362</v>
      </c>
      <c r="E1885" s="60" t="s">
        <v>362</v>
      </c>
      <c r="F1885" s="61">
        <v>12.023899999999999</v>
      </c>
      <c r="H1885" s="62" t="s">
        <v>4071</v>
      </c>
      <c r="I1885" s="58">
        <f t="shared" si="117"/>
        <v>45320</v>
      </c>
      <c r="J1885" s="60">
        <f t="shared" si="116"/>
        <v>2024</v>
      </c>
      <c r="K1885" s="64">
        <v>17.2333</v>
      </c>
      <c r="L1885" s="64">
        <v>17.165700000000001</v>
      </c>
      <c r="M1885" s="64">
        <v>17.237500000000001</v>
      </c>
    </row>
    <row r="1886" spans="1:13">
      <c r="A1886" s="65" t="s">
        <v>4072</v>
      </c>
      <c r="B1886" s="66">
        <f t="shared" si="114"/>
        <v>40573</v>
      </c>
      <c r="C1886" s="67">
        <f t="shared" si="115"/>
        <v>2011</v>
      </c>
      <c r="D1886" s="70" t="s">
        <v>362</v>
      </c>
      <c r="E1886" s="70" t="s">
        <v>362</v>
      </c>
      <c r="F1886" s="68">
        <v>12.023899999999999</v>
      </c>
      <c r="H1886" s="69" t="s">
        <v>4073</v>
      </c>
      <c r="I1886" s="66">
        <f t="shared" si="117"/>
        <v>45321</v>
      </c>
      <c r="J1886" s="70">
        <f t="shared" si="116"/>
        <v>2024</v>
      </c>
      <c r="K1886" s="71">
        <v>17.193200000000001</v>
      </c>
      <c r="L1886" s="71">
        <v>17.2333</v>
      </c>
      <c r="M1886" s="71">
        <v>17.165700000000001</v>
      </c>
    </row>
    <row r="1887" spans="1:13">
      <c r="A1887" s="57" t="s">
        <v>4074</v>
      </c>
      <c r="B1887" s="58">
        <f t="shared" ref="B1887:B1950" si="118">DATE(RIGHT(A1887,4),LEFT(RIGHT(A1887,7),2),LEFT(A1887,2))</f>
        <v>40574</v>
      </c>
      <c r="C1887" s="59">
        <f t="shared" ref="C1887:C1950" si="119">YEAR(B1887)</f>
        <v>2011</v>
      </c>
      <c r="D1887" s="61">
        <v>12.151899999999999</v>
      </c>
      <c r="E1887" s="61">
        <v>12.1214</v>
      </c>
      <c r="F1887" s="61">
        <v>12.023899999999999</v>
      </c>
      <c r="H1887" s="62" t="s">
        <v>4075</v>
      </c>
      <c r="I1887" s="58">
        <f t="shared" si="117"/>
        <v>45322</v>
      </c>
      <c r="J1887" s="60">
        <f t="shared" ref="J1887:J1950" si="120">YEAR(I1887)</f>
        <v>2024</v>
      </c>
      <c r="K1887" s="64">
        <v>17.1633</v>
      </c>
      <c r="L1887" s="64">
        <v>17.193200000000001</v>
      </c>
      <c r="M1887" s="64">
        <v>17.2333</v>
      </c>
    </row>
    <row r="1888" spans="1:13">
      <c r="A1888" s="65" t="s">
        <v>4076</v>
      </c>
      <c r="B1888" s="66">
        <f t="shared" si="118"/>
        <v>40575</v>
      </c>
      <c r="C1888" s="67">
        <f t="shared" si="119"/>
        <v>2011</v>
      </c>
      <c r="D1888" s="68">
        <v>12.016999999999999</v>
      </c>
      <c r="E1888" s="68">
        <v>12.151899999999999</v>
      </c>
      <c r="F1888" s="68">
        <v>12.1214</v>
      </c>
      <c r="H1888" s="69" t="s">
        <v>4077</v>
      </c>
      <c r="I1888" s="66">
        <f t="shared" ref="I1888:I1915" si="121">DATE(RIGHT(H1888,4),LEFT(RIGHT(A1888,7),2),LEFT(A1888,2))</f>
        <v>45323</v>
      </c>
      <c r="J1888" s="70">
        <f t="shared" si="120"/>
        <v>2024</v>
      </c>
      <c r="K1888" s="71">
        <v>17.133500000000002</v>
      </c>
      <c r="L1888" s="71">
        <v>17.1633</v>
      </c>
      <c r="M1888" s="71">
        <v>17.193200000000001</v>
      </c>
    </row>
    <row r="1889" spans="1:13">
      <c r="A1889" s="57" t="s">
        <v>4078</v>
      </c>
      <c r="B1889" s="58">
        <f t="shared" si="118"/>
        <v>40576</v>
      </c>
      <c r="C1889" s="59">
        <f t="shared" si="119"/>
        <v>2011</v>
      </c>
      <c r="D1889" s="61">
        <v>12.019</v>
      </c>
      <c r="E1889" s="61">
        <v>12.016999999999999</v>
      </c>
      <c r="F1889" s="61">
        <v>12.151899999999999</v>
      </c>
      <c r="H1889" s="62" t="s">
        <v>4079</v>
      </c>
      <c r="I1889" s="58">
        <f t="shared" si="121"/>
        <v>45324</v>
      </c>
      <c r="J1889" s="60">
        <f t="shared" si="120"/>
        <v>2024</v>
      </c>
      <c r="K1889" s="64">
        <v>17.1447</v>
      </c>
      <c r="L1889" s="64">
        <v>17.133500000000002</v>
      </c>
      <c r="M1889" s="64">
        <v>17.1633</v>
      </c>
    </row>
    <row r="1890" spans="1:13">
      <c r="A1890" s="65" t="s">
        <v>4080</v>
      </c>
      <c r="B1890" s="66">
        <f t="shared" si="118"/>
        <v>40577</v>
      </c>
      <c r="C1890" s="67">
        <f t="shared" si="119"/>
        <v>2011</v>
      </c>
      <c r="D1890" s="68">
        <v>12.049899999999999</v>
      </c>
      <c r="E1890" s="68">
        <v>12.019</v>
      </c>
      <c r="F1890" s="68">
        <v>12.016999999999999</v>
      </c>
      <c r="H1890" s="69" t="s">
        <v>4081</v>
      </c>
      <c r="I1890" s="66">
        <f t="shared" si="121"/>
        <v>45325</v>
      </c>
      <c r="J1890" s="70">
        <f t="shared" si="120"/>
        <v>2024</v>
      </c>
      <c r="K1890" s="72" t="s">
        <v>362</v>
      </c>
      <c r="L1890" s="72" t="s">
        <v>362</v>
      </c>
      <c r="M1890" s="71">
        <v>17.133500000000002</v>
      </c>
    </row>
    <row r="1891" spans="1:13">
      <c r="A1891" s="57" t="s">
        <v>4082</v>
      </c>
      <c r="B1891" s="58">
        <f t="shared" si="118"/>
        <v>40578</v>
      </c>
      <c r="C1891" s="59">
        <f t="shared" si="119"/>
        <v>2011</v>
      </c>
      <c r="D1891" s="61">
        <v>11.9946</v>
      </c>
      <c r="E1891" s="61">
        <v>12.049899999999999</v>
      </c>
      <c r="F1891" s="61">
        <v>12.019</v>
      </c>
      <c r="H1891" s="62" t="s">
        <v>4083</v>
      </c>
      <c r="I1891" s="58">
        <f t="shared" si="121"/>
        <v>45326</v>
      </c>
      <c r="J1891" s="60">
        <f t="shared" si="120"/>
        <v>2024</v>
      </c>
      <c r="K1891" s="63" t="s">
        <v>362</v>
      </c>
      <c r="L1891" s="63" t="s">
        <v>362</v>
      </c>
      <c r="M1891" s="64">
        <v>17.133500000000002</v>
      </c>
    </row>
    <row r="1892" spans="1:13">
      <c r="A1892" s="65" t="s">
        <v>4084</v>
      </c>
      <c r="B1892" s="66">
        <f t="shared" si="118"/>
        <v>40579</v>
      </c>
      <c r="C1892" s="67">
        <f t="shared" si="119"/>
        <v>2011</v>
      </c>
      <c r="D1892" s="70" t="s">
        <v>362</v>
      </c>
      <c r="E1892" s="70" t="s">
        <v>362</v>
      </c>
      <c r="F1892" s="68">
        <v>12.049899999999999</v>
      </c>
      <c r="H1892" s="69" t="s">
        <v>4085</v>
      </c>
      <c r="I1892" s="66">
        <f t="shared" si="121"/>
        <v>45327</v>
      </c>
      <c r="J1892" s="70">
        <f t="shared" si="120"/>
        <v>2024</v>
      </c>
      <c r="K1892" s="72" t="s">
        <v>362</v>
      </c>
      <c r="L1892" s="72" t="s">
        <v>362</v>
      </c>
      <c r="M1892" s="71">
        <v>17.133500000000002</v>
      </c>
    </row>
    <row r="1893" spans="1:13">
      <c r="A1893" s="57" t="s">
        <v>4086</v>
      </c>
      <c r="B1893" s="58">
        <f t="shared" si="118"/>
        <v>40580</v>
      </c>
      <c r="C1893" s="59">
        <f t="shared" si="119"/>
        <v>2011</v>
      </c>
      <c r="D1893" s="60" t="s">
        <v>362</v>
      </c>
      <c r="E1893" s="60" t="s">
        <v>362</v>
      </c>
      <c r="F1893" s="61">
        <v>12.049899999999999</v>
      </c>
      <c r="H1893" s="62" t="s">
        <v>4087</v>
      </c>
      <c r="I1893" s="58">
        <f t="shared" si="121"/>
        <v>45328</v>
      </c>
      <c r="J1893" s="60">
        <f t="shared" si="120"/>
        <v>2024</v>
      </c>
      <c r="K1893" s="64">
        <v>17.035699999999999</v>
      </c>
      <c r="L1893" s="64">
        <v>17.1447</v>
      </c>
      <c r="M1893" s="64">
        <v>17.133500000000002</v>
      </c>
    </row>
    <row r="1894" spans="1:13">
      <c r="A1894" s="65" t="s">
        <v>4088</v>
      </c>
      <c r="B1894" s="66">
        <f t="shared" si="118"/>
        <v>40581</v>
      </c>
      <c r="C1894" s="67">
        <f t="shared" si="119"/>
        <v>2011</v>
      </c>
      <c r="D1894" s="70" t="s">
        <v>362</v>
      </c>
      <c r="E1894" s="70" t="s">
        <v>362</v>
      </c>
      <c r="F1894" s="68">
        <v>12.049899999999999</v>
      </c>
      <c r="H1894" s="69" t="s">
        <v>4089</v>
      </c>
      <c r="I1894" s="66">
        <f t="shared" si="121"/>
        <v>45329</v>
      </c>
      <c r="J1894" s="70">
        <f t="shared" si="120"/>
        <v>2024</v>
      </c>
      <c r="K1894" s="71">
        <v>17.0398</v>
      </c>
      <c r="L1894" s="71">
        <v>17.035699999999999</v>
      </c>
      <c r="M1894" s="71">
        <v>17.1447</v>
      </c>
    </row>
    <row r="1895" spans="1:13">
      <c r="A1895" s="57" t="s">
        <v>4090</v>
      </c>
      <c r="B1895" s="58">
        <f t="shared" si="118"/>
        <v>40582</v>
      </c>
      <c r="C1895" s="59">
        <f t="shared" si="119"/>
        <v>2011</v>
      </c>
      <c r="D1895" s="61">
        <v>11.9937</v>
      </c>
      <c r="E1895" s="61">
        <v>11.9946</v>
      </c>
      <c r="F1895" s="61">
        <v>12.049899999999999</v>
      </c>
      <c r="H1895" s="62" t="s">
        <v>4091</v>
      </c>
      <c r="I1895" s="58">
        <f t="shared" si="121"/>
        <v>45330</v>
      </c>
      <c r="J1895" s="60">
        <f t="shared" si="120"/>
        <v>2024</v>
      </c>
      <c r="K1895" s="64">
        <v>17.1023</v>
      </c>
      <c r="L1895" s="64">
        <v>17.0398</v>
      </c>
      <c r="M1895" s="64">
        <v>17.035699999999999</v>
      </c>
    </row>
    <row r="1896" spans="1:13">
      <c r="A1896" s="65" t="s">
        <v>4092</v>
      </c>
      <c r="B1896" s="66">
        <f t="shared" si="118"/>
        <v>40583</v>
      </c>
      <c r="C1896" s="67">
        <f t="shared" si="119"/>
        <v>2011</v>
      </c>
      <c r="D1896" s="68">
        <v>12.043200000000001</v>
      </c>
      <c r="E1896" s="68">
        <v>11.9937</v>
      </c>
      <c r="F1896" s="68">
        <v>11.9946</v>
      </c>
      <c r="H1896" s="69" t="s">
        <v>4093</v>
      </c>
      <c r="I1896" s="66">
        <f t="shared" si="121"/>
        <v>45331</v>
      </c>
      <c r="J1896" s="70">
        <f t="shared" si="120"/>
        <v>2024</v>
      </c>
      <c r="K1896" s="71">
        <v>17.0855</v>
      </c>
      <c r="L1896" s="71">
        <v>17.1023</v>
      </c>
      <c r="M1896" s="71">
        <v>17.0398</v>
      </c>
    </row>
    <row r="1897" spans="1:13">
      <c r="A1897" s="57" t="s">
        <v>4094</v>
      </c>
      <c r="B1897" s="58">
        <f t="shared" si="118"/>
        <v>40584</v>
      </c>
      <c r="C1897" s="59">
        <f t="shared" si="119"/>
        <v>2011</v>
      </c>
      <c r="D1897" s="61">
        <v>12.0937</v>
      </c>
      <c r="E1897" s="61">
        <v>12.043200000000001</v>
      </c>
      <c r="F1897" s="61">
        <v>11.9937</v>
      </c>
      <c r="H1897" s="62" t="s">
        <v>4095</v>
      </c>
      <c r="I1897" s="58">
        <f t="shared" si="121"/>
        <v>45332</v>
      </c>
      <c r="J1897" s="60">
        <f t="shared" si="120"/>
        <v>2024</v>
      </c>
      <c r="K1897" s="63" t="s">
        <v>362</v>
      </c>
      <c r="L1897" s="63" t="s">
        <v>362</v>
      </c>
      <c r="M1897" s="64">
        <v>17.1023</v>
      </c>
    </row>
    <row r="1898" spans="1:13">
      <c r="A1898" s="65" t="s">
        <v>4096</v>
      </c>
      <c r="B1898" s="66">
        <f t="shared" si="118"/>
        <v>40585</v>
      </c>
      <c r="C1898" s="67">
        <f t="shared" si="119"/>
        <v>2011</v>
      </c>
      <c r="D1898" s="68">
        <v>12.063499999999999</v>
      </c>
      <c r="E1898" s="68">
        <v>12.0937</v>
      </c>
      <c r="F1898" s="68">
        <v>12.043200000000001</v>
      </c>
      <c r="H1898" s="69" t="s">
        <v>4097</v>
      </c>
      <c r="I1898" s="66">
        <f t="shared" si="121"/>
        <v>45333</v>
      </c>
      <c r="J1898" s="70">
        <f t="shared" si="120"/>
        <v>2024</v>
      </c>
      <c r="K1898" s="72" t="s">
        <v>362</v>
      </c>
      <c r="L1898" s="72" t="s">
        <v>362</v>
      </c>
      <c r="M1898" s="71">
        <v>17.1023</v>
      </c>
    </row>
    <row r="1899" spans="1:13">
      <c r="A1899" s="57" t="s">
        <v>4098</v>
      </c>
      <c r="B1899" s="58">
        <f t="shared" si="118"/>
        <v>40586</v>
      </c>
      <c r="C1899" s="59">
        <f t="shared" si="119"/>
        <v>2011</v>
      </c>
      <c r="D1899" s="60" t="s">
        <v>362</v>
      </c>
      <c r="E1899" s="60" t="s">
        <v>362</v>
      </c>
      <c r="F1899" s="61">
        <v>12.0937</v>
      </c>
      <c r="H1899" s="62" t="s">
        <v>4099</v>
      </c>
      <c r="I1899" s="58">
        <f t="shared" si="121"/>
        <v>45334</v>
      </c>
      <c r="J1899" s="60">
        <f t="shared" si="120"/>
        <v>2024</v>
      </c>
      <c r="K1899" s="64">
        <v>17.068000000000001</v>
      </c>
      <c r="L1899" s="64">
        <v>17.0855</v>
      </c>
      <c r="M1899" s="64">
        <v>17.1023</v>
      </c>
    </row>
    <row r="1900" spans="1:13">
      <c r="A1900" s="65" t="s">
        <v>4100</v>
      </c>
      <c r="B1900" s="66">
        <f t="shared" si="118"/>
        <v>40587</v>
      </c>
      <c r="C1900" s="67">
        <f t="shared" si="119"/>
        <v>2011</v>
      </c>
      <c r="D1900" s="70" t="s">
        <v>362</v>
      </c>
      <c r="E1900" s="70" t="s">
        <v>362</v>
      </c>
      <c r="F1900" s="68">
        <v>12.0937</v>
      </c>
      <c r="H1900" s="69" t="s">
        <v>4101</v>
      </c>
      <c r="I1900" s="66">
        <f t="shared" si="121"/>
        <v>45335</v>
      </c>
      <c r="J1900" s="70">
        <f t="shared" si="120"/>
        <v>2024</v>
      </c>
      <c r="K1900" s="71">
        <v>17.1982</v>
      </c>
      <c r="L1900" s="71">
        <v>17.068000000000001</v>
      </c>
      <c r="M1900" s="71">
        <v>17.0855</v>
      </c>
    </row>
    <row r="1901" spans="1:13">
      <c r="A1901" s="57" t="s">
        <v>4102</v>
      </c>
      <c r="B1901" s="58">
        <f t="shared" si="118"/>
        <v>40588</v>
      </c>
      <c r="C1901" s="59">
        <f t="shared" si="119"/>
        <v>2011</v>
      </c>
      <c r="D1901" s="61">
        <v>12.046099999999999</v>
      </c>
      <c r="E1901" s="61">
        <v>12.063499999999999</v>
      </c>
      <c r="F1901" s="61">
        <v>12.0937</v>
      </c>
      <c r="H1901" s="62" t="s">
        <v>4103</v>
      </c>
      <c r="I1901" s="58">
        <f t="shared" si="121"/>
        <v>45336</v>
      </c>
      <c r="J1901" s="60">
        <f t="shared" si="120"/>
        <v>2024</v>
      </c>
      <c r="K1901" s="64">
        <v>17.110499999999998</v>
      </c>
      <c r="L1901" s="64">
        <v>17.1982</v>
      </c>
      <c r="M1901" s="64">
        <v>17.068000000000001</v>
      </c>
    </row>
    <row r="1902" spans="1:13">
      <c r="A1902" s="65" t="s">
        <v>4104</v>
      </c>
      <c r="B1902" s="66">
        <f t="shared" si="118"/>
        <v>40589</v>
      </c>
      <c r="C1902" s="67">
        <f t="shared" si="119"/>
        <v>2011</v>
      </c>
      <c r="D1902" s="68">
        <v>12.114000000000001</v>
      </c>
      <c r="E1902" s="68">
        <v>12.046099999999999</v>
      </c>
      <c r="F1902" s="68">
        <v>12.063499999999999</v>
      </c>
      <c r="H1902" s="69" t="s">
        <v>4105</v>
      </c>
      <c r="I1902" s="66">
        <f t="shared" si="121"/>
        <v>45337</v>
      </c>
      <c r="J1902" s="70">
        <f t="shared" si="120"/>
        <v>2024</v>
      </c>
      <c r="K1902" s="71">
        <v>17.068000000000001</v>
      </c>
      <c r="L1902" s="71">
        <v>17.110499999999998</v>
      </c>
      <c r="M1902" s="71">
        <v>17.1982</v>
      </c>
    </row>
    <row r="1903" spans="1:13">
      <c r="A1903" s="57" t="s">
        <v>4106</v>
      </c>
      <c r="B1903" s="58">
        <f t="shared" si="118"/>
        <v>40590</v>
      </c>
      <c r="C1903" s="59">
        <f t="shared" si="119"/>
        <v>2011</v>
      </c>
      <c r="D1903" s="61">
        <v>12.095700000000001</v>
      </c>
      <c r="E1903" s="61">
        <v>12.114000000000001</v>
      </c>
      <c r="F1903" s="61">
        <v>12.046099999999999</v>
      </c>
      <c r="H1903" s="62" t="s">
        <v>4107</v>
      </c>
      <c r="I1903" s="58">
        <f t="shared" si="121"/>
        <v>45338</v>
      </c>
      <c r="J1903" s="60">
        <f t="shared" si="120"/>
        <v>2024</v>
      </c>
      <c r="K1903" s="64">
        <v>17.060199999999998</v>
      </c>
      <c r="L1903" s="64">
        <v>17.068000000000001</v>
      </c>
      <c r="M1903" s="64">
        <v>17.110499999999998</v>
      </c>
    </row>
    <row r="1904" spans="1:13">
      <c r="A1904" s="65" t="s">
        <v>4108</v>
      </c>
      <c r="B1904" s="66">
        <f t="shared" si="118"/>
        <v>40591</v>
      </c>
      <c r="C1904" s="67">
        <f t="shared" si="119"/>
        <v>2011</v>
      </c>
      <c r="D1904" s="68">
        <v>12.048299999999999</v>
      </c>
      <c r="E1904" s="68">
        <v>12.095700000000001</v>
      </c>
      <c r="F1904" s="68">
        <v>12.114000000000001</v>
      </c>
      <c r="H1904" s="69" t="s">
        <v>4109</v>
      </c>
      <c r="I1904" s="66">
        <f t="shared" si="121"/>
        <v>45339</v>
      </c>
      <c r="J1904" s="70">
        <f t="shared" si="120"/>
        <v>2024</v>
      </c>
      <c r="K1904" s="72" t="s">
        <v>362</v>
      </c>
      <c r="L1904" s="72" t="s">
        <v>362</v>
      </c>
      <c r="M1904" s="71">
        <v>17.068000000000001</v>
      </c>
    </row>
    <row r="1905" spans="1:13">
      <c r="A1905" s="57" t="s">
        <v>4110</v>
      </c>
      <c r="B1905" s="58">
        <f t="shared" si="118"/>
        <v>40592</v>
      </c>
      <c r="C1905" s="59">
        <f t="shared" si="119"/>
        <v>2011</v>
      </c>
      <c r="D1905" s="61">
        <v>12.017200000000001</v>
      </c>
      <c r="E1905" s="61">
        <v>12.048299999999999</v>
      </c>
      <c r="F1905" s="61">
        <v>12.095700000000001</v>
      </c>
      <c r="H1905" s="62" t="s">
        <v>4111</v>
      </c>
      <c r="I1905" s="58">
        <f t="shared" si="121"/>
        <v>45340</v>
      </c>
      <c r="J1905" s="60">
        <f t="shared" si="120"/>
        <v>2024</v>
      </c>
      <c r="K1905" s="63" t="s">
        <v>362</v>
      </c>
      <c r="L1905" s="63" t="s">
        <v>362</v>
      </c>
      <c r="M1905" s="64">
        <v>17.068000000000001</v>
      </c>
    </row>
    <row r="1906" spans="1:13">
      <c r="A1906" s="65" t="s">
        <v>4112</v>
      </c>
      <c r="B1906" s="66">
        <f t="shared" si="118"/>
        <v>40593</v>
      </c>
      <c r="C1906" s="67">
        <f t="shared" si="119"/>
        <v>2011</v>
      </c>
      <c r="D1906" s="70" t="s">
        <v>362</v>
      </c>
      <c r="E1906" s="70" t="s">
        <v>362</v>
      </c>
      <c r="F1906" s="68">
        <v>12.048299999999999</v>
      </c>
      <c r="H1906" s="69" t="s">
        <v>4113</v>
      </c>
      <c r="I1906" s="66">
        <f t="shared" si="121"/>
        <v>45341</v>
      </c>
      <c r="J1906" s="70">
        <f t="shared" si="120"/>
        <v>2024</v>
      </c>
      <c r="K1906" s="71">
        <v>17.05</v>
      </c>
      <c r="L1906" s="71">
        <v>17.060199999999998</v>
      </c>
      <c r="M1906" s="71">
        <v>17.068000000000001</v>
      </c>
    </row>
    <row r="1907" spans="1:13">
      <c r="A1907" s="57" t="s">
        <v>4114</v>
      </c>
      <c r="B1907" s="58">
        <f t="shared" si="118"/>
        <v>40594</v>
      </c>
      <c r="C1907" s="59">
        <f t="shared" si="119"/>
        <v>2011</v>
      </c>
      <c r="D1907" s="60" t="s">
        <v>362</v>
      </c>
      <c r="E1907" s="60" t="s">
        <v>362</v>
      </c>
      <c r="F1907" s="61">
        <v>12.048299999999999</v>
      </c>
      <c r="H1907" s="62" t="s">
        <v>4115</v>
      </c>
      <c r="I1907" s="58">
        <f t="shared" si="121"/>
        <v>45342</v>
      </c>
      <c r="J1907" s="60">
        <f t="shared" si="120"/>
        <v>2024</v>
      </c>
      <c r="K1907" s="64">
        <v>17.0458</v>
      </c>
      <c r="L1907" s="64">
        <v>17.05</v>
      </c>
      <c r="M1907" s="64">
        <v>17.060199999999998</v>
      </c>
    </row>
    <row r="1908" spans="1:13">
      <c r="A1908" s="65" t="s">
        <v>4116</v>
      </c>
      <c r="B1908" s="66">
        <f t="shared" si="118"/>
        <v>40595</v>
      </c>
      <c r="C1908" s="67">
        <f t="shared" si="119"/>
        <v>2011</v>
      </c>
      <c r="D1908" s="68">
        <v>12.0558</v>
      </c>
      <c r="E1908" s="68">
        <v>12.017200000000001</v>
      </c>
      <c r="F1908" s="68">
        <v>12.048299999999999</v>
      </c>
      <c r="H1908" s="69" t="s">
        <v>4117</v>
      </c>
      <c r="I1908" s="66">
        <f t="shared" si="121"/>
        <v>45343</v>
      </c>
      <c r="J1908" s="70">
        <f t="shared" si="120"/>
        <v>2024</v>
      </c>
      <c r="K1908" s="71">
        <v>17.060300000000002</v>
      </c>
      <c r="L1908" s="71">
        <v>17.0458</v>
      </c>
      <c r="M1908" s="71">
        <v>17.05</v>
      </c>
    </row>
    <row r="1909" spans="1:13">
      <c r="A1909" s="57" t="s">
        <v>4118</v>
      </c>
      <c r="B1909" s="58">
        <f t="shared" si="118"/>
        <v>40596</v>
      </c>
      <c r="C1909" s="59">
        <f t="shared" si="119"/>
        <v>2011</v>
      </c>
      <c r="D1909" s="61">
        <v>12.091699999999999</v>
      </c>
      <c r="E1909" s="61">
        <v>12.0558</v>
      </c>
      <c r="F1909" s="61">
        <v>12.017200000000001</v>
      </c>
      <c r="H1909" s="62" t="s">
        <v>4119</v>
      </c>
      <c r="I1909" s="58">
        <f t="shared" si="121"/>
        <v>45344</v>
      </c>
      <c r="J1909" s="60">
        <f t="shared" si="120"/>
        <v>2024</v>
      </c>
      <c r="K1909" s="64">
        <v>17.120999999999999</v>
      </c>
      <c r="L1909" s="64">
        <v>17.060300000000002</v>
      </c>
      <c r="M1909" s="64">
        <v>17.0458</v>
      </c>
    </row>
    <row r="1910" spans="1:13">
      <c r="A1910" s="65" t="s">
        <v>4120</v>
      </c>
      <c r="B1910" s="66">
        <f t="shared" si="118"/>
        <v>40597</v>
      </c>
      <c r="C1910" s="67">
        <f t="shared" si="119"/>
        <v>2011</v>
      </c>
      <c r="D1910" s="68">
        <v>12.19</v>
      </c>
      <c r="E1910" s="68">
        <v>12.091699999999999</v>
      </c>
      <c r="F1910" s="68">
        <v>12.0558</v>
      </c>
      <c r="H1910" s="69" t="s">
        <v>4121</v>
      </c>
      <c r="I1910" s="66">
        <f t="shared" si="121"/>
        <v>45345</v>
      </c>
      <c r="J1910" s="70">
        <f t="shared" si="120"/>
        <v>2024</v>
      </c>
      <c r="K1910" s="71">
        <v>17.126000000000001</v>
      </c>
      <c r="L1910" s="71">
        <v>17.120999999999999</v>
      </c>
      <c r="M1910" s="71">
        <v>17.060300000000002</v>
      </c>
    </row>
    <row r="1911" spans="1:13">
      <c r="A1911" s="57" t="s">
        <v>4122</v>
      </c>
      <c r="B1911" s="58">
        <f t="shared" si="118"/>
        <v>40598</v>
      </c>
      <c r="C1911" s="59">
        <f t="shared" si="119"/>
        <v>2011</v>
      </c>
      <c r="D1911" s="61">
        <v>12.173</v>
      </c>
      <c r="E1911" s="61">
        <v>12.19</v>
      </c>
      <c r="F1911" s="61">
        <v>12.091699999999999</v>
      </c>
      <c r="H1911" s="62" t="s">
        <v>4123</v>
      </c>
      <c r="I1911" s="58">
        <f t="shared" si="121"/>
        <v>45346</v>
      </c>
      <c r="J1911" s="60">
        <f t="shared" si="120"/>
        <v>2024</v>
      </c>
      <c r="K1911" s="63" t="s">
        <v>362</v>
      </c>
      <c r="L1911" s="63" t="s">
        <v>362</v>
      </c>
      <c r="M1911" s="64">
        <v>17.120999999999999</v>
      </c>
    </row>
    <row r="1912" spans="1:13">
      <c r="A1912" s="65" t="s">
        <v>4124</v>
      </c>
      <c r="B1912" s="66">
        <f t="shared" si="118"/>
        <v>40599</v>
      </c>
      <c r="C1912" s="67">
        <f t="shared" si="119"/>
        <v>2011</v>
      </c>
      <c r="D1912" s="68">
        <v>12.1235</v>
      </c>
      <c r="E1912" s="68">
        <v>12.173</v>
      </c>
      <c r="F1912" s="68">
        <v>12.19</v>
      </c>
      <c r="H1912" s="69" t="s">
        <v>4125</v>
      </c>
      <c r="I1912" s="66">
        <f t="shared" si="121"/>
        <v>45347</v>
      </c>
      <c r="J1912" s="70">
        <f t="shared" si="120"/>
        <v>2024</v>
      </c>
      <c r="K1912" s="72" t="s">
        <v>362</v>
      </c>
      <c r="L1912" s="72" t="s">
        <v>362</v>
      </c>
      <c r="M1912" s="71">
        <v>17.120999999999999</v>
      </c>
    </row>
    <row r="1913" spans="1:13">
      <c r="A1913" s="57" t="s">
        <v>4126</v>
      </c>
      <c r="B1913" s="58">
        <f t="shared" si="118"/>
        <v>40600</v>
      </c>
      <c r="C1913" s="59">
        <f t="shared" si="119"/>
        <v>2011</v>
      </c>
      <c r="D1913" s="60" t="s">
        <v>362</v>
      </c>
      <c r="E1913" s="60" t="s">
        <v>362</v>
      </c>
      <c r="F1913" s="61">
        <v>12.173</v>
      </c>
      <c r="H1913" s="62" t="s">
        <v>4127</v>
      </c>
      <c r="I1913" s="58">
        <f t="shared" si="121"/>
        <v>45348</v>
      </c>
      <c r="J1913" s="60">
        <f t="shared" si="120"/>
        <v>2024</v>
      </c>
      <c r="K1913" s="64">
        <v>17.126000000000001</v>
      </c>
      <c r="L1913" s="64">
        <v>17.126000000000001</v>
      </c>
      <c r="M1913" s="64">
        <v>17.120999999999999</v>
      </c>
    </row>
    <row r="1914" spans="1:13">
      <c r="A1914" s="65" t="s">
        <v>4128</v>
      </c>
      <c r="B1914" s="66">
        <f t="shared" si="118"/>
        <v>40601</v>
      </c>
      <c r="C1914" s="67">
        <f t="shared" si="119"/>
        <v>2011</v>
      </c>
      <c r="D1914" s="70" t="s">
        <v>362</v>
      </c>
      <c r="E1914" s="70" t="s">
        <v>362</v>
      </c>
      <c r="F1914" s="68">
        <v>12.173</v>
      </c>
      <c r="H1914" s="69" t="s">
        <v>4129</v>
      </c>
      <c r="I1914" s="66">
        <f t="shared" si="121"/>
        <v>45349</v>
      </c>
      <c r="J1914" s="70">
        <f t="shared" si="120"/>
        <v>2024</v>
      </c>
      <c r="K1914" s="71">
        <v>17.060500000000001</v>
      </c>
      <c r="L1914" s="71">
        <v>17.126000000000001</v>
      </c>
      <c r="M1914" s="71">
        <v>17.126000000000001</v>
      </c>
    </row>
    <row r="1915" spans="1:13">
      <c r="A1915" s="57" t="s">
        <v>4130</v>
      </c>
      <c r="B1915" s="58">
        <f t="shared" si="118"/>
        <v>40602</v>
      </c>
      <c r="C1915" s="59">
        <f t="shared" si="119"/>
        <v>2011</v>
      </c>
      <c r="D1915" s="61">
        <v>12.106199999999999</v>
      </c>
      <c r="E1915" s="61">
        <v>12.1235</v>
      </c>
      <c r="F1915" s="61">
        <v>12.173</v>
      </c>
      <c r="H1915" s="62" t="s">
        <v>4131</v>
      </c>
      <c r="I1915" s="58">
        <f t="shared" si="121"/>
        <v>45350</v>
      </c>
      <c r="J1915" s="60">
        <f t="shared" si="120"/>
        <v>2024</v>
      </c>
      <c r="K1915" s="64">
        <v>17.0962</v>
      </c>
      <c r="L1915" s="64">
        <v>17.060500000000001</v>
      </c>
      <c r="M1915" s="64">
        <v>17.126000000000001</v>
      </c>
    </row>
    <row r="1916" spans="1:13">
      <c r="A1916" s="65" t="s">
        <v>4132</v>
      </c>
      <c r="B1916" s="66">
        <f t="shared" si="118"/>
        <v>40603</v>
      </c>
      <c r="C1916" s="67">
        <f t="shared" si="119"/>
        <v>2011</v>
      </c>
      <c r="D1916" s="68">
        <v>12.0929</v>
      </c>
      <c r="E1916" s="68">
        <v>12.106199999999999</v>
      </c>
      <c r="F1916" s="68">
        <v>12.1235</v>
      </c>
      <c r="H1916" s="69" t="s">
        <v>4133</v>
      </c>
      <c r="I1916" s="66">
        <f t="shared" ref="I1916:I1979" si="122">I1915+1</f>
        <v>45351</v>
      </c>
      <c r="J1916" s="70">
        <f t="shared" si="120"/>
        <v>2024</v>
      </c>
      <c r="K1916" s="71">
        <v>17.063300000000002</v>
      </c>
      <c r="L1916" s="71">
        <v>17.0962</v>
      </c>
      <c r="M1916" s="71">
        <v>17.060500000000001</v>
      </c>
    </row>
    <row r="1917" spans="1:13">
      <c r="A1917" s="57" t="s">
        <v>4134</v>
      </c>
      <c r="B1917" s="58">
        <f t="shared" si="118"/>
        <v>40604</v>
      </c>
      <c r="C1917" s="59">
        <f t="shared" si="119"/>
        <v>2011</v>
      </c>
      <c r="D1917" s="61">
        <v>12.098100000000001</v>
      </c>
      <c r="E1917" s="61">
        <v>12.0929</v>
      </c>
      <c r="F1917" s="61">
        <v>12.106199999999999</v>
      </c>
      <c r="H1917" s="62" t="s">
        <v>4135</v>
      </c>
      <c r="I1917" s="58">
        <f t="shared" si="122"/>
        <v>45352</v>
      </c>
      <c r="J1917" s="60">
        <f t="shared" si="120"/>
        <v>2024</v>
      </c>
      <c r="K1917" s="64">
        <v>17.021699999999999</v>
      </c>
      <c r="L1917" s="64">
        <v>17.063300000000002</v>
      </c>
      <c r="M1917" s="64">
        <v>17.0962</v>
      </c>
    </row>
    <row r="1918" spans="1:13">
      <c r="A1918" s="65" t="s">
        <v>4136</v>
      </c>
      <c r="B1918" s="66">
        <f t="shared" si="118"/>
        <v>40605</v>
      </c>
      <c r="C1918" s="67">
        <f t="shared" si="119"/>
        <v>2011</v>
      </c>
      <c r="D1918" s="68">
        <v>12.036799999999999</v>
      </c>
      <c r="E1918" s="68">
        <v>12.098100000000001</v>
      </c>
      <c r="F1918" s="68">
        <v>12.0929</v>
      </c>
      <c r="H1918" s="69" t="s">
        <v>4137</v>
      </c>
      <c r="I1918" s="66">
        <f t="shared" si="122"/>
        <v>45353</v>
      </c>
      <c r="J1918" s="70">
        <f t="shared" si="120"/>
        <v>2024</v>
      </c>
      <c r="K1918" s="72" t="s">
        <v>362</v>
      </c>
      <c r="L1918" s="72" t="s">
        <v>362</v>
      </c>
      <c r="M1918" s="71">
        <v>17.063300000000002</v>
      </c>
    </row>
    <row r="1919" spans="1:13">
      <c r="A1919" s="57" t="s">
        <v>4138</v>
      </c>
      <c r="B1919" s="58">
        <f t="shared" si="118"/>
        <v>40606</v>
      </c>
      <c r="C1919" s="59">
        <f t="shared" si="119"/>
        <v>2011</v>
      </c>
      <c r="D1919" s="61">
        <v>12.006399999999999</v>
      </c>
      <c r="E1919" s="61">
        <v>12.036799999999999</v>
      </c>
      <c r="F1919" s="61">
        <v>12.098100000000001</v>
      </c>
      <c r="H1919" s="62" t="s">
        <v>4139</v>
      </c>
      <c r="I1919" s="58">
        <f t="shared" si="122"/>
        <v>45354</v>
      </c>
      <c r="J1919" s="60">
        <f t="shared" si="120"/>
        <v>2024</v>
      </c>
      <c r="K1919" s="63" t="s">
        <v>362</v>
      </c>
      <c r="L1919" s="63" t="s">
        <v>362</v>
      </c>
      <c r="M1919" s="64">
        <v>17.063300000000002</v>
      </c>
    </row>
    <row r="1920" spans="1:13">
      <c r="A1920" s="65" t="s">
        <v>4140</v>
      </c>
      <c r="B1920" s="66">
        <f t="shared" si="118"/>
        <v>40607</v>
      </c>
      <c r="C1920" s="67">
        <f t="shared" si="119"/>
        <v>2011</v>
      </c>
      <c r="D1920" s="70" t="s">
        <v>362</v>
      </c>
      <c r="E1920" s="70" t="s">
        <v>362</v>
      </c>
      <c r="F1920" s="68">
        <v>12.036799999999999</v>
      </c>
      <c r="H1920" s="69" t="s">
        <v>4141</v>
      </c>
      <c r="I1920" s="66">
        <f t="shared" si="122"/>
        <v>45355</v>
      </c>
      <c r="J1920" s="70">
        <f t="shared" si="120"/>
        <v>2024</v>
      </c>
      <c r="K1920" s="71">
        <v>16.982800000000001</v>
      </c>
      <c r="L1920" s="71">
        <v>17.021699999999999</v>
      </c>
      <c r="M1920" s="71">
        <v>17.063300000000002</v>
      </c>
    </row>
    <row r="1921" spans="1:13">
      <c r="A1921" s="57" t="s">
        <v>4142</v>
      </c>
      <c r="B1921" s="58">
        <f t="shared" si="118"/>
        <v>40608</v>
      </c>
      <c r="C1921" s="59">
        <f t="shared" si="119"/>
        <v>2011</v>
      </c>
      <c r="D1921" s="60" t="s">
        <v>362</v>
      </c>
      <c r="E1921" s="60" t="s">
        <v>362</v>
      </c>
      <c r="F1921" s="61">
        <v>12.036799999999999</v>
      </c>
      <c r="H1921" s="62" t="s">
        <v>4143</v>
      </c>
      <c r="I1921" s="58">
        <f t="shared" si="122"/>
        <v>45356</v>
      </c>
      <c r="J1921" s="60">
        <f t="shared" si="120"/>
        <v>2024</v>
      </c>
      <c r="K1921" s="64">
        <v>16.925699999999999</v>
      </c>
      <c r="L1921" s="64">
        <v>16.982800000000001</v>
      </c>
      <c r="M1921" s="64">
        <v>17.021699999999999</v>
      </c>
    </row>
    <row r="1922" spans="1:13">
      <c r="A1922" s="65" t="s">
        <v>4144</v>
      </c>
      <c r="B1922" s="66">
        <f t="shared" si="118"/>
        <v>40609</v>
      </c>
      <c r="C1922" s="67">
        <f t="shared" si="119"/>
        <v>2011</v>
      </c>
      <c r="D1922" s="68">
        <v>12.016999999999999</v>
      </c>
      <c r="E1922" s="68">
        <v>12.006399999999999</v>
      </c>
      <c r="F1922" s="68">
        <v>12.036799999999999</v>
      </c>
      <c r="H1922" s="69" t="s">
        <v>4145</v>
      </c>
      <c r="I1922" s="66">
        <f t="shared" si="122"/>
        <v>45357</v>
      </c>
      <c r="J1922" s="70">
        <f t="shared" si="120"/>
        <v>2024</v>
      </c>
      <c r="K1922" s="71">
        <v>16.872800000000002</v>
      </c>
      <c r="L1922" s="71">
        <v>16.925699999999999</v>
      </c>
      <c r="M1922" s="71">
        <v>16.982800000000001</v>
      </c>
    </row>
    <row r="1923" spans="1:13">
      <c r="A1923" s="57" t="s">
        <v>4146</v>
      </c>
      <c r="B1923" s="58">
        <f t="shared" si="118"/>
        <v>40610</v>
      </c>
      <c r="C1923" s="59">
        <f t="shared" si="119"/>
        <v>2011</v>
      </c>
      <c r="D1923" s="61">
        <v>12.025399999999999</v>
      </c>
      <c r="E1923" s="61">
        <v>12.016999999999999</v>
      </c>
      <c r="F1923" s="61">
        <v>12.006399999999999</v>
      </c>
      <c r="H1923" s="62" t="s">
        <v>4147</v>
      </c>
      <c r="I1923" s="58">
        <f t="shared" si="122"/>
        <v>45358</v>
      </c>
      <c r="J1923" s="60">
        <f t="shared" si="120"/>
        <v>2024</v>
      </c>
      <c r="K1923" s="64">
        <v>16.876999999999999</v>
      </c>
      <c r="L1923" s="64">
        <v>16.872800000000002</v>
      </c>
      <c r="M1923" s="64">
        <v>16.925699999999999</v>
      </c>
    </row>
    <row r="1924" spans="1:13">
      <c r="A1924" s="65" t="s">
        <v>4148</v>
      </c>
      <c r="B1924" s="66">
        <f t="shared" si="118"/>
        <v>40611</v>
      </c>
      <c r="C1924" s="67">
        <f t="shared" si="119"/>
        <v>2011</v>
      </c>
      <c r="D1924" s="68">
        <v>11.968</v>
      </c>
      <c r="E1924" s="68">
        <v>12.025399999999999</v>
      </c>
      <c r="F1924" s="68">
        <v>12.016999999999999</v>
      </c>
      <c r="H1924" s="69" t="s">
        <v>4149</v>
      </c>
      <c r="I1924" s="66">
        <f t="shared" si="122"/>
        <v>45359</v>
      </c>
      <c r="J1924" s="70">
        <f t="shared" si="120"/>
        <v>2024</v>
      </c>
      <c r="K1924" s="71">
        <v>16.798500000000001</v>
      </c>
      <c r="L1924" s="71">
        <v>16.876999999999999</v>
      </c>
      <c r="M1924" s="71">
        <v>16.872800000000002</v>
      </c>
    </row>
    <row r="1925" spans="1:13">
      <c r="A1925" s="57" t="s">
        <v>4150</v>
      </c>
      <c r="B1925" s="58">
        <f t="shared" si="118"/>
        <v>40612</v>
      </c>
      <c r="C1925" s="59">
        <f t="shared" si="119"/>
        <v>2011</v>
      </c>
      <c r="D1925" s="61">
        <v>11.9755</v>
      </c>
      <c r="E1925" s="61">
        <v>11.968</v>
      </c>
      <c r="F1925" s="61">
        <v>12.025399999999999</v>
      </c>
      <c r="H1925" s="62" t="s">
        <v>4151</v>
      </c>
      <c r="I1925" s="58">
        <f t="shared" si="122"/>
        <v>45360</v>
      </c>
      <c r="J1925" s="60">
        <f t="shared" si="120"/>
        <v>2024</v>
      </c>
      <c r="K1925" s="63" t="s">
        <v>362</v>
      </c>
      <c r="L1925" s="63" t="s">
        <v>362</v>
      </c>
      <c r="M1925" s="64">
        <v>16.876999999999999</v>
      </c>
    </row>
    <row r="1926" spans="1:13">
      <c r="A1926" s="65" t="s">
        <v>4152</v>
      </c>
      <c r="B1926" s="66">
        <f t="shared" si="118"/>
        <v>40613</v>
      </c>
      <c r="C1926" s="67">
        <f t="shared" si="119"/>
        <v>2011</v>
      </c>
      <c r="D1926" s="68">
        <v>11.944100000000001</v>
      </c>
      <c r="E1926" s="68">
        <v>11.9755</v>
      </c>
      <c r="F1926" s="68">
        <v>11.968</v>
      </c>
      <c r="H1926" s="69" t="s">
        <v>4153</v>
      </c>
      <c r="I1926" s="66">
        <f t="shared" si="122"/>
        <v>45361</v>
      </c>
      <c r="J1926" s="70">
        <f t="shared" si="120"/>
        <v>2024</v>
      </c>
      <c r="K1926" s="72" t="s">
        <v>362</v>
      </c>
      <c r="L1926" s="72" t="s">
        <v>362</v>
      </c>
      <c r="M1926" s="71">
        <v>16.876999999999999</v>
      </c>
    </row>
    <row r="1927" spans="1:13">
      <c r="A1927" s="57" t="s">
        <v>4154</v>
      </c>
      <c r="B1927" s="58">
        <f t="shared" si="118"/>
        <v>40614</v>
      </c>
      <c r="C1927" s="59">
        <f t="shared" si="119"/>
        <v>2011</v>
      </c>
      <c r="D1927" s="60" t="s">
        <v>362</v>
      </c>
      <c r="E1927" s="60" t="s">
        <v>362</v>
      </c>
      <c r="F1927" s="61">
        <v>11.9755</v>
      </c>
      <c r="H1927" s="62" t="s">
        <v>4155</v>
      </c>
      <c r="I1927" s="58">
        <f t="shared" si="122"/>
        <v>45362</v>
      </c>
      <c r="J1927" s="60">
        <f t="shared" si="120"/>
        <v>2024</v>
      </c>
      <c r="K1927" s="64">
        <v>16.808299999999999</v>
      </c>
      <c r="L1927" s="64">
        <v>16.798500000000001</v>
      </c>
      <c r="M1927" s="64">
        <v>16.876999999999999</v>
      </c>
    </row>
    <row r="1928" spans="1:13">
      <c r="A1928" s="65" t="s">
        <v>4156</v>
      </c>
      <c r="B1928" s="66">
        <f t="shared" si="118"/>
        <v>40615</v>
      </c>
      <c r="C1928" s="67">
        <f t="shared" si="119"/>
        <v>2011</v>
      </c>
      <c r="D1928" s="70" t="s">
        <v>362</v>
      </c>
      <c r="E1928" s="70" t="s">
        <v>362</v>
      </c>
      <c r="F1928" s="68">
        <v>11.9755</v>
      </c>
      <c r="H1928" s="69" t="s">
        <v>4157</v>
      </c>
      <c r="I1928" s="66">
        <f t="shared" si="122"/>
        <v>45363</v>
      </c>
      <c r="J1928" s="70">
        <f t="shared" si="120"/>
        <v>2024</v>
      </c>
      <c r="K1928" s="71">
        <v>16.827200000000001</v>
      </c>
      <c r="L1928" s="71">
        <v>16.808299999999999</v>
      </c>
      <c r="M1928" s="71">
        <v>16.798500000000001</v>
      </c>
    </row>
    <row r="1929" spans="1:13">
      <c r="A1929" s="57" t="s">
        <v>4158</v>
      </c>
      <c r="B1929" s="58">
        <f t="shared" si="118"/>
        <v>40616</v>
      </c>
      <c r="C1929" s="59">
        <f t="shared" si="119"/>
        <v>2011</v>
      </c>
      <c r="D1929" s="61">
        <v>11.923500000000001</v>
      </c>
      <c r="E1929" s="61">
        <v>11.944100000000001</v>
      </c>
      <c r="F1929" s="61">
        <v>11.9755</v>
      </c>
      <c r="H1929" s="62" t="s">
        <v>4159</v>
      </c>
      <c r="I1929" s="58">
        <f t="shared" si="122"/>
        <v>45364</v>
      </c>
      <c r="J1929" s="60">
        <f t="shared" si="120"/>
        <v>2024</v>
      </c>
      <c r="K1929" s="64">
        <v>16.712700000000002</v>
      </c>
      <c r="L1929" s="64">
        <v>16.827200000000001</v>
      </c>
      <c r="M1929" s="64">
        <v>16.808299999999999</v>
      </c>
    </row>
    <row r="1930" spans="1:13">
      <c r="A1930" s="65" t="s">
        <v>4160</v>
      </c>
      <c r="B1930" s="66">
        <f t="shared" si="118"/>
        <v>40617</v>
      </c>
      <c r="C1930" s="67">
        <f t="shared" si="119"/>
        <v>2011</v>
      </c>
      <c r="D1930" s="68">
        <v>12.017099999999999</v>
      </c>
      <c r="E1930" s="68">
        <v>11.923500000000001</v>
      </c>
      <c r="F1930" s="68">
        <v>11.944100000000001</v>
      </c>
      <c r="H1930" s="69" t="s">
        <v>4161</v>
      </c>
      <c r="I1930" s="66">
        <f t="shared" si="122"/>
        <v>45365</v>
      </c>
      <c r="J1930" s="70">
        <f t="shared" si="120"/>
        <v>2024</v>
      </c>
      <c r="K1930" s="71">
        <v>16.692</v>
      </c>
      <c r="L1930" s="71">
        <v>16.712700000000002</v>
      </c>
      <c r="M1930" s="71">
        <v>16.827200000000001</v>
      </c>
    </row>
    <row r="1931" spans="1:13">
      <c r="A1931" s="57" t="s">
        <v>4162</v>
      </c>
      <c r="B1931" s="58">
        <f t="shared" si="118"/>
        <v>40618</v>
      </c>
      <c r="C1931" s="59">
        <f t="shared" si="119"/>
        <v>2011</v>
      </c>
      <c r="D1931" s="61">
        <v>12.071</v>
      </c>
      <c r="E1931" s="61">
        <v>12.017099999999999</v>
      </c>
      <c r="F1931" s="61">
        <v>11.923500000000001</v>
      </c>
      <c r="H1931" s="62" t="s">
        <v>4163</v>
      </c>
      <c r="I1931" s="58">
        <f t="shared" si="122"/>
        <v>45366</v>
      </c>
      <c r="J1931" s="60">
        <f t="shared" si="120"/>
        <v>2024</v>
      </c>
      <c r="K1931" s="64">
        <v>16.71</v>
      </c>
      <c r="L1931" s="64">
        <v>16.692</v>
      </c>
      <c r="M1931" s="64">
        <v>16.712700000000002</v>
      </c>
    </row>
    <row r="1932" spans="1:13">
      <c r="A1932" s="65" t="s">
        <v>4164</v>
      </c>
      <c r="B1932" s="66">
        <f t="shared" si="118"/>
        <v>40619</v>
      </c>
      <c r="C1932" s="67">
        <f t="shared" si="119"/>
        <v>2011</v>
      </c>
      <c r="D1932" s="68">
        <v>12.092499999999999</v>
      </c>
      <c r="E1932" s="68">
        <v>12.071</v>
      </c>
      <c r="F1932" s="68">
        <v>12.017099999999999</v>
      </c>
      <c r="H1932" s="69" t="s">
        <v>4165</v>
      </c>
      <c r="I1932" s="66">
        <f t="shared" si="122"/>
        <v>45367</v>
      </c>
      <c r="J1932" s="70">
        <f t="shared" si="120"/>
        <v>2024</v>
      </c>
      <c r="K1932" s="72" t="s">
        <v>362</v>
      </c>
      <c r="L1932" s="72" t="s">
        <v>362</v>
      </c>
      <c r="M1932" s="71">
        <v>16.692</v>
      </c>
    </row>
    <row r="1933" spans="1:13">
      <c r="A1933" s="57" t="s">
        <v>4166</v>
      </c>
      <c r="B1933" s="58">
        <f t="shared" si="118"/>
        <v>40620</v>
      </c>
      <c r="C1933" s="59">
        <f t="shared" si="119"/>
        <v>2011</v>
      </c>
      <c r="D1933" s="61">
        <v>12.061500000000001</v>
      </c>
      <c r="E1933" s="61">
        <v>12.092499999999999</v>
      </c>
      <c r="F1933" s="61">
        <v>12.071</v>
      </c>
      <c r="H1933" s="62" t="s">
        <v>4167</v>
      </c>
      <c r="I1933" s="58">
        <f t="shared" si="122"/>
        <v>45368</v>
      </c>
      <c r="J1933" s="60">
        <f t="shared" si="120"/>
        <v>2024</v>
      </c>
      <c r="K1933" s="63" t="s">
        <v>362</v>
      </c>
      <c r="L1933" s="63" t="s">
        <v>362</v>
      </c>
      <c r="M1933" s="64">
        <v>16.692</v>
      </c>
    </row>
    <row r="1934" spans="1:13">
      <c r="A1934" s="65" t="s">
        <v>4168</v>
      </c>
      <c r="B1934" s="66">
        <f t="shared" si="118"/>
        <v>40621</v>
      </c>
      <c r="C1934" s="67">
        <f t="shared" si="119"/>
        <v>2011</v>
      </c>
      <c r="D1934" s="70" t="s">
        <v>362</v>
      </c>
      <c r="E1934" s="70" t="s">
        <v>362</v>
      </c>
      <c r="F1934" s="68">
        <v>12.092499999999999</v>
      </c>
      <c r="H1934" s="69" t="s">
        <v>4169</v>
      </c>
      <c r="I1934" s="66">
        <f t="shared" si="122"/>
        <v>45369</v>
      </c>
      <c r="J1934" s="70">
        <f t="shared" si="120"/>
        <v>2024</v>
      </c>
      <c r="K1934" s="72" t="s">
        <v>362</v>
      </c>
      <c r="L1934" s="72" t="s">
        <v>362</v>
      </c>
      <c r="M1934" s="71">
        <v>16.692</v>
      </c>
    </row>
    <row r="1935" spans="1:13">
      <c r="A1935" s="57" t="s">
        <v>4170</v>
      </c>
      <c r="B1935" s="58">
        <f t="shared" si="118"/>
        <v>40622</v>
      </c>
      <c r="C1935" s="59">
        <f t="shared" si="119"/>
        <v>2011</v>
      </c>
      <c r="D1935" s="60" t="s">
        <v>362</v>
      </c>
      <c r="E1935" s="60" t="s">
        <v>362</v>
      </c>
      <c r="F1935" s="61">
        <v>12.092499999999999</v>
      </c>
      <c r="H1935" s="62" t="s">
        <v>4171</v>
      </c>
      <c r="I1935" s="58">
        <f t="shared" si="122"/>
        <v>45370</v>
      </c>
      <c r="J1935" s="60">
        <f t="shared" si="120"/>
        <v>2024</v>
      </c>
      <c r="K1935" s="64">
        <v>16.8523</v>
      </c>
      <c r="L1935" s="64">
        <v>16.71</v>
      </c>
      <c r="M1935" s="64">
        <v>16.692</v>
      </c>
    </row>
    <row r="1936" spans="1:13">
      <c r="A1936" s="65" t="s">
        <v>4172</v>
      </c>
      <c r="B1936" s="66">
        <f t="shared" si="118"/>
        <v>40623</v>
      </c>
      <c r="C1936" s="67">
        <f t="shared" si="119"/>
        <v>2011</v>
      </c>
      <c r="D1936" s="70" t="s">
        <v>362</v>
      </c>
      <c r="E1936" s="70" t="s">
        <v>362</v>
      </c>
      <c r="F1936" s="68">
        <v>12.092499999999999</v>
      </c>
      <c r="H1936" s="69" t="s">
        <v>4173</v>
      </c>
      <c r="I1936" s="66">
        <f t="shared" si="122"/>
        <v>45371</v>
      </c>
      <c r="J1936" s="70">
        <f t="shared" si="120"/>
        <v>2024</v>
      </c>
      <c r="K1936" s="71">
        <v>16.759</v>
      </c>
      <c r="L1936" s="71">
        <v>16.8523</v>
      </c>
      <c r="M1936" s="71">
        <v>16.71</v>
      </c>
    </row>
    <row r="1937" spans="1:13">
      <c r="A1937" s="57" t="s">
        <v>4174</v>
      </c>
      <c r="B1937" s="58">
        <f t="shared" si="118"/>
        <v>40624</v>
      </c>
      <c r="C1937" s="59">
        <f t="shared" si="119"/>
        <v>2011</v>
      </c>
      <c r="D1937" s="61">
        <v>11.9885</v>
      </c>
      <c r="E1937" s="61">
        <v>12.061500000000001</v>
      </c>
      <c r="F1937" s="61">
        <v>12.092499999999999</v>
      </c>
      <c r="H1937" s="62" t="s">
        <v>4175</v>
      </c>
      <c r="I1937" s="58">
        <f t="shared" si="122"/>
        <v>45372</v>
      </c>
      <c r="J1937" s="60">
        <f t="shared" si="120"/>
        <v>2024</v>
      </c>
      <c r="K1937" s="64">
        <v>16.762</v>
      </c>
      <c r="L1937" s="64">
        <v>16.759</v>
      </c>
      <c r="M1937" s="64">
        <v>16.8523</v>
      </c>
    </row>
    <row r="1938" spans="1:13">
      <c r="A1938" s="65" t="s">
        <v>4176</v>
      </c>
      <c r="B1938" s="66">
        <f t="shared" si="118"/>
        <v>40625</v>
      </c>
      <c r="C1938" s="67">
        <f t="shared" si="119"/>
        <v>2011</v>
      </c>
      <c r="D1938" s="68">
        <v>12.000400000000001</v>
      </c>
      <c r="E1938" s="68">
        <v>11.9885</v>
      </c>
      <c r="F1938" s="68">
        <v>12.061500000000001</v>
      </c>
      <c r="H1938" s="69" t="s">
        <v>4177</v>
      </c>
      <c r="I1938" s="66">
        <f t="shared" si="122"/>
        <v>45373</v>
      </c>
      <c r="J1938" s="70">
        <f t="shared" si="120"/>
        <v>2024</v>
      </c>
      <c r="K1938" s="71">
        <v>16.736699999999999</v>
      </c>
      <c r="L1938" s="71">
        <v>16.762</v>
      </c>
      <c r="M1938" s="71">
        <v>16.759</v>
      </c>
    </row>
    <row r="1939" spans="1:13">
      <c r="A1939" s="57" t="s">
        <v>4178</v>
      </c>
      <c r="B1939" s="58">
        <f t="shared" si="118"/>
        <v>40626</v>
      </c>
      <c r="C1939" s="59">
        <f t="shared" si="119"/>
        <v>2011</v>
      </c>
      <c r="D1939" s="61">
        <v>11.955500000000001</v>
      </c>
      <c r="E1939" s="61">
        <v>12.000400000000001</v>
      </c>
      <c r="F1939" s="61">
        <v>11.9885</v>
      </c>
      <c r="H1939" s="62" t="s">
        <v>4179</v>
      </c>
      <c r="I1939" s="58">
        <f t="shared" si="122"/>
        <v>45374</v>
      </c>
      <c r="J1939" s="60">
        <f t="shared" si="120"/>
        <v>2024</v>
      </c>
      <c r="K1939" s="63" t="s">
        <v>362</v>
      </c>
      <c r="L1939" s="63" t="s">
        <v>362</v>
      </c>
      <c r="M1939" s="64">
        <v>16.762</v>
      </c>
    </row>
    <row r="1940" spans="1:13">
      <c r="A1940" s="65" t="s">
        <v>4180</v>
      </c>
      <c r="B1940" s="66">
        <f t="shared" si="118"/>
        <v>40627</v>
      </c>
      <c r="C1940" s="67">
        <f t="shared" si="119"/>
        <v>2011</v>
      </c>
      <c r="D1940" s="68">
        <v>11.9505</v>
      </c>
      <c r="E1940" s="68">
        <v>11.955500000000001</v>
      </c>
      <c r="F1940" s="68">
        <v>12.000400000000001</v>
      </c>
      <c r="H1940" s="69" t="s">
        <v>4181</v>
      </c>
      <c r="I1940" s="66">
        <f t="shared" si="122"/>
        <v>45375</v>
      </c>
      <c r="J1940" s="70">
        <f t="shared" si="120"/>
        <v>2024</v>
      </c>
      <c r="K1940" s="72" t="s">
        <v>362</v>
      </c>
      <c r="L1940" s="72" t="s">
        <v>362</v>
      </c>
      <c r="M1940" s="71">
        <v>16.762</v>
      </c>
    </row>
    <row r="1941" spans="1:13">
      <c r="A1941" s="57" t="s">
        <v>4182</v>
      </c>
      <c r="B1941" s="58">
        <f t="shared" si="118"/>
        <v>40628</v>
      </c>
      <c r="C1941" s="59">
        <f t="shared" si="119"/>
        <v>2011</v>
      </c>
      <c r="D1941" s="60" t="s">
        <v>362</v>
      </c>
      <c r="E1941" s="60" t="s">
        <v>362</v>
      </c>
      <c r="F1941" s="61">
        <v>11.955500000000001</v>
      </c>
      <c r="H1941" s="62" t="s">
        <v>4183</v>
      </c>
      <c r="I1941" s="58">
        <f t="shared" si="122"/>
        <v>45376</v>
      </c>
      <c r="J1941" s="60">
        <f t="shared" si="120"/>
        <v>2024</v>
      </c>
      <c r="K1941" s="64">
        <v>16.703199999999999</v>
      </c>
      <c r="L1941" s="64">
        <v>16.736699999999999</v>
      </c>
      <c r="M1941" s="64">
        <v>16.762</v>
      </c>
    </row>
    <row r="1942" spans="1:13">
      <c r="A1942" s="65" t="s">
        <v>4184</v>
      </c>
      <c r="B1942" s="66">
        <f t="shared" si="118"/>
        <v>40629</v>
      </c>
      <c r="C1942" s="67">
        <f t="shared" si="119"/>
        <v>2011</v>
      </c>
      <c r="D1942" s="70" t="s">
        <v>362</v>
      </c>
      <c r="E1942" s="70" t="s">
        <v>362</v>
      </c>
      <c r="F1942" s="68">
        <v>11.955500000000001</v>
      </c>
      <c r="H1942" s="69" t="s">
        <v>4185</v>
      </c>
      <c r="I1942" s="66">
        <f t="shared" si="122"/>
        <v>45377</v>
      </c>
      <c r="J1942" s="70">
        <f t="shared" si="120"/>
        <v>2024</v>
      </c>
      <c r="K1942" s="71">
        <v>16.678000000000001</v>
      </c>
      <c r="L1942" s="71">
        <v>16.703199999999999</v>
      </c>
      <c r="M1942" s="71">
        <v>16.736699999999999</v>
      </c>
    </row>
    <row r="1943" spans="1:13">
      <c r="A1943" s="57" t="s">
        <v>4186</v>
      </c>
      <c r="B1943" s="58">
        <f t="shared" si="118"/>
        <v>40630</v>
      </c>
      <c r="C1943" s="59">
        <f t="shared" si="119"/>
        <v>2011</v>
      </c>
      <c r="D1943" s="61">
        <v>11.959</v>
      </c>
      <c r="E1943" s="61">
        <v>11.9505</v>
      </c>
      <c r="F1943" s="61">
        <v>11.955500000000001</v>
      </c>
      <c r="H1943" s="62" t="s">
        <v>4187</v>
      </c>
      <c r="I1943" s="58">
        <f t="shared" si="122"/>
        <v>45378</v>
      </c>
      <c r="J1943" s="60">
        <f t="shared" si="120"/>
        <v>2024</v>
      </c>
      <c r="K1943" s="64">
        <v>16.532299999999999</v>
      </c>
      <c r="L1943" s="64">
        <v>16.678000000000001</v>
      </c>
      <c r="M1943" s="64">
        <v>16.703199999999999</v>
      </c>
    </row>
    <row r="1944" spans="1:13">
      <c r="A1944" s="65" t="s">
        <v>4188</v>
      </c>
      <c r="B1944" s="66">
        <f t="shared" si="118"/>
        <v>40631</v>
      </c>
      <c r="C1944" s="67">
        <f t="shared" si="119"/>
        <v>2011</v>
      </c>
      <c r="D1944" s="68">
        <v>11.9678</v>
      </c>
      <c r="E1944" s="68">
        <v>11.959</v>
      </c>
      <c r="F1944" s="68">
        <v>11.9505</v>
      </c>
      <c r="H1944" s="69" t="s">
        <v>4189</v>
      </c>
      <c r="I1944" s="66">
        <f t="shared" si="122"/>
        <v>45379</v>
      </c>
      <c r="J1944" s="70">
        <f t="shared" si="120"/>
        <v>2024</v>
      </c>
      <c r="K1944" s="72" t="s">
        <v>362</v>
      </c>
      <c r="L1944" s="72" t="s">
        <v>362</v>
      </c>
      <c r="M1944" s="71">
        <v>16.678000000000001</v>
      </c>
    </row>
    <row r="1945" spans="1:13">
      <c r="A1945" s="57" t="s">
        <v>4190</v>
      </c>
      <c r="B1945" s="58">
        <f t="shared" si="118"/>
        <v>40632</v>
      </c>
      <c r="C1945" s="59">
        <f t="shared" si="119"/>
        <v>2011</v>
      </c>
      <c r="D1945" s="61">
        <v>11.921900000000001</v>
      </c>
      <c r="E1945" s="61">
        <v>11.9678</v>
      </c>
      <c r="F1945" s="61">
        <v>11.959</v>
      </c>
      <c r="H1945" s="62" t="s">
        <v>4191</v>
      </c>
      <c r="I1945" s="58">
        <f t="shared" si="122"/>
        <v>45380</v>
      </c>
      <c r="J1945" s="60">
        <f t="shared" si="120"/>
        <v>2024</v>
      </c>
      <c r="K1945" s="63" t="s">
        <v>362</v>
      </c>
      <c r="L1945" s="63" t="s">
        <v>362</v>
      </c>
      <c r="M1945" s="64">
        <v>16.678000000000001</v>
      </c>
    </row>
    <row r="1946" spans="1:13">
      <c r="A1946" s="65" t="s">
        <v>4192</v>
      </c>
      <c r="B1946" s="66">
        <f t="shared" si="118"/>
        <v>40633</v>
      </c>
      <c r="C1946" s="67">
        <f t="shared" si="119"/>
        <v>2011</v>
      </c>
      <c r="D1946" s="68">
        <v>11.9084</v>
      </c>
      <c r="E1946" s="68">
        <v>11.921900000000001</v>
      </c>
      <c r="F1946" s="68">
        <v>11.9678</v>
      </c>
      <c r="H1946" s="69" t="s">
        <v>4193</v>
      </c>
      <c r="I1946" s="66">
        <f t="shared" si="122"/>
        <v>45381</v>
      </c>
      <c r="J1946" s="70">
        <f t="shared" si="120"/>
        <v>2024</v>
      </c>
      <c r="K1946" s="72" t="s">
        <v>362</v>
      </c>
      <c r="L1946" s="72" t="s">
        <v>362</v>
      </c>
      <c r="M1946" s="71">
        <v>16.678000000000001</v>
      </c>
    </row>
    <row r="1947" spans="1:13">
      <c r="A1947" s="57" t="s">
        <v>4194</v>
      </c>
      <c r="B1947" s="58">
        <f t="shared" si="118"/>
        <v>40634</v>
      </c>
      <c r="C1947" s="59">
        <f t="shared" si="119"/>
        <v>2011</v>
      </c>
      <c r="D1947" s="61">
        <v>11.841200000000001</v>
      </c>
      <c r="E1947" s="61">
        <v>11.9084</v>
      </c>
      <c r="F1947" s="61">
        <v>11.921900000000001</v>
      </c>
      <c r="H1947" s="62" t="s">
        <v>4195</v>
      </c>
      <c r="I1947" s="58">
        <f t="shared" si="122"/>
        <v>45382</v>
      </c>
      <c r="J1947" s="60">
        <f t="shared" si="120"/>
        <v>2024</v>
      </c>
      <c r="K1947" s="63" t="s">
        <v>362</v>
      </c>
      <c r="L1947" s="63" t="s">
        <v>362</v>
      </c>
      <c r="M1947" s="64">
        <v>16.678000000000001</v>
      </c>
    </row>
    <row r="1948" spans="1:13">
      <c r="A1948" s="65" t="s">
        <v>4196</v>
      </c>
      <c r="B1948" s="66">
        <f t="shared" si="118"/>
        <v>40635</v>
      </c>
      <c r="C1948" s="67">
        <f t="shared" si="119"/>
        <v>2011</v>
      </c>
      <c r="D1948" s="70" t="s">
        <v>362</v>
      </c>
      <c r="E1948" s="70" t="s">
        <v>362</v>
      </c>
      <c r="F1948" s="68">
        <v>11.9084</v>
      </c>
      <c r="H1948" s="69" t="s">
        <v>4197</v>
      </c>
      <c r="I1948" s="66">
        <f t="shared" si="122"/>
        <v>45383</v>
      </c>
      <c r="J1948" s="70">
        <f t="shared" si="120"/>
        <v>2024</v>
      </c>
      <c r="K1948" s="71">
        <v>16.657800000000002</v>
      </c>
      <c r="L1948" s="71">
        <v>16.532299999999999</v>
      </c>
      <c r="M1948" s="71">
        <v>16.678000000000001</v>
      </c>
    </row>
    <row r="1949" spans="1:13">
      <c r="A1949" s="57" t="s">
        <v>4198</v>
      </c>
      <c r="B1949" s="58">
        <f t="shared" si="118"/>
        <v>40636</v>
      </c>
      <c r="C1949" s="59">
        <f t="shared" si="119"/>
        <v>2011</v>
      </c>
      <c r="D1949" s="60" t="s">
        <v>362</v>
      </c>
      <c r="E1949" s="60" t="s">
        <v>362</v>
      </c>
      <c r="F1949" s="61">
        <v>11.9084</v>
      </c>
      <c r="H1949" s="62" t="s">
        <v>4199</v>
      </c>
      <c r="I1949" s="58">
        <f t="shared" si="122"/>
        <v>45384</v>
      </c>
      <c r="J1949" s="60">
        <f t="shared" si="120"/>
        <v>2024</v>
      </c>
      <c r="K1949" s="64">
        <v>16.567299999999999</v>
      </c>
      <c r="L1949" s="64">
        <v>16.657800000000002</v>
      </c>
      <c r="M1949" s="64">
        <v>16.532299999999999</v>
      </c>
    </row>
    <row r="1950" spans="1:13">
      <c r="A1950" s="65" t="s">
        <v>4200</v>
      </c>
      <c r="B1950" s="66">
        <f t="shared" si="118"/>
        <v>40637</v>
      </c>
      <c r="C1950" s="67">
        <f t="shared" si="119"/>
        <v>2011</v>
      </c>
      <c r="D1950" s="68">
        <v>11.853300000000001</v>
      </c>
      <c r="E1950" s="68">
        <v>11.841200000000001</v>
      </c>
      <c r="F1950" s="68">
        <v>11.9084</v>
      </c>
      <c r="H1950" s="69" t="s">
        <v>4201</v>
      </c>
      <c r="I1950" s="66">
        <f t="shared" si="122"/>
        <v>45385</v>
      </c>
      <c r="J1950" s="70">
        <f t="shared" si="120"/>
        <v>2024</v>
      </c>
      <c r="K1950" s="71">
        <v>16.541499999999999</v>
      </c>
      <c r="L1950" s="71">
        <v>16.567299999999999</v>
      </c>
      <c r="M1950" s="71">
        <v>16.657800000000002</v>
      </c>
    </row>
    <row r="1951" spans="1:13">
      <c r="A1951" s="57" t="s">
        <v>4202</v>
      </c>
      <c r="B1951" s="58">
        <f t="shared" ref="B1951:B2014" si="123">DATE(RIGHT(A1951,4),LEFT(RIGHT(A1951,7),2),LEFT(A1951,2))</f>
        <v>40638</v>
      </c>
      <c r="C1951" s="59">
        <f t="shared" ref="C1951:C2014" si="124">YEAR(B1951)</f>
        <v>2011</v>
      </c>
      <c r="D1951" s="61">
        <v>11.8322</v>
      </c>
      <c r="E1951" s="61">
        <v>11.853300000000001</v>
      </c>
      <c r="F1951" s="61">
        <v>11.841200000000001</v>
      </c>
      <c r="H1951" s="62" t="s">
        <v>4203</v>
      </c>
      <c r="I1951" s="58">
        <f t="shared" si="122"/>
        <v>45386</v>
      </c>
      <c r="J1951" s="60">
        <f t="shared" ref="J1951:J2014" si="125">YEAR(I1951)</f>
        <v>2024</v>
      </c>
      <c r="K1951" s="64">
        <v>16.517299999999999</v>
      </c>
      <c r="L1951" s="64">
        <v>16.541499999999999</v>
      </c>
      <c r="M1951" s="64">
        <v>16.567299999999999</v>
      </c>
    </row>
    <row r="1952" spans="1:13">
      <c r="A1952" s="65" t="s">
        <v>4204</v>
      </c>
      <c r="B1952" s="66">
        <f t="shared" si="123"/>
        <v>40639</v>
      </c>
      <c r="C1952" s="67">
        <f t="shared" si="124"/>
        <v>2011</v>
      </c>
      <c r="D1952" s="68">
        <v>11.7836</v>
      </c>
      <c r="E1952" s="68">
        <v>11.8322</v>
      </c>
      <c r="F1952" s="68">
        <v>11.853300000000001</v>
      </c>
      <c r="H1952" s="69" t="s">
        <v>4205</v>
      </c>
      <c r="I1952" s="66">
        <f t="shared" si="122"/>
        <v>45387</v>
      </c>
      <c r="J1952" s="70">
        <f t="shared" si="125"/>
        <v>2024</v>
      </c>
      <c r="K1952" s="71">
        <v>16.4758</v>
      </c>
      <c r="L1952" s="71">
        <v>16.517299999999999</v>
      </c>
      <c r="M1952" s="71">
        <v>16.541499999999999</v>
      </c>
    </row>
    <row r="1953" spans="1:13">
      <c r="A1953" s="57" t="s">
        <v>4206</v>
      </c>
      <c r="B1953" s="58">
        <f t="shared" si="123"/>
        <v>40640</v>
      </c>
      <c r="C1953" s="59">
        <f t="shared" si="124"/>
        <v>2011</v>
      </c>
      <c r="D1953" s="61">
        <v>11.793100000000001</v>
      </c>
      <c r="E1953" s="61">
        <v>11.7836</v>
      </c>
      <c r="F1953" s="61">
        <v>11.8322</v>
      </c>
      <c r="H1953" s="62" t="s">
        <v>4207</v>
      </c>
      <c r="I1953" s="58">
        <f t="shared" si="122"/>
        <v>45388</v>
      </c>
      <c r="J1953" s="60">
        <f t="shared" si="125"/>
        <v>2024</v>
      </c>
      <c r="K1953" s="63" t="s">
        <v>362</v>
      </c>
      <c r="L1953" s="63" t="s">
        <v>362</v>
      </c>
      <c r="M1953" s="64">
        <v>16.517299999999999</v>
      </c>
    </row>
    <row r="1954" spans="1:13">
      <c r="A1954" s="65" t="s">
        <v>4208</v>
      </c>
      <c r="B1954" s="66">
        <f t="shared" si="123"/>
        <v>40641</v>
      </c>
      <c r="C1954" s="67">
        <f t="shared" si="124"/>
        <v>2011</v>
      </c>
      <c r="D1954" s="68">
        <v>11.742100000000001</v>
      </c>
      <c r="E1954" s="68">
        <v>11.793100000000001</v>
      </c>
      <c r="F1954" s="68">
        <v>11.7836</v>
      </c>
      <c r="H1954" s="69" t="s">
        <v>4209</v>
      </c>
      <c r="I1954" s="66">
        <f t="shared" si="122"/>
        <v>45389</v>
      </c>
      <c r="J1954" s="70">
        <f t="shared" si="125"/>
        <v>2024</v>
      </c>
      <c r="K1954" s="72" t="s">
        <v>362</v>
      </c>
      <c r="L1954" s="72" t="s">
        <v>362</v>
      </c>
      <c r="M1954" s="71">
        <v>16.517299999999999</v>
      </c>
    </row>
    <row r="1955" spans="1:13">
      <c r="A1955" s="57" t="s">
        <v>4210</v>
      </c>
      <c r="B1955" s="58">
        <f t="shared" si="123"/>
        <v>40642</v>
      </c>
      <c r="C1955" s="59">
        <f t="shared" si="124"/>
        <v>2011</v>
      </c>
      <c r="D1955" s="60" t="s">
        <v>362</v>
      </c>
      <c r="E1955" s="60" t="s">
        <v>362</v>
      </c>
      <c r="F1955" s="61">
        <v>11.793100000000001</v>
      </c>
      <c r="H1955" s="62" t="s">
        <v>4211</v>
      </c>
      <c r="I1955" s="58">
        <f t="shared" si="122"/>
        <v>45390</v>
      </c>
      <c r="J1955" s="60">
        <f t="shared" si="125"/>
        <v>2024</v>
      </c>
      <c r="K1955" s="64">
        <v>16.335699999999999</v>
      </c>
      <c r="L1955" s="64">
        <v>16.4758</v>
      </c>
      <c r="M1955" s="64">
        <v>16.517299999999999</v>
      </c>
    </row>
    <row r="1956" spans="1:13">
      <c r="A1956" s="65" t="s">
        <v>4212</v>
      </c>
      <c r="B1956" s="66">
        <f t="shared" si="123"/>
        <v>40643</v>
      </c>
      <c r="C1956" s="67">
        <f t="shared" si="124"/>
        <v>2011</v>
      </c>
      <c r="D1956" s="70" t="s">
        <v>362</v>
      </c>
      <c r="E1956" s="70" t="s">
        <v>362</v>
      </c>
      <c r="F1956" s="68">
        <v>11.793100000000001</v>
      </c>
      <c r="H1956" s="69" t="s">
        <v>4213</v>
      </c>
      <c r="I1956" s="66">
        <f t="shared" si="122"/>
        <v>45391</v>
      </c>
      <c r="J1956" s="70">
        <f t="shared" si="125"/>
        <v>2024</v>
      </c>
      <c r="K1956" s="71">
        <v>16.3932</v>
      </c>
      <c r="L1956" s="71">
        <v>16.335699999999999</v>
      </c>
      <c r="M1956" s="71">
        <v>16.4758</v>
      </c>
    </row>
    <row r="1957" spans="1:13">
      <c r="A1957" s="57" t="s">
        <v>4214</v>
      </c>
      <c r="B1957" s="58">
        <f t="shared" si="123"/>
        <v>40644</v>
      </c>
      <c r="C1957" s="59">
        <f t="shared" si="124"/>
        <v>2011</v>
      </c>
      <c r="D1957" s="61">
        <v>11.7447</v>
      </c>
      <c r="E1957" s="61">
        <v>11.742100000000001</v>
      </c>
      <c r="F1957" s="61">
        <v>11.793100000000001</v>
      </c>
      <c r="H1957" s="62" t="s">
        <v>4215</v>
      </c>
      <c r="I1957" s="58">
        <f t="shared" si="122"/>
        <v>45392</v>
      </c>
      <c r="J1957" s="60">
        <f t="shared" si="125"/>
        <v>2024</v>
      </c>
      <c r="K1957" s="64">
        <v>16.488299999999999</v>
      </c>
      <c r="L1957" s="64">
        <v>16.3932</v>
      </c>
      <c r="M1957" s="64">
        <v>16.335699999999999</v>
      </c>
    </row>
    <row r="1958" spans="1:13">
      <c r="A1958" s="65" t="s">
        <v>4216</v>
      </c>
      <c r="B1958" s="66">
        <f t="shared" si="123"/>
        <v>40645</v>
      </c>
      <c r="C1958" s="67">
        <f t="shared" si="124"/>
        <v>2011</v>
      </c>
      <c r="D1958" s="68">
        <v>11.826599999999999</v>
      </c>
      <c r="E1958" s="68">
        <v>11.7447</v>
      </c>
      <c r="F1958" s="68">
        <v>11.742100000000001</v>
      </c>
      <c r="H1958" s="69" t="s">
        <v>4217</v>
      </c>
      <c r="I1958" s="66">
        <f t="shared" si="122"/>
        <v>45393</v>
      </c>
      <c r="J1958" s="70">
        <f t="shared" si="125"/>
        <v>2024</v>
      </c>
      <c r="K1958" s="71">
        <v>16.458300000000001</v>
      </c>
      <c r="L1958" s="71">
        <v>16.488299999999999</v>
      </c>
      <c r="M1958" s="71">
        <v>16.3932</v>
      </c>
    </row>
    <row r="1959" spans="1:13">
      <c r="A1959" s="57" t="s">
        <v>4218</v>
      </c>
      <c r="B1959" s="58">
        <f t="shared" si="123"/>
        <v>40646</v>
      </c>
      <c r="C1959" s="59">
        <f t="shared" si="124"/>
        <v>2011</v>
      </c>
      <c r="D1959" s="61">
        <v>11.790699999999999</v>
      </c>
      <c r="E1959" s="61">
        <v>11.826599999999999</v>
      </c>
      <c r="F1959" s="61">
        <v>11.7447</v>
      </c>
      <c r="H1959" s="62" t="s">
        <v>4219</v>
      </c>
      <c r="I1959" s="58">
        <f t="shared" si="122"/>
        <v>45394</v>
      </c>
      <c r="J1959" s="60">
        <f t="shared" si="125"/>
        <v>2024</v>
      </c>
      <c r="K1959" s="64">
        <v>16.6693</v>
      </c>
      <c r="L1959" s="64">
        <v>16.458300000000001</v>
      </c>
      <c r="M1959" s="64">
        <v>16.488299999999999</v>
      </c>
    </row>
    <row r="1960" spans="1:13">
      <c r="A1960" s="65" t="s">
        <v>4220</v>
      </c>
      <c r="B1960" s="66">
        <f t="shared" si="123"/>
        <v>40647</v>
      </c>
      <c r="C1960" s="67">
        <f t="shared" si="124"/>
        <v>2011</v>
      </c>
      <c r="D1960" s="68">
        <v>11.767899999999999</v>
      </c>
      <c r="E1960" s="68">
        <v>11.790699999999999</v>
      </c>
      <c r="F1960" s="68">
        <v>11.826599999999999</v>
      </c>
      <c r="H1960" s="69" t="s">
        <v>4221</v>
      </c>
      <c r="I1960" s="66">
        <f t="shared" si="122"/>
        <v>45395</v>
      </c>
      <c r="J1960" s="70">
        <f t="shared" si="125"/>
        <v>2024</v>
      </c>
      <c r="K1960" s="72" t="s">
        <v>362</v>
      </c>
      <c r="L1960" s="72" t="s">
        <v>362</v>
      </c>
      <c r="M1960" s="71">
        <v>16.458300000000001</v>
      </c>
    </row>
    <row r="1961" spans="1:13">
      <c r="A1961" s="57" t="s">
        <v>4222</v>
      </c>
      <c r="B1961" s="58">
        <f t="shared" si="123"/>
        <v>40648</v>
      </c>
      <c r="C1961" s="59">
        <f t="shared" si="124"/>
        <v>2011</v>
      </c>
      <c r="D1961" s="61">
        <v>11.709</v>
      </c>
      <c r="E1961" s="61">
        <v>11.767899999999999</v>
      </c>
      <c r="F1961" s="61">
        <v>11.790699999999999</v>
      </c>
      <c r="H1961" s="62" t="s">
        <v>4223</v>
      </c>
      <c r="I1961" s="58">
        <f t="shared" si="122"/>
        <v>45396</v>
      </c>
      <c r="J1961" s="60">
        <f t="shared" si="125"/>
        <v>2024</v>
      </c>
      <c r="K1961" s="63" t="s">
        <v>362</v>
      </c>
      <c r="L1961" s="63" t="s">
        <v>362</v>
      </c>
      <c r="M1961" s="64">
        <v>16.458300000000001</v>
      </c>
    </row>
    <row r="1962" spans="1:13">
      <c r="A1962" s="65" t="s">
        <v>4224</v>
      </c>
      <c r="B1962" s="66">
        <f t="shared" si="123"/>
        <v>40649</v>
      </c>
      <c r="C1962" s="67">
        <f t="shared" si="124"/>
        <v>2011</v>
      </c>
      <c r="D1962" s="70" t="s">
        <v>362</v>
      </c>
      <c r="E1962" s="70" t="s">
        <v>362</v>
      </c>
      <c r="F1962" s="68">
        <v>11.767899999999999</v>
      </c>
      <c r="H1962" s="69" t="s">
        <v>4225</v>
      </c>
      <c r="I1962" s="66">
        <f t="shared" si="122"/>
        <v>45397</v>
      </c>
      <c r="J1962" s="70">
        <f t="shared" si="125"/>
        <v>2024</v>
      </c>
      <c r="K1962" s="71">
        <v>16.6815</v>
      </c>
      <c r="L1962" s="71">
        <v>16.6693</v>
      </c>
      <c r="M1962" s="71">
        <v>16.458300000000001</v>
      </c>
    </row>
    <row r="1963" spans="1:13">
      <c r="A1963" s="57" t="s">
        <v>4226</v>
      </c>
      <c r="B1963" s="58">
        <f t="shared" si="123"/>
        <v>40650</v>
      </c>
      <c r="C1963" s="59">
        <f t="shared" si="124"/>
        <v>2011</v>
      </c>
      <c r="D1963" s="60" t="s">
        <v>362</v>
      </c>
      <c r="E1963" s="60" t="s">
        <v>362</v>
      </c>
      <c r="F1963" s="61">
        <v>11.767899999999999</v>
      </c>
      <c r="H1963" s="62" t="s">
        <v>4227</v>
      </c>
      <c r="I1963" s="58">
        <f t="shared" si="122"/>
        <v>45398</v>
      </c>
      <c r="J1963" s="60">
        <f t="shared" si="125"/>
        <v>2024</v>
      </c>
      <c r="K1963" s="64">
        <v>17.025200000000002</v>
      </c>
      <c r="L1963" s="64">
        <v>16.6815</v>
      </c>
      <c r="M1963" s="64">
        <v>16.6693</v>
      </c>
    </row>
    <row r="1964" spans="1:13">
      <c r="A1964" s="65" t="s">
        <v>4228</v>
      </c>
      <c r="B1964" s="66">
        <f t="shared" si="123"/>
        <v>40651</v>
      </c>
      <c r="C1964" s="67">
        <f t="shared" si="124"/>
        <v>2011</v>
      </c>
      <c r="D1964" s="68">
        <v>11.7783</v>
      </c>
      <c r="E1964" s="68">
        <v>11.709</v>
      </c>
      <c r="F1964" s="68">
        <v>11.767899999999999</v>
      </c>
      <c r="H1964" s="69" t="s">
        <v>4229</v>
      </c>
      <c r="I1964" s="66">
        <f t="shared" si="122"/>
        <v>45399</v>
      </c>
      <c r="J1964" s="70">
        <f t="shared" si="125"/>
        <v>2024</v>
      </c>
      <c r="K1964" s="71">
        <v>16.994800000000001</v>
      </c>
      <c r="L1964" s="71">
        <v>17.025200000000002</v>
      </c>
      <c r="M1964" s="71">
        <v>16.6815</v>
      </c>
    </row>
    <row r="1965" spans="1:13">
      <c r="A1965" s="57" t="s">
        <v>4230</v>
      </c>
      <c r="B1965" s="58">
        <f t="shared" si="123"/>
        <v>40652</v>
      </c>
      <c r="C1965" s="59">
        <f t="shared" si="124"/>
        <v>2011</v>
      </c>
      <c r="D1965" s="61">
        <v>11.692500000000001</v>
      </c>
      <c r="E1965" s="61">
        <v>11.7783</v>
      </c>
      <c r="F1965" s="61">
        <v>11.709</v>
      </c>
      <c r="H1965" s="62" t="s">
        <v>4231</v>
      </c>
      <c r="I1965" s="58">
        <f t="shared" si="122"/>
        <v>45400</v>
      </c>
      <c r="J1965" s="60">
        <f t="shared" si="125"/>
        <v>2024</v>
      </c>
      <c r="K1965" s="64">
        <v>17.1145</v>
      </c>
      <c r="L1965" s="64">
        <v>16.994800000000001</v>
      </c>
      <c r="M1965" s="64">
        <v>17.025200000000002</v>
      </c>
    </row>
    <row r="1966" spans="1:13">
      <c r="A1966" s="65" t="s">
        <v>4232</v>
      </c>
      <c r="B1966" s="66">
        <f t="shared" si="123"/>
        <v>40653</v>
      </c>
      <c r="C1966" s="67">
        <f t="shared" si="124"/>
        <v>2011</v>
      </c>
      <c r="D1966" s="68">
        <v>11.6252</v>
      </c>
      <c r="E1966" s="68">
        <v>11.692500000000001</v>
      </c>
      <c r="F1966" s="68">
        <v>11.7783</v>
      </c>
      <c r="H1966" s="69" t="s">
        <v>4233</v>
      </c>
      <c r="I1966" s="66">
        <f t="shared" si="122"/>
        <v>45401</v>
      </c>
      <c r="J1966" s="70">
        <f t="shared" si="125"/>
        <v>2024</v>
      </c>
      <c r="K1966" s="71">
        <v>17.212</v>
      </c>
      <c r="L1966" s="71">
        <v>17.1145</v>
      </c>
      <c r="M1966" s="71">
        <v>16.994800000000001</v>
      </c>
    </row>
    <row r="1967" spans="1:13">
      <c r="A1967" s="57" t="s">
        <v>4234</v>
      </c>
      <c r="B1967" s="58">
        <f t="shared" si="123"/>
        <v>40654</v>
      </c>
      <c r="C1967" s="59">
        <f t="shared" si="124"/>
        <v>2011</v>
      </c>
      <c r="D1967" s="60" t="s">
        <v>362</v>
      </c>
      <c r="E1967" s="60" t="s">
        <v>362</v>
      </c>
      <c r="F1967" s="61">
        <v>11.692500000000001</v>
      </c>
      <c r="H1967" s="62" t="s">
        <v>4235</v>
      </c>
      <c r="I1967" s="58">
        <f t="shared" si="122"/>
        <v>45402</v>
      </c>
      <c r="J1967" s="60">
        <f t="shared" si="125"/>
        <v>2024</v>
      </c>
      <c r="K1967" s="63" t="s">
        <v>362</v>
      </c>
      <c r="L1967" s="63" t="s">
        <v>362</v>
      </c>
      <c r="M1967" s="64">
        <v>17.1145</v>
      </c>
    </row>
    <row r="1968" spans="1:13">
      <c r="A1968" s="65" t="s">
        <v>4236</v>
      </c>
      <c r="B1968" s="66">
        <f t="shared" si="123"/>
        <v>40655</v>
      </c>
      <c r="C1968" s="67">
        <f t="shared" si="124"/>
        <v>2011</v>
      </c>
      <c r="D1968" s="70" t="s">
        <v>362</v>
      </c>
      <c r="E1968" s="70" t="s">
        <v>362</v>
      </c>
      <c r="F1968" s="68">
        <v>11.692500000000001</v>
      </c>
      <c r="H1968" s="69" t="s">
        <v>4237</v>
      </c>
      <c r="I1968" s="66">
        <f t="shared" si="122"/>
        <v>45403</v>
      </c>
      <c r="J1968" s="70">
        <f t="shared" si="125"/>
        <v>2024</v>
      </c>
      <c r="K1968" s="72" t="s">
        <v>362</v>
      </c>
      <c r="L1968" s="72" t="s">
        <v>362</v>
      </c>
      <c r="M1968" s="71">
        <v>17.1145</v>
      </c>
    </row>
    <row r="1969" spans="1:13">
      <c r="A1969" s="57" t="s">
        <v>4238</v>
      </c>
      <c r="B1969" s="58">
        <f t="shared" si="123"/>
        <v>40656</v>
      </c>
      <c r="C1969" s="59">
        <f t="shared" si="124"/>
        <v>2011</v>
      </c>
      <c r="D1969" s="60" t="s">
        <v>362</v>
      </c>
      <c r="E1969" s="60" t="s">
        <v>362</v>
      </c>
      <c r="F1969" s="61">
        <v>11.692500000000001</v>
      </c>
      <c r="H1969" s="62" t="s">
        <v>4239</v>
      </c>
      <c r="I1969" s="58">
        <f t="shared" si="122"/>
        <v>45404</v>
      </c>
      <c r="J1969" s="60">
        <f t="shared" si="125"/>
        <v>2024</v>
      </c>
      <c r="K1969" s="64">
        <v>17.124300000000002</v>
      </c>
      <c r="L1969" s="64">
        <v>17.212</v>
      </c>
      <c r="M1969" s="64">
        <v>17.1145</v>
      </c>
    </row>
    <row r="1970" spans="1:13">
      <c r="A1970" s="65" t="s">
        <v>4240</v>
      </c>
      <c r="B1970" s="66">
        <f t="shared" si="123"/>
        <v>40657</v>
      </c>
      <c r="C1970" s="67">
        <f t="shared" si="124"/>
        <v>2011</v>
      </c>
      <c r="D1970" s="70" t="s">
        <v>362</v>
      </c>
      <c r="E1970" s="70" t="s">
        <v>362</v>
      </c>
      <c r="F1970" s="68">
        <v>11.692500000000001</v>
      </c>
      <c r="H1970" s="69" t="s">
        <v>4241</v>
      </c>
      <c r="I1970" s="66">
        <f t="shared" si="122"/>
        <v>45405</v>
      </c>
      <c r="J1970" s="70">
        <f t="shared" si="125"/>
        <v>2024</v>
      </c>
      <c r="K1970" s="71">
        <v>16.999500000000001</v>
      </c>
      <c r="L1970" s="71">
        <v>17.124300000000002</v>
      </c>
      <c r="M1970" s="71">
        <v>17.212</v>
      </c>
    </row>
    <row r="1971" spans="1:13">
      <c r="A1971" s="57" t="s">
        <v>4242</v>
      </c>
      <c r="B1971" s="58">
        <f t="shared" si="123"/>
        <v>40658</v>
      </c>
      <c r="C1971" s="59">
        <f t="shared" si="124"/>
        <v>2011</v>
      </c>
      <c r="D1971" s="61">
        <v>11.6294</v>
      </c>
      <c r="E1971" s="61">
        <v>11.6252</v>
      </c>
      <c r="F1971" s="61">
        <v>11.692500000000001</v>
      </c>
      <c r="H1971" s="62" t="s">
        <v>4243</v>
      </c>
      <c r="I1971" s="58">
        <f t="shared" si="122"/>
        <v>45406</v>
      </c>
      <c r="J1971" s="60">
        <f t="shared" si="125"/>
        <v>2024</v>
      </c>
      <c r="K1971" s="64">
        <v>17.1098</v>
      </c>
      <c r="L1971" s="64">
        <v>16.999500000000001</v>
      </c>
      <c r="M1971" s="64">
        <v>17.124300000000002</v>
      </c>
    </row>
    <row r="1972" spans="1:13">
      <c r="A1972" s="65" t="s">
        <v>4244</v>
      </c>
      <c r="B1972" s="66">
        <f t="shared" si="123"/>
        <v>40659</v>
      </c>
      <c r="C1972" s="67">
        <f t="shared" si="124"/>
        <v>2011</v>
      </c>
      <c r="D1972" s="68">
        <v>11.5824</v>
      </c>
      <c r="E1972" s="68">
        <v>11.6294</v>
      </c>
      <c r="F1972" s="68">
        <v>11.6252</v>
      </c>
      <c r="H1972" s="69" t="s">
        <v>4245</v>
      </c>
      <c r="I1972" s="66">
        <f t="shared" si="122"/>
        <v>45407</v>
      </c>
      <c r="J1972" s="70">
        <f t="shared" si="125"/>
        <v>2024</v>
      </c>
      <c r="K1972" s="71">
        <v>17.188300000000002</v>
      </c>
      <c r="L1972" s="71">
        <v>17.1098</v>
      </c>
      <c r="M1972" s="71">
        <v>16.999500000000001</v>
      </c>
    </row>
    <row r="1973" spans="1:13">
      <c r="A1973" s="57" t="s">
        <v>4246</v>
      </c>
      <c r="B1973" s="58">
        <f t="shared" si="123"/>
        <v>40660</v>
      </c>
      <c r="C1973" s="59">
        <f t="shared" si="124"/>
        <v>2011</v>
      </c>
      <c r="D1973" s="61">
        <v>11.5868</v>
      </c>
      <c r="E1973" s="61">
        <v>11.5824</v>
      </c>
      <c r="F1973" s="61">
        <v>11.6294</v>
      </c>
      <c r="H1973" s="62" t="s">
        <v>4247</v>
      </c>
      <c r="I1973" s="58">
        <f t="shared" si="122"/>
        <v>45408</v>
      </c>
      <c r="J1973" s="60">
        <f t="shared" si="125"/>
        <v>2024</v>
      </c>
      <c r="K1973" s="64">
        <v>17.155200000000001</v>
      </c>
      <c r="L1973" s="64">
        <v>17.188300000000002</v>
      </c>
      <c r="M1973" s="64">
        <v>17.1098</v>
      </c>
    </row>
    <row r="1974" spans="1:13">
      <c r="A1974" s="65" t="s">
        <v>4248</v>
      </c>
      <c r="B1974" s="66">
        <f t="shared" si="123"/>
        <v>40661</v>
      </c>
      <c r="C1974" s="67">
        <f t="shared" si="124"/>
        <v>2011</v>
      </c>
      <c r="D1974" s="68">
        <v>11.5428</v>
      </c>
      <c r="E1974" s="68">
        <v>11.5868</v>
      </c>
      <c r="F1974" s="68">
        <v>11.5824</v>
      </c>
      <c r="H1974" s="69" t="s">
        <v>4249</v>
      </c>
      <c r="I1974" s="66">
        <f t="shared" si="122"/>
        <v>45409</v>
      </c>
      <c r="J1974" s="70">
        <f t="shared" si="125"/>
        <v>2024</v>
      </c>
      <c r="K1974" s="72" t="s">
        <v>362</v>
      </c>
      <c r="L1974" s="72" t="s">
        <v>362</v>
      </c>
      <c r="M1974" s="71">
        <v>17.188300000000002</v>
      </c>
    </row>
    <row r="1975" spans="1:13">
      <c r="A1975" s="57" t="s">
        <v>4250</v>
      </c>
      <c r="B1975" s="58">
        <f t="shared" si="123"/>
        <v>40662</v>
      </c>
      <c r="C1975" s="59">
        <f t="shared" si="124"/>
        <v>2011</v>
      </c>
      <c r="D1975" s="61">
        <v>11.527799999999999</v>
      </c>
      <c r="E1975" s="61">
        <v>11.5428</v>
      </c>
      <c r="F1975" s="61">
        <v>11.5868</v>
      </c>
      <c r="H1975" s="62" t="s">
        <v>4251</v>
      </c>
      <c r="I1975" s="58">
        <f t="shared" si="122"/>
        <v>45410</v>
      </c>
      <c r="J1975" s="60">
        <f t="shared" si="125"/>
        <v>2024</v>
      </c>
      <c r="K1975" s="63" t="s">
        <v>362</v>
      </c>
      <c r="L1975" s="63" t="s">
        <v>362</v>
      </c>
      <c r="M1975" s="64">
        <v>17.188300000000002</v>
      </c>
    </row>
    <row r="1976" spans="1:13">
      <c r="A1976" s="65" t="s">
        <v>4252</v>
      </c>
      <c r="B1976" s="66">
        <f t="shared" si="123"/>
        <v>40663</v>
      </c>
      <c r="C1976" s="67">
        <f t="shared" si="124"/>
        <v>2011</v>
      </c>
      <c r="D1976" s="70" t="s">
        <v>362</v>
      </c>
      <c r="E1976" s="70" t="s">
        <v>362</v>
      </c>
      <c r="F1976" s="68">
        <v>11.5428</v>
      </c>
      <c r="H1976" s="69" t="s">
        <v>4253</v>
      </c>
      <c r="I1976" s="66">
        <f t="shared" si="122"/>
        <v>45411</v>
      </c>
      <c r="J1976" s="70">
        <f t="shared" si="125"/>
        <v>2024</v>
      </c>
      <c r="K1976" s="71">
        <v>17.0243</v>
      </c>
      <c r="L1976" s="71">
        <v>17.155200000000001</v>
      </c>
      <c r="M1976" s="71">
        <v>17.188300000000002</v>
      </c>
    </row>
    <row r="1977" spans="1:13">
      <c r="A1977" s="57" t="s">
        <v>4254</v>
      </c>
      <c r="B1977" s="58">
        <f t="shared" si="123"/>
        <v>40664</v>
      </c>
      <c r="C1977" s="59">
        <f t="shared" si="124"/>
        <v>2011</v>
      </c>
      <c r="D1977" s="60" t="s">
        <v>362</v>
      </c>
      <c r="E1977" s="60" t="s">
        <v>362</v>
      </c>
      <c r="F1977" s="61">
        <v>11.5428</v>
      </c>
      <c r="H1977" s="62" t="s">
        <v>4255</v>
      </c>
      <c r="I1977" s="58">
        <f t="shared" si="122"/>
        <v>45412</v>
      </c>
      <c r="J1977" s="60">
        <f t="shared" si="125"/>
        <v>2024</v>
      </c>
      <c r="K1977" s="64">
        <v>17.095800000000001</v>
      </c>
      <c r="L1977" s="64">
        <v>17.0243</v>
      </c>
      <c r="M1977" s="64">
        <v>17.155200000000001</v>
      </c>
    </row>
    <row r="1978" spans="1:13">
      <c r="A1978" s="65" t="s">
        <v>4256</v>
      </c>
      <c r="B1978" s="66">
        <f t="shared" si="123"/>
        <v>40665</v>
      </c>
      <c r="C1978" s="67">
        <f t="shared" si="124"/>
        <v>2011</v>
      </c>
      <c r="D1978" s="68">
        <v>11.5023</v>
      </c>
      <c r="E1978" s="68">
        <v>11.527799999999999</v>
      </c>
      <c r="F1978" s="68">
        <v>11.5428</v>
      </c>
      <c r="H1978" s="69" t="s">
        <v>4257</v>
      </c>
      <c r="I1978" s="66">
        <f t="shared" si="122"/>
        <v>45413</v>
      </c>
      <c r="J1978" s="70">
        <f t="shared" si="125"/>
        <v>2024</v>
      </c>
      <c r="K1978" s="72" t="s">
        <v>362</v>
      </c>
      <c r="L1978" s="72" t="s">
        <v>362</v>
      </c>
      <c r="M1978" s="71">
        <v>17.0243</v>
      </c>
    </row>
    <row r="1979" spans="1:13">
      <c r="A1979" s="57" t="s">
        <v>4258</v>
      </c>
      <c r="B1979" s="58">
        <f t="shared" si="123"/>
        <v>40666</v>
      </c>
      <c r="C1979" s="59">
        <f t="shared" si="124"/>
        <v>2011</v>
      </c>
      <c r="D1979" s="61">
        <v>11.5665</v>
      </c>
      <c r="E1979" s="61">
        <v>11.5023</v>
      </c>
      <c r="F1979" s="61">
        <v>11.527799999999999</v>
      </c>
      <c r="H1979" s="62" t="s">
        <v>4259</v>
      </c>
      <c r="I1979" s="58">
        <f t="shared" si="122"/>
        <v>45414</v>
      </c>
      <c r="J1979" s="60">
        <f t="shared" si="125"/>
        <v>2024</v>
      </c>
      <c r="K1979" s="64">
        <v>16.939299999999999</v>
      </c>
      <c r="L1979" s="64">
        <v>17.095800000000001</v>
      </c>
      <c r="M1979" s="64">
        <v>17.0243</v>
      </c>
    </row>
    <row r="1980" spans="1:13">
      <c r="A1980" s="65" t="s">
        <v>4260</v>
      </c>
      <c r="B1980" s="66">
        <f t="shared" si="123"/>
        <v>40667</v>
      </c>
      <c r="C1980" s="67">
        <f t="shared" si="124"/>
        <v>2011</v>
      </c>
      <c r="D1980" s="68">
        <v>11.6214</v>
      </c>
      <c r="E1980" s="68">
        <v>11.5665</v>
      </c>
      <c r="F1980" s="68">
        <v>11.5023</v>
      </c>
      <c r="H1980" s="69" t="s">
        <v>4261</v>
      </c>
      <c r="I1980" s="66">
        <f t="shared" ref="I1980:I2043" si="126">I1979+1</f>
        <v>45415</v>
      </c>
      <c r="J1980" s="70">
        <f t="shared" si="125"/>
        <v>2024</v>
      </c>
      <c r="K1980" s="71">
        <v>17.004200000000001</v>
      </c>
      <c r="L1980" s="71">
        <v>16.939299999999999</v>
      </c>
      <c r="M1980" s="71">
        <v>17.095800000000001</v>
      </c>
    </row>
    <row r="1981" spans="1:13">
      <c r="A1981" s="57" t="s">
        <v>4262</v>
      </c>
      <c r="B1981" s="58">
        <f t="shared" si="123"/>
        <v>40668</v>
      </c>
      <c r="C1981" s="59">
        <f t="shared" si="124"/>
        <v>2011</v>
      </c>
      <c r="D1981" s="61">
        <v>11.6934</v>
      </c>
      <c r="E1981" s="61">
        <v>11.6214</v>
      </c>
      <c r="F1981" s="61">
        <v>11.5665</v>
      </c>
      <c r="H1981" s="62" t="s">
        <v>4263</v>
      </c>
      <c r="I1981" s="58">
        <f t="shared" si="126"/>
        <v>45416</v>
      </c>
      <c r="J1981" s="60">
        <f t="shared" si="125"/>
        <v>2024</v>
      </c>
      <c r="K1981" s="63" t="s">
        <v>362</v>
      </c>
      <c r="L1981" s="63" t="s">
        <v>362</v>
      </c>
      <c r="M1981" s="64">
        <v>16.939299999999999</v>
      </c>
    </row>
    <row r="1982" spans="1:13">
      <c r="A1982" s="65" t="s">
        <v>4264</v>
      </c>
      <c r="B1982" s="66">
        <f t="shared" si="123"/>
        <v>40669</v>
      </c>
      <c r="C1982" s="67">
        <f t="shared" si="124"/>
        <v>2011</v>
      </c>
      <c r="D1982" s="68">
        <v>11.609</v>
      </c>
      <c r="E1982" s="68">
        <v>11.6934</v>
      </c>
      <c r="F1982" s="68">
        <v>11.6214</v>
      </c>
      <c r="H1982" s="69" t="s">
        <v>4265</v>
      </c>
      <c r="I1982" s="66">
        <f t="shared" si="126"/>
        <v>45417</v>
      </c>
      <c r="J1982" s="70">
        <f t="shared" si="125"/>
        <v>2024</v>
      </c>
      <c r="K1982" s="72" t="s">
        <v>362</v>
      </c>
      <c r="L1982" s="72" t="s">
        <v>362</v>
      </c>
      <c r="M1982" s="71">
        <v>16.939299999999999</v>
      </c>
    </row>
    <row r="1983" spans="1:13">
      <c r="A1983" s="57" t="s">
        <v>4266</v>
      </c>
      <c r="B1983" s="58">
        <f t="shared" si="123"/>
        <v>40670</v>
      </c>
      <c r="C1983" s="59">
        <f t="shared" si="124"/>
        <v>2011</v>
      </c>
      <c r="D1983" s="60" t="s">
        <v>362</v>
      </c>
      <c r="E1983" s="60" t="s">
        <v>362</v>
      </c>
      <c r="F1983" s="61">
        <v>11.6934</v>
      </c>
      <c r="H1983" s="62" t="s">
        <v>4267</v>
      </c>
      <c r="I1983" s="58">
        <f t="shared" si="126"/>
        <v>45418</v>
      </c>
      <c r="J1983" s="60">
        <f t="shared" si="125"/>
        <v>2024</v>
      </c>
      <c r="K1983" s="64">
        <v>16.8947</v>
      </c>
      <c r="L1983" s="64">
        <v>17.004200000000001</v>
      </c>
      <c r="M1983" s="64">
        <v>16.939299999999999</v>
      </c>
    </row>
    <row r="1984" spans="1:13">
      <c r="A1984" s="65" t="s">
        <v>4268</v>
      </c>
      <c r="B1984" s="66">
        <f t="shared" si="123"/>
        <v>40671</v>
      </c>
      <c r="C1984" s="67">
        <f t="shared" si="124"/>
        <v>2011</v>
      </c>
      <c r="D1984" s="70" t="s">
        <v>362</v>
      </c>
      <c r="E1984" s="70" t="s">
        <v>362</v>
      </c>
      <c r="F1984" s="68">
        <v>11.6934</v>
      </c>
      <c r="H1984" s="69" t="s">
        <v>4269</v>
      </c>
      <c r="I1984" s="66">
        <f t="shared" si="126"/>
        <v>45419</v>
      </c>
      <c r="J1984" s="70">
        <f t="shared" si="125"/>
        <v>2024</v>
      </c>
      <c r="K1984" s="71">
        <v>16.908300000000001</v>
      </c>
      <c r="L1984" s="71">
        <v>16.8947</v>
      </c>
      <c r="M1984" s="71">
        <v>17.004200000000001</v>
      </c>
    </row>
    <row r="1985" spans="1:13">
      <c r="A1985" s="57" t="s">
        <v>4270</v>
      </c>
      <c r="B1985" s="58">
        <f t="shared" si="123"/>
        <v>40672</v>
      </c>
      <c r="C1985" s="59">
        <f t="shared" si="124"/>
        <v>2011</v>
      </c>
      <c r="D1985" s="61">
        <v>11.641</v>
      </c>
      <c r="E1985" s="61">
        <v>11.609</v>
      </c>
      <c r="F1985" s="61">
        <v>11.6934</v>
      </c>
      <c r="H1985" s="62" t="s">
        <v>4271</v>
      </c>
      <c r="I1985" s="58">
        <f t="shared" si="126"/>
        <v>45420</v>
      </c>
      <c r="J1985" s="60">
        <f t="shared" si="125"/>
        <v>2024</v>
      </c>
      <c r="K1985" s="64">
        <v>16.9087</v>
      </c>
      <c r="L1985" s="64">
        <v>16.908300000000001</v>
      </c>
      <c r="M1985" s="64">
        <v>16.8947</v>
      </c>
    </row>
    <row r="1986" spans="1:13">
      <c r="A1986" s="65" t="s">
        <v>4272</v>
      </c>
      <c r="B1986" s="66">
        <f t="shared" si="123"/>
        <v>40673</v>
      </c>
      <c r="C1986" s="67">
        <f t="shared" si="124"/>
        <v>2011</v>
      </c>
      <c r="D1986" s="68">
        <v>11.600899999999999</v>
      </c>
      <c r="E1986" s="68">
        <v>11.641</v>
      </c>
      <c r="F1986" s="68">
        <v>11.609</v>
      </c>
      <c r="H1986" s="69" t="s">
        <v>4273</v>
      </c>
      <c r="I1986" s="66">
        <f t="shared" si="126"/>
        <v>45421</v>
      </c>
      <c r="J1986" s="70">
        <f t="shared" si="125"/>
        <v>2024</v>
      </c>
      <c r="K1986" s="71">
        <v>16.866</v>
      </c>
      <c r="L1986" s="71">
        <v>16.9087</v>
      </c>
      <c r="M1986" s="71">
        <v>16.908300000000001</v>
      </c>
    </row>
    <row r="1987" spans="1:13">
      <c r="A1987" s="57" t="s">
        <v>4274</v>
      </c>
      <c r="B1987" s="58">
        <f t="shared" si="123"/>
        <v>40674</v>
      </c>
      <c r="C1987" s="59">
        <f t="shared" si="124"/>
        <v>2011</v>
      </c>
      <c r="D1987" s="61">
        <v>11.6075</v>
      </c>
      <c r="E1987" s="61">
        <v>11.600899999999999</v>
      </c>
      <c r="F1987" s="61">
        <v>11.641</v>
      </c>
      <c r="H1987" s="62" t="s">
        <v>4275</v>
      </c>
      <c r="I1987" s="58">
        <f t="shared" si="126"/>
        <v>45422</v>
      </c>
      <c r="J1987" s="60">
        <f t="shared" si="125"/>
        <v>2024</v>
      </c>
      <c r="K1987" s="64">
        <v>16.768999999999998</v>
      </c>
      <c r="L1987" s="64">
        <v>16.866</v>
      </c>
      <c r="M1987" s="64">
        <v>16.9087</v>
      </c>
    </row>
    <row r="1988" spans="1:13">
      <c r="A1988" s="65" t="s">
        <v>4276</v>
      </c>
      <c r="B1988" s="66">
        <f t="shared" si="123"/>
        <v>40675</v>
      </c>
      <c r="C1988" s="67">
        <f t="shared" si="124"/>
        <v>2011</v>
      </c>
      <c r="D1988" s="68">
        <v>11.6656</v>
      </c>
      <c r="E1988" s="68">
        <v>11.6075</v>
      </c>
      <c r="F1988" s="68">
        <v>11.600899999999999</v>
      </c>
      <c r="H1988" s="69" t="s">
        <v>4277</v>
      </c>
      <c r="I1988" s="66">
        <f t="shared" si="126"/>
        <v>45423</v>
      </c>
      <c r="J1988" s="70">
        <f t="shared" si="125"/>
        <v>2024</v>
      </c>
      <c r="K1988" s="72" t="s">
        <v>362</v>
      </c>
      <c r="L1988" s="72" t="s">
        <v>362</v>
      </c>
      <c r="M1988" s="71">
        <v>16.866</v>
      </c>
    </row>
    <row r="1989" spans="1:13">
      <c r="A1989" s="57" t="s">
        <v>4278</v>
      </c>
      <c r="B1989" s="58">
        <f t="shared" si="123"/>
        <v>40676</v>
      </c>
      <c r="C1989" s="59">
        <f t="shared" si="124"/>
        <v>2011</v>
      </c>
      <c r="D1989" s="61">
        <v>11.7219</v>
      </c>
      <c r="E1989" s="61">
        <v>11.6656</v>
      </c>
      <c r="F1989" s="61">
        <v>11.6075</v>
      </c>
      <c r="H1989" s="62" t="s">
        <v>4279</v>
      </c>
      <c r="I1989" s="58">
        <f t="shared" si="126"/>
        <v>45424</v>
      </c>
      <c r="J1989" s="60">
        <f t="shared" si="125"/>
        <v>2024</v>
      </c>
      <c r="K1989" s="63" t="s">
        <v>362</v>
      </c>
      <c r="L1989" s="63" t="s">
        <v>362</v>
      </c>
      <c r="M1989" s="64">
        <v>16.866</v>
      </c>
    </row>
    <row r="1990" spans="1:13">
      <c r="A1990" s="65" t="s">
        <v>4280</v>
      </c>
      <c r="B1990" s="66">
        <f t="shared" si="123"/>
        <v>40677</v>
      </c>
      <c r="C1990" s="67">
        <f t="shared" si="124"/>
        <v>2011</v>
      </c>
      <c r="D1990" s="70" t="s">
        <v>362</v>
      </c>
      <c r="E1990" s="70" t="s">
        <v>362</v>
      </c>
      <c r="F1990" s="68">
        <v>11.6656</v>
      </c>
      <c r="H1990" s="69" t="s">
        <v>4281</v>
      </c>
      <c r="I1990" s="66">
        <f t="shared" si="126"/>
        <v>45425</v>
      </c>
      <c r="J1990" s="70">
        <f t="shared" si="125"/>
        <v>2024</v>
      </c>
      <c r="K1990" s="71">
        <v>16.807200000000002</v>
      </c>
      <c r="L1990" s="71">
        <v>16.768999999999998</v>
      </c>
      <c r="M1990" s="71">
        <v>16.866</v>
      </c>
    </row>
    <row r="1991" spans="1:13">
      <c r="A1991" s="57" t="s">
        <v>4282</v>
      </c>
      <c r="B1991" s="58">
        <f t="shared" si="123"/>
        <v>40678</v>
      </c>
      <c r="C1991" s="59">
        <f t="shared" si="124"/>
        <v>2011</v>
      </c>
      <c r="D1991" s="60" t="s">
        <v>362</v>
      </c>
      <c r="E1991" s="60" t="s">
        <v>362</v>
      </c>
      <c r="F1991" s="61">
        <v>11.6656</v>
      </c>
      <c r="H1991" s="62" t="s">
        <v>4283</v>
      </c>
      <c r="I1991" s="58">
        <f t="shared" si="126"/>
        <v>45426</v>
      </c>
      <c r="J1991" s="60">
        <f t="shared" si="125"/>
        <v>2024</v>
      </c>
      <c r="K1991" s="64">
        <v>16.846</v>
      </c>
      <c r="L1991" s="64">
        <v>16.807200000000002</v>
      </c>
      <c r="M1991" s="64">
        <v>16.768999999999998</v>
      </c>
    </row>
    <row r="1992" spans="1:13">
      <c r="A1992" s="65" t="s">
        <v>4284</v>
      </c>
      <c r="B1992" s="66">
        <f t="shared" si="123"/>
        <v>40679</v>
      </c>
      <c r="C1992" s="67">
        <f t="shared" si="124"/>
        <v>2011</v>
      </c>
      <c r="D1992" s="68">
        <v>11.7094</v>
      </c>
      <c r="E1992" s="68">
        <v>11.7219</v>
      </c>
      <c r="F1992" s="68">
        <v>11.6656</v>
      </c>
      <c r="H1992" s="69" t="s">
        <v>4285</v>
      </c>
      <c r="I1992" s="66">
        <f t="shared" si="126"/>
        <v>45427</v>
      </c>
      <c r="J1992" s="70">
        <f t="shared" si="125"/>
        <v>2024</v>
      </c>
      <c r="K1992" s="71">
        <v>16.6782</v>
      </c>
      <c r="L1992" s="71">
        <v>16.846</v>
      </c>
      <c r="M1992" s="71">
        <v>16.807200000000002</v>
      </c>
    </row>
    <row r="1993" spans="1:13">
      <c r="A1993" s="57" t="s">
        <v>4286</v>
      </c>
      <c r="B1993" s="58">
        <f t="shared" si="123"/>
        <v>40680</v>
      </c>
      <c r="C1993" s="59">
        <f t="shared" si="124"/>
        <v>2011</v>
      </c>
      <c r="D1993" s="61">
        <v>11.766</v>
      </c>
      <c r="E1993" s="61">
        <v>11.7094</v>
      </c>
      <c r="F1993" s="61">
        <v>11.7219</v>
      </c>
      <c r="H1993" s="62" t="s">
        <v>4287</v>
      </c>
      <c r="I1993" s="58">
        <f t="shared" si="126"/>
        <v>45428</v>
      </c>
      <c r="J1993" s="60">
        <f t="shared" si="125"/>
        <v>2024</v>
      </c>
      <c r="K1993" s="64">
        <v>16.689299999999999</v>
      </c>
      <c r="L1993" s="64">
        <v>16.6782</v>
      </c>
      <c r="M1993" s="64">
        <v>16.846</v>
      </c>
    </row>
    <row r="1994" spans="1:13">
      <c r="A1994" s="65" t="s">
        <v>4288</v>
      </c>
      <c r="B1994" s="66">
        <f t="shared" si="123"/>
        <v>40681</v>
      </c>
      <c r="C1994" s="67">
        <f t="shared" si="124"/>
        <v>2011</v>
      </c>
      <c r="D1994" s="68">
        <v>11.7234</v>
      </c>
      <c r="E1994" s="68">
        <v>11.766</v>
      </c>
      <c r="F1994" s="68">
        <v>11.7094</v>
      </c>
      <c r="H1994" s="69" t="s">
        <v>4289</v>
      </c>
      <c r="I1994" s="66">
        <f t="shared" si="126"/>
        <v>45429</v>
      </c>
      <c r="J1994" s="70">
        <f t="shared" si="125"/>
        <v>2024</v>
      </c>
      <c r="K1994" s="71">
        <v>16.621700000000001</v>
      </c>
      <c r="L1994" s="71">
        <v>16.689299999999999</v>
      </c>
      <c r="M1994" s="71">
        <v>16.6782</v>
      </c>
    </row>
    <row r="1995" spans="1:13">
      <c r="A1995" s="57" t="s">
        <v>4290</v>
      </c>
      <c r="B1995" s="58">
        <f t="shared" si="123"/>
        <v>40682</v>
      </c>
      <c r="C1995" s="59">
        <f t="shared" si="124"/>
        <v>2011</v>
      </c>
      <c r="D1995" s="61">
        <v>11.658799999999999</v>
      </c>
      <c r="E1995" s="61">
        <v>11.7234</v>
      </c>
      <c r="F1995" s="61">
        <v>11.766</v>
      </c>
      <c r="H1995" s="62" t="s">
        <v>4291</v>
      </c>
      <c r="I1995" s="58">
        <f t="shared" si="126"/>
        <v>45430</v>
      </c>
      <c r="J1995" s="60">
        <f t="shared" si="125"/>
        <v>2024</v>
      </c>
      <c r="K1995" s="63" t="s">
        <v>362</v>
      </c>
      <c r="L1995" s="63" t="s">
        <v>362</v>
      </c>
      <c r="M1995" s="64">
        <v>16.689299999999999</v>
      </c>
    </row>
    <row r="1996" spans="1:13">
      <c r="A1996" s="65" t="s">
        <v>4292</v>
      </c>
      <c r="B1996" s="66">
        <f t="shared" si="123"/>
        <v>40683</v>
      </c>
      <c r="C1996" s="67">
        <f t="shared" si="124"/>
        <v>2011</v>
      </c>
      <c r="D1996" s="68">
        <v>11.646699999999999</v>
      </c>
      <c r="E1996" s="68">
        <v>11.658799999999999</v>
      </c>
      <c r="F1996" s="68">
        <v>11.7234</v>
      </c>
      <c r="H1996" s="69" t="s">
        <v>4293</v>
      </c>
      <c r="I1996" s="66">
        <f t="shared" si="126"/>
        <v>45431</v>
      </c>
      <c r="J1996" s="70">
        <f t="shared" si="125"/>
        <v>2024</v>
      </c>
      <c r="K1996" s="72" t="s">
        <v>362</v>
      </c>
      <c r="L1996" s="72" t="s">
        <v>362</v>
      </c>
      <c r="M1996" s="71">
        <v>16.689299999999999</v>
      </c>
    </row>
    <row r="1997" spans="1:13">
      <c r="A1997" s="57" t="s">
        <v>4294</v>
      </c>
      <c r="B1997" s="58">
        <f t="shared" si="123"/>
        <v>40684</v>
      </c>
      <c r="C1997" s="59">
        <f t="shared" si="124"/>
        <v>2011</v>
      </c>
      <c r="D1997" s="60" t="s">
        <v>362</v>
      </c>
      <c r="E1997" s="60" t="s">
        <v>362</v>
      </c>
      <c r="F1997" s="61">
        <v>11.658799999999999</v>
      </c>
      <c r="H1997" s="62" t="s">
        <v>4295</v>
      </c>
      <c r="I1997" s="58">
        <f t="shared" si="126"/>
        <v>45432</v>
      </c>
      <c r="J1997" s="60">
        <f t="shared" si="125"/>
        <v>2024</v>
      </c>
      <c r="K1997" s="64">
        <v>16.566800000000001</v>
      </c>
      <c r="L1997" s="64">
        <v>16.621700000000001</v>
      </c>
      <c r="M1997" s="64">
        <v>16.689299999999999</v>
      </c>
    </row>
    <row r="1998" spans="1:13">
      <c r="A1998" s="65" t="s">
        <v>4296</v>
      </c>
      <c r="B1998" s="66">
        <f t="shared" si="123"/>
        <v>40685</v>
      </c>
      <c r="C1998" s="67">
        <f t="shared" si="124"/>
        <v>2011</v>
      </c>
      <c r="D1998" s="70" t="s">
        <v>362</v>
      </c>
      <c r="E1998" s="70" t="s">
        <v>362</v>
      </c>
      <c r="F1998" s="68">
        <v>11.658799999999999</v>
      </c>
      <c r="H1998" s="69" t="s">
        <v>4297</v>
      </c>
      <c r="I1998" s="66">
        <f t="shared" si="126"/>
        <v>45433</v>
      </c>
      <c r="J1998" s="70">
        <f t="shared" si="125"/>
        <v>2024</v>
      </c>
      <c r="K1998" s="71">
        <v>16.613800000000001</v>
      </c>
      <c r="L1998" s="71">
        <v>16.566800000000001</v>
      </c>
      <c r="M1998" s="71">
        <v>16.621700000000001</v>
      </c>
    </row>
    <row r="1999" spans="1:13">
      <c r="A1999" s="57" t="s">
        <v>4298</v>
      </c>
      <c r="B1999" s="58">
        <f t="shared" si="123"/>
        <v>40686</v>
      </c>
      <c r="C1999" s="59">
        <f t="shared" si="124"/>
        <v>2011</v>
      </c>
      <c r="D1999" s="61">
        <v>11.729200000000001</v>
      </c>
      <c r="E1999" s="61">
        <v>11.646699999999999</v>
      </c>
      <c r="F1999" s="61">
        <v>11.658799999999999</v>
      </c>
      <c r="H1999" s="62" t="s">
        <v>4299</v>
      </c>
      <c r="I1999" s="58">
        <f t="shared" si="126"/>
        <v>45434</v>
      </c>
      <c r="J1999" s="60">
        <f t="shared" si="125"/>
        <v>2024</v>
      </c>
      <c r="K1999" s="64">
        <v>16.640499999999999</v>
      </c>
      <c r="L1999" s="64">
        <v>16.613800000000001</v>
      </c>
      <c r="M1999" s="64">
        <v>16.566800000000001</v>
      </c>
    </row>
    <row r="2000" spans="1:13">
      <c r="A2000" s="65" t="s">
        <v>4300</v>
      </c>
      <c r="B2000" s="66">
        <f t="shared" si="123"/>
        <v>40687</v>
      </c>
      <c r="C2000" s="67">
        <f t="shared" si="124"/>
        <v>2011</v>
      </c>
      <c r="D2000" s="68">
        <v>11.703200000000001</v>
      </c>
      <c r="E2000" s="68">
        <v>11.729200000000001</v>
      </c>
      <c r="F2000" s="68">
        <v>11.646699999999999</v>
      </c>
      <c r="H2000" s="69" t="s">
        <v>4301</v>
      </c>
      <c r="I2000" s="66">
        <f t="shared" si="126"/>
        <v>45435</v>
      </c>
      <c r="J2000" s="70">
        <f t="shared" si="125"/>
        <v>2024</v>
      </c>
      <c r="K2000" s="71">
        <v>16.694500000000001</v>
      </c>
      <c r="L2000" s="71">
        <v>16.640499999999999</v>
      </c>
      <c r="M2000" s="71">
        <v>16.613800000000001</v>
      </c>
    </row>
    <row r="2001" spans="1:13">
      <c r="A2001" s="57" t="s">
        <v>4302</v>
      </c>
      <c r="B2001" s="58">
        <f t="shared" si="123"/>
        <v>40688</v>
      </c>
      <c r="C2001" s="59">
        <f t="shared" si="124"/>
        <v>2011</v>
      </c>
      <c r="D2001" s="61">
        <v>11.694800000000001</v>
      </c>
      <c r="E2001" s="61">
        <v>11.703200000000001</v>
      </c>
      <c r="F2001" s="61">
        <v>11.729200000000001</v>
      </c>
      <c r="H2001" s="62" t="s">
        <v>4303</v>
      </c>
      <c r="I2001" s="58">
        <f t="shared" si="126"/>
        <v>45436</v>
      </c>
      <c r="J2001" s="60">
        <f t="shared" si="125"/>
        <v>2024</v>
      </c>
      <c r="K2001" s="64">
        <v>16.702300000000001</v>
      </c>
      <c r="L2001" s="64">
        <v>16.694500000000001</v>
      </c>
      <c r="M2001" s="64">
        <v>16.640499999999999</v>
      </c>
    </row>
    <row r="2002" spans="1:13">
      <c r="A2002" s="65" t="s">
        <v>4304</v>
      </c>
      <c r="B2002" s="66">
        <f t="shared" si="123"/>
        <v>40689</v>
      </c>
      <c r="C2002" s="67">
        <f t="shared" si="124"/>
        <v>2011</v>
      </c>
      <c r="D2002" s="68">
        <v>11.695600000000001</v>
      </c>
      <c r="E2002" s="68">
        <v>11.694800000000001</v>
      </c>
      <c r="F2002" s="68">
        <v>11.703200000000001</v>
      </c>
      <c r="H2002" s="69" t="s">
        <v>4305</v>
      </c>
      <c r="I2002" s="66">
        <f t="shared" si="126"/>
        <v>45437</v>
      </c>
      <c r="J2002" s="70">
        <f t="shared" si="125"/>
        <v>2024</v>
      </c>
      <c r="K2002" s="72" t="s">
        <v>362</v>
      </c>
      <c r="L2002" s="72" t="s">
        <v>362</v>
      </c>
      <c r="M2002" s="71">
        <v>16.694500000000001</v>
      </c>
    </row>
    <row r="2003" spans="1:13">
      <c r="A2003" s="57" t="s">
        <v>4306</v>
      </c>
      <c r="B2003" s="58">
        <f t="shared" si="123"/>
        <v>40690</v>
      </c>
      <c r="C2003" s="59">
        <f t="shared" si="124"/>
        <v>2011</v>
      </c>
      <c r="D2003" s="61">
        <v>11.6256</v>
      </c>
      <c r="E2003" s="61">
        <v>11.695600000000001</v>
      </c>
      <c r="F2003" s="61">
        <v>11.694800000000001</v>
      </c>
      <c r="H2003" s="62" t="s">
        <v>4307</v>
      </c>
      <c r="I2003" s="58">
        <f t="shared" si="126"/>
        <v>45438</v>
      </c>
      <c r="J2003" s="60">
        <f t="shared" si="125"/>
        <v>2024</v>
      </c>
      <c r="K2003" s="63" t="s">
        <v>362</v>
      </c>
      <c r="L2003" s="63" t="s">
        <v>362</v>
      </c>
      <c r="M2003" s="64">
        <v>16.694500000000001</v>
      </c>
    </row>
    <row r="2004" spans="1:13">
      <c r="A2004" s="65" t="s">
        <v>4308</v>
      </c>
      <c r="B2004" s="66">
        <f t="shared" si="123"/>
        <v>40691</v>
      </c>
      <c r="C2004" s="67">
        <f t="shared" si="124"/>
        <v>2011</v>
      </c>
      <c r="D2004" s="70" t="s">
        <v>362</v>
      </c>
      <c r="E2004" s="70" t="s">
        <v>362</v>
      </c>
      <c r="F2004" s="68">
        <v>11.695600000000001</v>
      </c>
      <c r="H2004" s="69" t="s">
        <v>4309</v>
      </c>
      <c r="I2004" s="66">
        <f t="shared" si="126"/>
        <v>45439</v>
      </c>
      <c r="J2004" s="70">
        <f t="shared" si="125"/>
        <v>2024</v>
      </c>
      <c r="K2004" s="71">
        <v>16.6568</v>
      </c>
      <c r="L2004" s="71">
        <v>16.702300000000001</v>
      </c>
      <c r="M2004" s="71">
        <v>16.694500000000001</v>
      </c>
    </row>
    <row r="2005" spans="1:13">
      <c r="A2005" s="57" t="s">
        <v>4310</v>
      </c>
      <c r="B2005" s="58">
        <f t="shared" si="123"/>
        <v>40692</v>
      </c>
      <c r="C2005" s="59">
        <f t="shared" si="124"/>
        <v>2011</v>
      </c>
      <c r="D2005" s="60" t="s">
        <v>362</v>
      </c>
      <c r="E2005" s="60" t="s">
        <v>362</v>
      </c>
      <c r="F2005" s="61">
        <v>11.695600000000001</v>
      </c>
      <c r="H2005" s="62" t="s">
        <v>4311</v>
      </c>
      <c r="I2005" s="58">
        <f t="shared" si="126"/>
        <v>45440</v>
      </c>
      <c r="J2005" s="60">
        <f t="shared" si="125"/>
        <v>2024</v>
      </c>
      <c r="K2005" s="64">
        <v>16.745699999999999</v>
      </c>
      <c r="L2005" s="64">
        <v>16.6568</v>
      </c>
      <c r="M2005" s="64">
        <v>16.702300000000001</v>
      </c>
    </row>
    <row r="2006" spans="1:13">
      <c r="A2006" s="65" t="s">
        <v>4312</v>
      </c>
      <c r="B2006" s="66">
        <f t="shared" si="123"/>
        <v>40693</v>
      </c>
      <c r="C2006" s="67">
        <f t="shared" si="124"/>
        <v>2011</v>
      </c>
      <c r="D2006" s="68">
        <v>11.612299999999999</v>
      </c>
      <c r="E2006" s="68">
        <v>11.6256</v>
      </c>
      <c r="F2006" s="68">
        <v>11.695600000000001</v>
      </c>
      <c r="H2006" s="69" t="s">
        <v>4313</v>
      </c>
      <c r="I2006" s="66">
        <f t="shared" si="126"/>
        <v>45441</v>
      </c>
      <c r="J2006" s="70">
        <f t="shared" si="125"/>
        <v>2024</v>
      </c>
      <c r="K2006" s="71">
        <v>16.95</v>
      </c>
      <c r="L2006" s="71">
        <v>16.745699999999999</v>
      </c>
      <c r="M2006" s="71">
        <v>16.6568</v>
      </c>
    </row>
    <row r="2007" spans="1:13">
      <c r="A2007" s="57" t="s">
        <v>4314</v>
      </c>
      <c r="B2007" s="58">
        <f t="shared" si="123"/>
        <v>40694</v>
      </c>
      <c r="C2007" s="59">
        <f t="shared" si="124"/>
        <v>2011</v>
      </c>
      <c r="D2007" s="61">
        <v>11.577999999999999</v>
      </c>
      <c r="E2007" s="61">
        <v>11.612299999999999</v>
      </c>
      <c r="F2007" s="61">
        <v>11.6256</v>
      </c>
      <c r="H2007" s="62" t="s">
        <v>4315</v>
      </c>
      <c r="I2007" s="58">
        <f t="shared" si="126"/>
        <v>45442</v>
      </c>
      <c r="J2007" s="60">
        <f t="shared" si="125"/>
        <v>2024</v>
      </c>
      <c r="K2007" s="64">
        <v>16.9377</v>
      </c>
      <c r="L2007" s="64">
        <v>16.95</v>
      </c>
      <c r="M2007" s="64">
        <v>16.745699999999999</v>
      </c>
    </row>
    <row r="2008" spans="1:13">
      <c r="A2008" s="65" t="s">
        <v>4316</v>
      </c>
      <c r="B2008" s="66">
        <f t="shared" si="123"/>
        <v>40695</v>
      </c>
      <c r="C2008" s="67">
        <f t="shared" si="124"/>
        <v>2011</v>
      </c>
      <c r="D2008" s="68">
        <v>11.627700000000001</v>
      </c>
      <c r="E2008" s="68">
        <v>11.577999999999999</v>
      </c>
      <c r="F2008" s="68">
        <v>11.612299999999999</v>
      </c>
      <c r="H2008" s="69" t="s">
        <v>4317</v>
      </c>
      <c r="I2008" s="66">
        <f t="shared" si="126"/>
        <v>45443</v>
      </c>
      <c r="J2008" s="70">
        <f t="shared" si="125"/>
        <v>2024</v>
      </c>
      <c r="K2008" s="71">
        <v>17.017700000000001</v>
      </c>
      <c r="L2008" s="71">
        <v>16.9377</v>
      </c>
      <c r="M2008" s="71">
        <v>16.95</v>
      </c>
    </row>
    <row r="2009" spans="1:13">
      <c r="A2009" s="57" t="s">
        <v>4318</v>
      </c>
      <c r="B2009" s="58">
        <f t="shared" si="123"/>
        <v>40696</v>
      </c>
      <c r="C2009" s="59">
        <f t="shared" si="124"/>
        <v>2011</v>
      </c>
      <c r="D2009" s="61">
        <v>11.6739</v>
      </c>
      <c r="E2009" s="61">
        <v>11.627700000000001</v>
      </c>
      <c r="F2009" s="61">
        <v>11.577999999999999</v>
      </c>
      <c r="H2009" s="62" t="s">
        <v>4319</v>
      </c>
      <c r="I2009" s="58">
        <f t="shared" si="126"/>
        <v>45444</v>
      </c>
      <c r="J2009" s="60">
        <f t="shared" si="125"/>
        <v>2024</v>
      </c>
      <c r="K2009" s="63" t="s">
        <v>362</v>
      </c>
      <c r="L2009" s="63" t="s">
        <v>362</v>
      </c>
      <c r="M2009" s="64">
        <v>16.9377</v>
      </c>
    </row>
    <row r="2010" spans="1:13">
      <c r="A2010" s="65" t="s">
        <v>4320</v>
      </c>
      <c r="B2010" s="66">
        <f t="shared" si="123"/>
        <v>40697</v>
      </c>
      <c r="C2010" s="67">
        <f t="shared" si="124"/>
        <v>2011</v>
      </c>
      <c r="D2010" s="68">
        <v>11.668900000000001</v>
      </c>
      <c r="E2010" s="68">
        <v>11.6739</v>
      </c>
      <c r="F2010" s="68">
        <v>11.627700000000001</v>
      </c>
      <c r="H2010" s="69" t="s">
        <v>4321</v>
      </c>
      <c r="I2010" s="66">
        <f t="shared" si="126"/>
        <v>45445</v>
      </c>
      <c r="J2010" s="70">
        <f t="shared" si="125"/>
        <v>2024</v>
      </c>
      <c r="K2010" s="72" t="s">
        <v>362</v>
      </c>
      <c r="L2010" s="72" t="s">
        <v>362</v>
      </c>
      <c r="M2010" s="71">
        <v>16.9377</v>
      </c>
    </row>
    <row r="2011" spans="1:13">
      <c r="A2011" s="57" t="s">
        <v>4322</v>
      </c>
      <c r="B2011" s="58">
        <f t="shared" si="123"/>
        <v>40698</v>
      </c>
      <c r="C2011" s="59">
        <f t="shared" si="124"/>
        <v>2011</v>
      </c>
      <c r="D2011" s="60" t="s">
        <v>362</v>
      </c>
      <c r="E2011" s="60" t="s">
        <v>362</v>
      </c>
      <c r="F2011" s="61">
        <v>11.6739</v>
      </c>
      <c r="H2011" s="62" t="s">
        <v>4323</v>
      </c>
      <c r="I2011" s="58">
        <f t="shared" si="126"/>
        <v>45446</v>
      </c>
      <c r="J2011" s="60">
        <f t="shared" si="125"/>
        <v>2024</v>
      </c>
      <c r="K2011" s="64">
        <v>17.633800000000001</v>
      </c>
      <c r="L2011" s="64">
        <v>17.017700000000001</v>
      </c>
      <c r="M2011" s="64">
        <v>16.9377</v>
      </c>
    </row>
    <row r="2012" spans="1:13">
      <c r="A2012" s="65" t="s">
        <v>4324</v>
      </c>
      <c r="B2012" s="66">
        <f t="shared" si="123"/>
        <v>40699</v>
      </c>
      <c r="C2012" s="67">
        <f t="shared" si="124"/>
        <v>2011</v>
      </c>
      <c r="D2012" s="70" t="s">
        <v>362</v>
      </c>
      <c r="E2012" s="70" t="s">
        <v>362</v>
      </c>
      <c r="F2012" s="68">
        <v>11.6739</v>
      </c>
      <c r="H2012" s="69" t="s">
        <v>4325</v>
      </c>
      <c r="I2012" s="66">
        <f t="shared" si="126"/>
        <v>45447</v>
      </c>
      <c r="J2012" s="70">
        <f t="shared" si="125"/>
        <v>2024</v>
      </c>
      <c r="K2012" s="71">
        <v>17.860700000000001</v>
      </c>
      <c r="L2012" s="71">
        <v>17.633800000000001</v>
      </c>
      <c r="M2012" s="71">
        <v>17.017700000000001</v>
      </c>
    </row>
    <row r="2013" spans="1:13">
      <c r="A2013" s="57" t="s">
        <v>4326</v>
      </c>
      <c r="B2013" s="58">
        <f t="shared" si="123"/>
        <v>40700</v>
      </c>
      <c r="C2013" s="59">
        <f t="shared" si="124"/>
        <v>2011</v>
      </c>
      <c r="D2013" s="61">
        <v>11.6983</v>
      </c>
      <c r="E2013" s="61">
        <v>11.668900000000001</v>
      </c>
      <c r="F2013" s="61">
        <v>11.6739</v>
      </c>
      <c r="H2013" s="62" t="s">
        <v>4327</v>
      </c>
      <c r="I2013" s="58">
        <f t="shared" si="126"/>
        <v>45448</v>
      </c>
      <c r="J2013" s="60">
        <f t="shared" si="125"/>
        <v>2024</v>
      </c>
      <c r="K2013" s="64">
        <v>17.559200000000001</v>
      </c>
      <c r="L2013" s="64">
        <v>17.860700000000001</v>
      </c>
      <c r="M2013" s="64">
        <v>17.633800000000001</v>
      </c>
    </row>
    <row r="2014" spans="1:13">
      <c r="A2014" s="65" t="s">
        <v>4328</v>
      </c>
      <c r="B2014" s="66">
        <f t="shared" si="123"/>
        <v>40701</v>
      </c>
      <c r="C2014" s="67">
        <f t="shared" si="124"/>
        <v>2011</v>
      </c>
      <c r="D2014" s="68">
        <v>11.7196</v>
      </c>
      <c r="E2014" s="68">
        <v>11.6983</v>
      </c>
      <c r="F2014" s="68">
        <v>11.668900000000001</v>
      </c>
      <c r="H2014" s="69" t="s">
        <v>4329</v>
      </c>
      <c r="I2014" s="66">
        <f t="shared" si="126"/>
        <v>45449</v>
      </c>
      <c r="J2014" s="70">
        <f t="shared" si="125"/>
        <v>2024</v>
      </c>
      <c r="K2014" s="71">
        <v>17.5335</v>
      </c>
      <c r="L2014" s="71">
        <v>17.559200000000001</v>
      </c>
      <c r="M2014" s="71">
        <v>17.860700000000001</v>
      </c>
    </row>
    <row r="2015" spans="1:13">
      <c r="A2015" s="57" t="s">
        <v>4330</v>
      </c>
      <c r="B2015" s="58">
        <f t="shared" ref="B2015:B2078" si="127">DATE(RIGHT(A2015,4),LEFT(RIGHT(A2015,7),2),LEFT(A2015,2))</f>
        <v>40702</v>
      </c>
      <c r="C2015" s="59">
        <f t="shared" ref="C2015:C2078" si="128">YEAR(B2015)</f>
        <v>2011</v>
      </c>
      <c r="D2015" s="61">
        <v>11.8001</v>
      </c>
      <c r="E2015" s="61">
        <v>11.7196</v>
      </c>
      <c r="F2015" s="61">
        <v>11.6983</v>
      </c>
      <c r="H2015" s="62" t="s">
        <v>4331</v>
      </c>
      <c r="I2015" s="58">
        <f t="shared" si="126"/>
        <v>45450</v>
      </c>
      <c r="J2015" s="60">
        <f t="shared" ref="J2015:J2078" si="129">YEAR(I2015)</f>
        <v>2024</v>
      </c>
      <c r="K2015" s="64">
        <v>18.2622</v>
      </c>
      <c r="L2015" s="64">
        <v>17.5335</v>
      </c>
      <c r="M2015" s="64">
        <v>17.559200000000001</v>
      </c>
    </row>
    <row r="2016" spans="1:13">
      <c r="A2016" s="65" t="s">
        <v>4332</v>
      </c>
      <c r="B2016" s="66">
        <f t="shared" si="127"/>
        <v>40703</v>
      </c>
      <c r="C2016" s="67">
        <f t="shared" si="128"/>
        <v>2011</v>
      </c>
      <c r="D2016" s="68">
        <v>11.7965</v>
      </c>
      <c r="E2016" s="68">
        <v>11.8001</v>
      </c>
      <c r="F2016" s="68">
        <v>11.7196</v>
      </c>
      <c r="H2016" s="69" t="s">
        <v>4333</v>
      </c>
      <c r="I2016" s="66">
        <f t="shared" si="126"/>
        <v>45451</v>
      </c>
      <c r="J2016" s="70">
        <f t="shared" si="129"/>
        <v>2024</v>
      </c>
      <c r="K2016" s="72" t="s">
        <v>362</v>
      </c>
      <c r="L2016" s="72" t="s">
        <v>362</v>
      </c>
      <c r="M2016" s="71">
        <v>17.5335</v>
      </c>
    </row>
    <row r="2017" spans="1:13">
      <c r="A2017" s="57" t="s">
        <v>4334</v>
      </c>
      <c r="B2017" s="58">
        <f t="shared" si="127"/>
        <v>40704</v>
      </c>
      <c r="C2017" s="59">
        <f t="shared" si="128"/>
        <v>2011</v>
      </c>
      <c r="D2017" s="61">
        <v>11.868600000000001</v>
      </c>
      <c r="E2017" s="61">
        <v>11.7965</v>
      </c>
      <c r="F2017" s="61">
        <v>11.8001</v>
      </c>
      <c r="H2017" s="62" t="s">
        <v>4335</v>
      </c>
      <c r="I2017" s="58">
        <f t="shared" si="126"/>
        <v>45452</v>
      </c>
      <c r="J2017" s="60">
        <f t="shared" si="129"/>
        <v>2024</v>
      </c>
      <c r="K2017" s="63" t="s">
        <v>362</v>
      </c>
      <c r="L2017" s="63" t="s">
        <v>362</v>
      </c>
      <c r="M2017" s="64">
        <v>17.5335</v>
      </c>
    </row>
    <row r="2018" spans="1:13">
      <c r="A2018" s="65" t="s">
        <v>4336</v>
      </c>
      <c r="B2018" s="66">
        <f t="shared" si="127"/>
        <v>40705</v>
      </c>
      <c r="C2018" s="67">
        <f t="shared" si="128"/>
        <v>2011</v>
      </c>
      <c r="D2018" s="70" t="s">
        <v>362</v>
      </c>
      <c r="E2018" s="70" t="s">
        <v>362</v>
      </c>
      <c r="F2018" s="68">
        <v>11.7965</v>
      </c>
      <c r="H2018" s="69" t="s">
        <v>4337</v>
      </c>
      <c r="I2018" s="66">
        <f t="shared" si="126"/>
        <v>45453</v>
      </c>
      <c r="J2018" s="70">
        <f t="shared" si="129"/>
        <v>2024</v>
      </c>
      <c r="K2018" s="71">
        <v>18.384799999999998</v>
      </c>
      <c r="L2018" s="71">
        <v>18.2622</v>
      </c>
      <c r="M2018" s="71">
        <v>17.5335</v>
      </c>
    </row>
    <row r="2019" spans="1:13">
      <c r="A2019" s="57" t="s">
        <v>4338</v>
      </c>
      <c r="B2019" s="58">
        <f t="shared" si="127"/>
        <v>40706</v>
      </c>
      <c r="C2019" s="59">
        <f t="shared" si="128"/>
        <v>2011</v>
      </c>
      <c r="D2019" s="60" t="s">
        <v>362</v>
      </c>
      <c r="E2019" s="60" t="s">
        <v>362</v>
      </c>
      <c r="F2019" s="61">
        <v>11.7965</v>
      </c>
      <c r="H2019" s="62" t="s">
        <v>4339</v>
      </c>
      <c r="I2019" s="58">
        <f t="shared" si="126"/>
        <v>45454</v>
      </c>
      <c r="J2019" s="60">
        <f t="shared" si="129"/>
        <v>2024</v>
      </c>
      <c r="K2019" s="64">
        <v>18.445699999999999</v>
      </c>
      <c r="L2019" s="64">
        <v>18.384799999999998</v>
      </c>
      <c r="M2019" s="64">
        <v>18.2622</v>
      </c>
    </row>
    <row r="2020" spans="1:13">
      <c r="A2020" s="65" t="s">
        <v>4340</v>
      </c>
      <c r="B2020" s="66">
        <f t="shared" si="127"/>
        <v>40707</v>
      </c>
      <c r="C2020" s="67">
        <f t="shared" si="128"/>
        <v>2011</v>
      </c>
      <c r="D2020" s="68">
        <v>11.868</v>
      </c>
      <c r="E2020" s="68">
        <v>11.868600000000001</v>
      </c>
      <c r="F2020" s="68">
        <v>11.7965</v>
      </c>
      <c r="H2020" s="69" t="s">
        <v>4341</v>
      </c>
      <c r="I2020" s="66">
        <f t="shared" si="126"/>
        <v>45455</v>
      </c>
      <c r="J2020" s="70">
        <f t="shared" si="129"/>
        <v>2024</v>
      </c>
      <c r="K2020" s="71">
        <v>18.783200000000001</v>
      </c>
      <c r="L2020" s="71">
        <v>18.445699999999999</v>
      </c>
      <c r="M2020" s="71">
        <v>18.384799999999998</v>
      </c>
    </row>
    <row r="2021" spans="1:13">
      <c r="A2021" s="57" t="s">
        <v>4342</v>
      </c>
      <c r="B2021" s="58">
        <f t="shared" si="127"/>
        <v>40708</v>
      </c>
      <c r="C2021" s="59">
        <f t="shared" si="128"/>
        <v>2011</v>
      </c>
      <c r="D2021" s="61">
        <v>11.7982</v>
      </c>
      <c r="E2021" s="61">
        <v>11.868</v>
      </c>
      <c r="F2021" s="61">
        <v>11.868600000000001</v>
      </c>
      <c r="H2021" s="62" t="s">
        <v>4343</v>
      </c>
      <c r="I2021" s="58">
        <f t="shared" si="126"/>
        <v>45456</v>
      </c>
      <c r="J2021" s="60">
        <f t="shared" si="129"/>
        <v>2024</v>
      </c>
      <c r="K2021" s="64">
        <v>18.538499999999999</v>
      </c>
      <c r="L2021" s="64">
        <v>18.783200000000001</v>
      </c>
      <c r="M2021" s="64">
        <v>18.445699999999999</v>
      </c>
    </row>
    <row r="2022" spans="1:13">
      <c r="A2022" s="65" t="s">
        <v>4344</v>
      </c>
      <c r="B2022" s="66">
        <f t="shared" si="127"/>
        <v>40709</v>
      </c>
      <c r="C2022" s="67">
        <f t="shared" si="128"/>
        <v>2011</v>
      </c>
      <c r="D2022" s="68">
        <v>11.8751</v>
      </c>
      <c r="E2022" s="68">
        <v>11.7982</v>
      </c>
      <c r="F2022" s="68">
        <v>11.868</v>
      </c>
      <c r="H2022" s="69" t="s">
        <v>4345</v>
      </c>
      <c r="I2022" s="66">
        <f t="shared" si="126"/>
        <v>45457</v>
      </c>
      <c r="J2022" s="70">
        <f t="shared" si="129"/>
        <v>2024</v>
      </c>
      <c r="K2022" s="71">
        <v>18.4512</v>
      </c>
      <c r="L2022" s="71">
        <v>18.538499999999999</v>
      </c>
      <c r="M2022" s="71">
        <v>18.783200000000001</v>
      </c>
    </row>
    <row r="2023" spans="1:13">
      <c r="A2023" s="57" t="s">
        <v>4346</v>
      </c>
      <c r="B2023" s="58">
        <f t="shared" si="127"/>
        <v>40710</v>
      </c>
      <c r="C2023" s="59">
        <f t="shared" si="128"/>
        <v>2011</v>
      </c>
      <c r="D2023" s="61">
        <v>11.959099999999999</v>
      </c>
      <c r="E2023" s="61">
        <v>11.8751</v>
      </c>
      <c r="F2023" s="61">
        <v>11.7982</v>
      </c>
      <c r="H2023" s="62" t="s">
        <v>4347</v>
      </c>
      <c r="I2023" s="58">
        <f t="shared" si="126"/>
        <v>45458</v>
      </c>
      <c r="J2023" s="60">
        <f t="shared" si="129"/>
        <v>2024</v>
      </c>
      <c r="K2023" s="63" t="s">
        <v>362</v>
      </c>
      <c r="L2023" s="63" t="s">
        <v>362</v>
      </c>
      <c r="M2023" s="64">
        <v>18.538499999999999</v>
      </c>
    </row>
    <row r="2024" spans="1:13">
      <c r="A2024" s="65" t="s">
        <v>4348</v>
      </c>
      <c r="B2024" s="66">
        <f t="shared" si="127"/>
        <v>40711</v>
      </c>
      <c r="C2024" s="67">
        <f t="shared" si="128"/>
        <v>2011</v>
      </c>
      <c r="D2024" s="68">
        <v>11.900600000000001</v>
      </c>
      <c r="E2024" s="68">
        <v>11.959099999999999</v>
      </c>
      <c r="F2024" s="68">
        <v>11.8751</v>
      </c>
      <c r="H2024" s="69" t="s">
        <v>4349</v>
      </c>
      <c r="I2024" s="66">
        <f t="shared" si="126"/>
        <v>45459</v>
      </c>
      <c r="J2024" s="70">
        <f t="shared" si="129"/>
        <v>2024</v>
      </c>
      <c r="K2024" s="72" t="s">
        <v>362</v>
      </c>
      <c r="L2024" s="72" t="s">
        <v>362</v>
      </c>
      <c r="M2024" s="71">
        <v>18.538499999999999</v>
      </c>
    </row>
    <row r="2025" spans="1:13">
      <c r="A2025" s="57" t="s">
        <v>4350</v>
      </c>
      <c r="B2025" s="58">
        <f t="shared" si="127"/>
        <v>40712</v>
      </c>
      <c r="C2025" s="59">
        <f t="shared" si="128"/>
        <v>2011</v>
      </c>
      <c r="D2025" s="60" t="s">
        <v>362</v>
      </c>
      <c r="E2025" s="60" t="s">
        <v>362</v>
      </c>
      <c r="F2025" s="61">
        <v>11.959099999999999</v>
      </c>
      <c r="H2025" s="62" t="s">
        <v>4351</v>
      </c>
      <c r="I2025" s="58">
        <f t="shared" si="126"/>
        <v>45460</v>
      </c>
      <c r="J2025" s="60">
        <f t="shared" si="129"/>
        <v>2024</v>
      </c>
      <c r="K2025" s="64">
        <v>18.524799999999999</v>
      </c>
      <c r="L2025" s="64">
        <v>18.4512</v>
      </c>
      <c r="M2025" s="64">
        <v>18.538499999999999</v>
      </c>
    </row>
    <row r="2026" spans="1:13">
      <c r="A2026" s="65" t="s">
        <v>4352</v>
      </c>
      <c r="B2026" s="66">
        <f t="shared" si="127"/>
        <v>40713</v>
      </c>
      <c r="C2026" s="67">
        <f t="shared" si="128"/>
        <v>2011</v>
      </c>
      <c r="D2026" s="70" t="s">
        <v>362</v>
      </c>
      <c r="E2026" s="70" t="s">
        <v>362</v>
      </c>
      <c r="F2026" s="68">
        <v>11.959099999999999</v>
      </c>
      <c r="H2026" s="69" t="s">
        <v>4353</v>
      </c>
      <c r="I2026" s="66">
        <f t="shared" si="126"/>
        <v>45461</v>
      </c>
      <c r="J2026" s="70">
        <f t="shared" si="129"/>
        <v>2024</v>
      </c>
      <c r="K2026" s="71">
        <v>18.412800000000001</v>
      </c>
      <c r="L2026" s="71">
        <v>18.524799999999999</v>
      </c>
      <c r="M2026" s="71">
        <v>18.4512</v>
      </c>
    </row>
    <row r="2027" spans="1:13">
      <c r="A2027" s="57" t="s">
        <v>4354</v>
      </c>
      <c r="B2027" s="58">
        <f t="shared" si="127"/>
        <v>40714</v>
      </c>
      <c r="C2027" s="59">
        <f t="shared" si="128"/>
        <v>2011</v>
      </c>
      <c r="D2027" s="61">
        <v>11.8916</v>
      </c>
      <c r="E2027" s="61">
        <v>11.900600000000001</v>
      </c>
      <c r="F2027" s="61">
        <v>11.959099999999999</v>
      </c>
      <c r="H2027" s="62" t="s">
        <v>4355</v>
      </c>
      <c r="I2027" s="58">
        <f t="shared" si="126"/>
        <v>45462</v>
      </c>
      <c r="J2027" s="60">
        <f t="shared" si="129"/>
        <v>2024</v>
      </c>
      <c r="K2027" s="64">
        <v>18.422999999999998</v>
      </c>
      <c r="L2027" s="64">
        <v>18.412800000000001</v>
      </c>
      <c r="M2027" s="64">
        <v>18.524799999999999</v>
      </c>
    </row>
    <row r="2028" spans="1:13">
      <c r="A2028" s="65" t="s">
        <v>4356</v>
      </c>
      <c r="B2028" s="66">
        <f t="shared" si="127"/>
        <v>40715</v>
      </c>
      <c r="C2028" s="67">
        <f t="shared" si="128"/>
        <v>2011</v>
      </c>
      <c r="D2028" s="68">
        <v>11.813000000000001</v>
      </c>
      <c r="E2028" s="68">
        <v>11.8916</v>
      </c>
      <c r="F2028" s="68">
        <v>11.900600000000001</v>
      </c>
      <c r="H2028" s="69" t="s">
        <v>4357</v>
      </c>
      <c r="I2028" s="66">
        <f t="shared" si="126"/>
        <v>45463</v>
      </c>
      <c r="J2028" s="70">
        <f t="shared" si="129"/>
        <v>2024</v>
      </c>
      <c r="K2028" s="71">
        <v>18.402699999999999</v>
      </c>
      <c r="L2028" s="71">
        <v>18.422999999999998</v>
      </c>
      <c r="M2028" s="71">
        <v>18.412800000000001</v>
      </c>
    </row>
    <row r="2029" spans="1:13">
      <c r="A2029" s="57" t="s">
        <v>4358</v>
      </c>
      <c r="B2029" s="58">
        <f t="shared" si="127"/>
        <v>40716</v>
      </c>
      <c r="C2029" s="59">
        <f t="shared" si="128"/>
        <v>2011</v>
      </c>
      <c r="D2029" s="61">
        <v>11.7789</v>
      </c>
      <c r="E2029" s="61">
        <v>11.813000000000001</v>
      </c>
      <c r="F2029" s="61">
        <v>11.8916</v>
      </c>
      <c r="H2029" s="62" t="s">
        <v>4359</v>
      </c>
      <c r="I2029" s="58">
        <f t="shared" si="126"/>
        <v>45464</v>
      </c>
      <c r="J2029" s="60">
        <f t="shared" si="129"/>
        <v>2024</v>
      </c>
      <c r="K2029" s="64">
        <v>18.184799999999999</v>
      </c>
      <c r="L2029" s="64">
        <v>18.402699999999999</v>
      </c>
      <c r="M2029" s="64">
        <v>18.422999999999998</v>
      </c>
    </row>
    <row r="2030" spans="1:13">
      <c r="A2030" s="65" t="s">
        <v>4360</v>
      </c>
      <c r="B2030" s="66">
        <f t="shared" si="127"/>
        <v>40717</v>
      </c>
      <c r="C2030" s="67">
        <f t="shared" si="128"/>
        <v>2011</v>
      </c>
      <c r="D2030" s="68">
        <v>11.881600000000001</v>
      </c>
      <c r="E2030" s="68">
        <v>11.7789</v>
      </c>
      <c r="F2030" s="68">
        <v>11.813000000000001</v>
      </c>
      <c r="H2030" s="69" t="s">
        <v>4361</v>
      </c>
      <c r="I2030" s="66">
        <f t="shared" si="126"/>
        <v>45465</v>
      </c>
      <c r="J2030" s="70">
        <f t="shared" si="129"/>
        <v>2024</v>
      </c>
      <c r="K2030" s="72" t="s">
        <v>362</v>
      </c>
      <c r="L2030" s="72" t="s">
        <v>362</v>
      </c>
      <c r="M2030" s="71">
        <v>18.402699999999999</v>
      </c>
    </row>
    <row r="2031" spans="1:13">
      <c r="A2031" s="57" t="s">
        <v>4362</v>
      </c>
      <c r="B2031" s="58">
        <f t="shared" si="127"/>
        <v>40718</v>
      </c>
      <c r="C2031" s="59">
        <f t="shared" si="128"/>
        <v>2011</v>
      </c>
      <c r="D2031" s="61">
        <v>11.882199999999999</v>
      </c>
      <c r="E2031" s="61">
        <v>11.881600000000001</v>
      </c>
      <c r="F2031" s="61">
        <v>11.7789</v>
      </c>
      <c r="H2031" s="62" t="s">
        <v>4363</v>
      </c>
      <c r="I2031" s="58">
        <f t="shared" si="126"/>
        <v>45466</v>
      </c>
      <c r="J2031" s="60">
        <f t="shared" si="129"/>
        <v>2024</v>
      </c>
      <c r="K2031" s="63" t="s">
        <v>362</v>
      </c>
      <c r="L2031" s="63" t="s">
        <v>362</v>
      </c>
      <c r="M2031" s="64">
        <v>18.402699999999999</v>
      </c>
    </row>
    <row r="2032" spans="1:13">
      <c r="A2032" s="65" t="s">
        <v>4364</v>
      </c>
      <c r="B2032" s="66">
        <f t="shared" si="127"/>
        <v>40719</v>
      </c>
      <c r="C2032" s="67">
        <f t="shared" si="128"/>
        <v>2011</v>
      </c>
      <c r="D2032" s="70" t="s">
        <v>362</v>
      </c>
      <c r="E2032" s="70" t="s">
        <v>362</v>
      </c>
      <c r="F2032" s="68">
        <v>11.881600000000001</v>
      </c>
      <c r="H2032" s="69" t="s">
        <v>4365</v>
      </c>
      <c r="I2032" s="66">
        <f t="shared" si="126"/>
        <v>45467</v>
      </c>
      <c r="J2032" s="70">
        <f t="shared" si="129"/>
        <v>2024</v>
      </c>
      <c r="K2032" s="71">
        <v>17.962700000000002</v>
      </c>
      <c r="L2032" s="71">
        <v>18.184799999999999</v>
      </c>
      <c r="M2032" s="71">
        <v>18.402699999999999</v>
      </c>
    </row>
    <row r="2033" spans="1:13">
      <c r="A2033" s="57" t="s">
        <v>4366</v>
      </c>
      <c r="B2033" s="58">
        <f t="shared" si="127"/>
        <v>40720</v>
      </c>
      <c r="C2033" s="59">
        <f t="shared" si="128"/>
        <v>2011</v>
      </c>
      <c r="D2033" s="60" t="s">
        <v>362</v>
      </c>
      <c r="E2033" s="60" t="s">
        <v>362</v>
      </c>
      <c r="F2033" s="61">
        <v>11.881600000000001</v>
      </c>
      <c r="H2033" s="62" t="s">
        <v>4367</v>
      </c>
      <c r="I2033" s="58">
        <f t="shared" si="126"/>
        <v>45468</v>
      </c>
      <c r="J2033" s="60">
        <f t="shared" si="129"/>
        <v>2024</v>
      </c>
      <c r="K2033" s="64">
        <v>18.1372</v>
      </c>
      <c r="L2033" s="64">
        <v>17.962700000000002</v>
      </c>
      <c r="M2033" s="64">
        <v>18.184799999999999</v>
      </c>
    </row>
    <row r="2034" spans="1:13">
      <c r="A2034" s="65" t="s">
        <v>4368</v>
      </c>
      <c r="B2034" s="66">
        <f t="shared" si="127"/>
        <v>40721</v>
      </c>
      <c r="C2034" s="67">
        <f t="shared" si="128"/>
        <v>2011</v>
      </c>
      <c r="D2034" s="68">
        <v>11.893800000000001</v>
      </c>
      <c r="E2034" s="68">
        <v>11.882199999999999</v>
      </c>
      <c r="F2034" s="68">
        <v>11.881600000000001</v>
      </c>
      <c r="H2034" s="69" t="s">
        <v>4369</v>
      </c>
      <c r="I2034" s="66">
        <f t="shared" si="126"/>
        <v>45469</v>
      </c>
      <c r="J2034" s="70">
        <f t="shared" si="129"/>
        <v>2024</v>
      </c>
      <c r="K2034" s="71">
        <v>18.221499999999999</v>
      </c>
      <c r="L2034" s="71">
        <v>18.1372</v>
      </c>
      <c r="M2034" s="71">
        <v>17.962700000000002</v>
      </c>
    </row>
    <row r="2035" spans="1:13">
      <c r="A2035" s="57" t="s">
        <v>4370</v>
      </c>
      <c r="B2035" s="58">
        <f t="shared" si="127"/>
        <v>40722</v>
      </c>
      <c r="C2035" s="59">
        <f t="shared" si="128"/>
        <v>2011</v>
      </c>
      <c r="D2035" s="61">
        <v>11.838900000000001</v>
      </c>
      <c r="E2035" s="61">
        <v>11.893800000000001</v>
      </c>
      <c r="F2035" s="61">
        <v>11.882199999999999</v>
      </c>
      <c r="H2035" s="62" t="s">
        <v>4371</v>
      </c>
      <c r="I2035" s="58">
        <f t="shared" si="126"/>
        <v>45470</v>
      </c>
      <c r="J2035" s="60">
        <f t="shared" si="129"/>
        <v>2024</v>
      </c>
      <c r="K2035" s="64">
        <v>18.377300000000002</v>
      </c>
      <c r="L2035" s="64">
        <v>18.221499999999999</v>
      </c>
      <c r="M2035" s="64">
        <v>18.1372</v>
      </c>
    </row>
    <row r="2036" spans="1:13">
      <c r="A2036" s="65" t="s">
        <v>4372</v>
      </c>
      <c r="B2036" s="66">
        <f t="shared" si="127"/>
        <v>40723</v>
      </c>
      <c r="C2036" s="67">
        <f t="shared" si="128"/>
        <v>2011</v>
      </c>
      <c r="D2036" s="68">
        <v>11.774800000000001</v>
      </c>
      <c r="E2036" s="68">
        <v>11.838900000000001</v>
      </c>
      <c r="F2036" s="68">
        <v>11.893800000000001</v>
      </c>
      <c r="H2036" s="69" t="s">
        <v>4373</v>
      </c>
      <c r="I2036" s="66">
        <f t="shared" si="126"/>
        <v>45471</v>
      </c>
      <c r="J2036" s="70">
        <f t="shared" si="129"/>
        <v>2024</v>
      </c>
      <c r="K2036" s="71">
        <v>18.247800000000002</v>
      </c>
      <c r="L2036" s="71">
        <v>18.377300000000002</v>
      </c>
      <c r="M2036" s="71">
        <v>18.221499999999999</v>
      </c>
    </row>
    <row r="2037" spans="1:13">
      <c r="A2037" s="57" t="s">
        <v>4374</v>
      </c>
      <c r="B2037" s="58">
        <f t="shared" si="127"/>
        <v>40724</v>
      </c>
      <c r="C2037" s="59">
        <f t="shared" si="128"/>
        <v>2011</v>
      </c>
      <c r="D2037" s="61">
        <v>11.723000000000001</v>
      </c>
      <c r="E2037" s="61">
        <v>11.774800000000001</v>
      </c>
      <c r="F2037" s="61">
        <v>11.838900000000001</v>
      </c>
      <c r="H2037" s="62" t="s">
        <v>4375</v>
      </c>
      <c r="I2037" s="58">
        <f t="shared" si="126"/>
        <v>45472</v>
      </c>
      <c r="J2037" s="60">
        <f t="shared" si="129"/>
        <v>2024</v>
      </c>
      <c r="K2037" s="63" t="s">
        <v>362</v>
      </c>
      <c r="L2037" s="63" t="s">
        <v>362</v>
      </c>
      <c r="M2037" s="64">
        <v>18.377300000000002</v>
      </c>
    </row>
    <row r="2038" spans="1:13">
      <c r="A2038" s="65" t="s">
        <v>4376</v>
      </c>
      <c r="B2038" s="66">
        <f t="shared" si="127"/>
        <v>40725</v>
      </c>
      <c r="C2038" s="67">
        <f t="shared" si="128"/>
        <v>2011</v>
      </c>
      <c r="D2038" s="68">
        <v>11.636799999999999</v>
      </c>
      <c r="E2038" s="68">
        <v>11.723000000000001</v>
      </c>
      <c r="F2038" s="68">
        <v>11.774800000000001</v>
      </c>
      <c r="H2038" s="69" t="s">
        <v>4377</v>
      </c>
      <c r="I2038" s="66">
        <f t="shared" si="126"/>
        <v>45473</v>
      </c>
      <c r="J2038" s="70">
        <f t="shared" si="129"/>
        <v>2024</v>
      </c>
      <c r="K2038" s="72" t="s">
        <v>362</v>
      </c>
      <c r="L2038" s="72" t="s">
        <v>362</v>
      </c>
      <c r="M2038" s="71">
        <v>18.377300000000002</v>
      </c>
    </row>
    <row r="2039" spans="1:13">
      <c r="A2039" s="57" t="s">
        <v>4378</v>
      </c>
      <c r="B2039" s="58">
        <f t="shared" si="127"/>
        <v>40726</v>
      </c>
      <c r="C2039" s="59">
        <f t="shared" si="128"/>
        <v>2011</v>
      </c>
      <c r="D2039" s="60" t="s">
        <v>362</v>
      </c>
      <c r="E2039" s="60" t="s">
        <v>362</v>
      </c>
      <c r="F2039" s="61">
        <v>11.723000000000001</v>
      </c>
      <c r="H2039" s="62" t="s">
        <v>4379</v>
      </c>
      <c r="I2039" s="58">
        <f t="shared" si="126"/>
        <v>45474</v>
      </c>
      <c r="J2039" s="60">
        <f t="shared" si="129"/>
        <v>2024</v>
      </c>
      <c r="K2039" s="64">
        <v>18.389700000000001</v>
      </c>
      <c r="L2039" s="64">
        <v>18.247800000000002</v>
      </c>
      <c r="M2039" s="64">
        <v>18.377300000000002</v>
      </c>
    </row>
    <row r="2040" spans="1:13">
      <c r="A2040" s="65" t="s">
        <v>4380</v>
      </c>
      <c r="B2040" s="66">
        <f t="shared" si="127"/>
        <v>40727</v>
      </c>
      <c r="C2040" s="67">
        <f t="shared" si="128"/>
        <v>2011</v>
      </c>
      <c r="D2040" s="70" t="s">
        <v>362</v>
      </c>
      <c r="E2040" s="70" t="s">
        <v>362</v>
      </c>
      <c r="F2040" s="68">
        <v>11.723000000000001</v>
      </c>
      <c r="H2040" s="69" t="s">
        <v>4381</v>
      </c>
      <c r="I2040" s="66">
        <f t="shared" si="126"/>
        <v>45475</v>
      </c>
      <c r="J2040" s="70">
        <f t="shared" si="129"/>
        <v>2024</v>
      </c>
      <c r="K2040" s="71">
        <v>18.2485</v>
      </c>
      <c r="L2040" s="71">
        <v>18.389700000000001</v>
      </c>
      <c r="M2040" s="71">
        <v>18.247800000000002</v>
      </c>
    </row>
    <row r="2041" spans="1:13">
      <c r="A2041" s="57" t="s">
        <v>4382</v>
      </c>
      <c r="B2041" s="58">
        <f t="shared" si="127"/>
        <v>40728</v>
      </c>
      <c r="C2041" s="59">
        <f t="shared" si="128"/>
        <v>2011</v>
      </c>
      <c r="D2041" s="61">
        <v>11.592499999999999</v>
      </c>
      <c r="E2041" s="61">
        <v>11.636799999999999</v>
      </c>
      <c r="F2041" s="61">
        <v>11.723000000000001</v>
      </c>
      <c r="H2041" s="62" t="s">
        <v>4383</v>
      </c>
      <c r="I2041" s="58">
        <f t="shared" si="126"/>
        <v>45476</v>
      </c>
      <c r="J2041" s="60">
        <f t="shared" si="129"/>
        <v>2024</v>
      </c>
      <c r="K2041" s="64">
        <v>18.1355</v>
      </c>
      <c r="L2041" s="64">
        <v>18.2485</v>
      </c>
      <c r="M2041" s="64">
        <v>18.389700000000001</v>
      </c>
    </row>
    <row r="2042" spans="1:13">
      <c r="A2042" s="65" t="s">
        <v>4384</v>
      </c>
      <c r="B2042" s="66">
        <f t="shared" si="127"/>
        <v>40729</v>
      </c>
      <c r="C2042" s="67">
        <f t="shared" si="128"/>
        <v>2011</v>
      </c>
      <c r="D2042" s="68">
        <v>11.619400000000001</v>
      </c>
      <c r="E2042" s="68">
        <v>11.592499999999999</v>
      </c>
      <c r="F2042" s="68">
        <v>11.636799999999999</v>
      </c>
      <c r="H2042" s="69" t="s">
        <v>4385</v>
      </c>
      <c r="I2042" s="66">
        <f t="shared" si="126"/>
        <v>45477</v>
      </c>
      <c r="J2042" s="70">
        <f t="shared" si="129"/>
        <v>2024</v>
      </c>
      <c r="K2042" s="71">
        <v>18.095800000000001</v>
      </c>
      <c r="L2042" s="71">
        <v>18.1355</v>
      </c>
      <c r="M2042" s="71">
        <v>18.2485</v>
      </c>
    </row>
    <row r="2043" spans="1:13">
      <c r="A2043" s="57" t="s">
        <v>4386</v>
      </c>
      <c r="B2043" s="58">
        <f t="shared" si="127"/>
        <v>40730</v>
      </c>
      <c r="C2043" s="59">
        <f t="shared" si="128"/>
        <v>2011</v>
      </c>
      <c r="D2043" s="61">
        <v>11.654400000000001</v>
      </c>
      <c r="E2043" s="61">
        <v>11.619400000000001</v>
      </c>
      <c r="F2043" s="61">
        <v>11.592499999999999</v>
      </c>
      <c r="H2043" s="62" t="s">
        <v>4387</v>
      </c>
      <c r="I2043" s="58">
        <f t="shared" si="126"/>
        <v>45478</v>
      </c>
      <c r="J2043" s="60">
        <f t="shared" si="129"/>
        <v>2024</v>
      </c>
      <c r="K2043" s="64">
        <v>18.0977</v>
      </c>
      <c r="L2043" s="64">
        <v>18.095800000000001</v>
      </c>
      <c r="M2043" s="64">
        <v>18.1355</v>
      </c>
    </row>
    <row r="2044" spans="1:13">
      <c r="A2044" s="65" t="s">
        <v>4388</v>
      </c>
      <c r="B2044" s="66">
        <f t="shared" si="127"/>
        <v>40731</v>
      </c>
      <c r="C2044" s="67">
        <f t="shared" si="128"/>
        <v>2011</v>
      </c>
      <c r="D2044" s="68">
        <v>11.5738</v>
      </c>
      <c r="E2044" s="68">
        <v>11.654400000000001</v>
      </c>
      <c r="F2044" s="68">
        <v>11.619400000000001</v>
      </c>
      <c r="H2044" s="69" t="s">
        <v>4389</v>
      </c>
      <c r="I2044" s="66">
        <f t="shared" ref="I2044:I2107" si="130">I2043+1</f>
        <v>45479</v>
      </c>
      <c r="J2044" s="70">
        <f t="shared" si="129"/>
        <v>2024</v>
      </c>
      <c r="K2044" s="72" t="s">
        <v>362</v>
      </c>
      <c r="L2044" s="72" t="s">
        <v>362</v>
      </c>
      <c r="M2044" s="71">
        <v>18.095800000000001</v>
      </c>
    </row>
    <row r="2045" spans="1:13">
      <c r="A2045" s="57" t="s">
        <v>4390</v>
      </c>
      <c r="B2045" s="58">
        <f t="shared" si="127"/>
        <v>40732</v>
      </c>
      <c r="C2045" s="59">
        <f t="shared" si="128"/>
        <v>2011</v>
      </c>
      <c r="D2045" s="61">
        <v>11.633699999999999</v>
      </c>
      <c r="E2045" s="61">
        <v>11.5738</v>
      </c>
      <c r="F2045" s="61">
        <v>11.654400000000001</v>
      </c>
      <c r="H2045" s="62" t="s">
        <v>4391</v>
      </c>
      <c r="I2045" s="58">
        <f t="shared" si="130"/>
        <v>45480</v>
      </c>
      <c r="J2045" s="60">
        <f t="shared" si="129"/>
        <v>2024</v>
      </c>
      <c r="K2045" s="63" t="s">
        <v>362</v>
      </c>
      <c r="L2045" s="63" t="s">
        <v>362</v>
      </c>
      <c r="M2045" s="64">
        <v>18.095800000000001</v>
      </c>
    </row>
    <row r="2046" spans="1:13">
      <c r="A2046" s="65" t="s">
        <v>4392</v>
      </c>
      <c r="B2046" s="66">
        <f t="shared" si="127"/>
        <v>40733</v>
      </c>
      <c r="C2046" s="67">
        <f t="shared" si="128"/>
        <v>2011</v>
      </c>
      <c r="D2046" s="70" t="s">
        <v>362</v>
      </c>
      <c r="E2046" s="70" t="s">
        <v>362</v>
      </c>
      <c r="F2046" s="68">
        <v>11.5738</v>
      </c>
      <c r="H2046" s="69" t="s">
        <v>4393</v>
      </c>
      <c r="I2046" s="66">
        <f t="shared" si="130"/>
        <v>45481</v>
      </c>
      <c r="J2046" s="70">
        <f t="shared" si="129"/>
        <v>2024</v>
      </c>
      <c r="K2046" s="71">
        <v>18.009499999999999</v>
      </c>
      <c r="L2046" s="71">
        <v>18.0977</v>
      </c>
      <c r="M2046" s="71">
        <v>18.095800000000001</v>
      </c>
    </row>
    <row r="2047" spans="1:13">
      <c r="A2047" s="57" t="s">
        <v>4394</v>
      </c>
      <c r="B2047" s="58">
        <f t="shared" si="127"/>
        <v>40734</v>
      </c>
      <c r="C2047" s="59">
        <f t="shared" si="128"/>
        <v>2011</v>
      </c>
      <c r="D2047" s="60" t="s">
        <v>362</v>
      </c>
      <c r="E2047" s="60" t="s">
        <v>362</v>
      </c>
      <c r="F2047" s="61">
        <v>11.5738</v>
      </c>
      <c r="H2047" s="62" t="s">
        <v>4395</v>
      </c>
      <c r="I2047" s="58">
        <f t="shared" si="130"/>
        <v>45482</v>
      </c>
      <c r="J2047" s="60">
        <f t="shared" si="129"/>
        <v>2024</v>
      </c>
      <c r="K2047" s="64">
        <v>17.942799999999998</v>
      </c>
      <c r="L2047" s="64">
        <v>18.009499999999999</v>
      </c>
      <c r="M2047" s="64">
        <v>18.0977</v>
      </c>
    </row>
    <row r="2048" spans="1:13">
      <c r="A2048" s="65" t="s">
        <v>4396</v>
      </c>
      <c r="B2048" s="66">
        <f t="shared" si="127"/>
        <v>40735</v>
      </c>
      <c r="C2048" s="67">
        <f t="shared" si="128"/>
        <v>2011</v>
      </c>
      <c r="D2048" s="68">
        <v>11.727399999999999</v>
      </c>
      <c r="E2048" s="68">
        <v>11.633699999999999</v>
      </c>
      <c r="F2048" s="68">
        <v>11.5738</v>
      </c>
      <c r="H2048" s="69" t="s">
        <v>4397</v>
      </c>
      <c r="I2048" s="66">
        <f t="shared" si="130"/>
        <v>45483</v>
      </c>
      <c r="J2048" s="70">
        <f t="shared" si="129"/>
        <v>2024</v>
      </c>
      <c r="K2048" s="71">
        <v>17.828800000000001</v>
      </c>
      <c r="L2048" s="71">
        <v>17.942799999999998</v>
      </c>
      <c r="M2048" s="71">
        <v>18.009499999999999</v>
      </c>
    </row>
    <row r="2049" spans="1:13">
      <c r="A2049" s="57" t="s">
        <v>4398</v>
      </c>
      <c r="B2049" s="58">
        <f t="shared" si="127"/>
        <v>40736</v>
      </c>
      <c r="C2049" s="59">
        <f t="shared" si="128"/>
        <v>2011</v>
      </c>
      <c r="D2049" s="61">
        <v>11.7867</v>
      </c>
      <c r="E2049" s="61">
        <v>11.727399999999999</v>
      </c>
      <c r="F2049" s="61">
        <v>11.633699999999999</v>
      </c>
      <c r="H2049" s="62" t="s">
        <v>4399</v>
      </c>
      <c r="I2049" s="58">
        <f t="shared" si="130"/>
        <v>45484</v>
      </c>
      <c r="J2049" s="60">
        <f t="shared" si="129"/>
        <v>2024</v>
      </c>
      <c r="K2049" s="64">
        <v>17.819199999999999</v>
      </c>
      <c r="L2049" s="64">
        <v>17.828800000000001</v>
      </c>
      <c r="M2049" s="64">
        <v>17.942799999999998</v>
      </c>
    </row>
    <row r="2050" spans="1:13">
      <c r="A2050" s="65" t="s">
        <v>4400</v>
      </c>
      <c r="B2050" s="66">
        <f t="shared" si="127"/>
        <v>40737</v>
      </c>
      <c r="C2050" s="67">
        <f t="shared" si="128"/>
        <v>2011</v>
      </c>
      <c r="D2050" s="68">
        <v>11.717000000000001</v>
      </c>
      <c r="E2050" s="68">
        <v>11.7867</v>
      </c>
      <c r="F2050" s="68">
        <v>11.727399999999999</v>
      </c>
      <c r="H2050" s="69" t="s">
        <v>4401</v>
      </c>
      <c r="I2050" s="66">
        <f t="shared" si="130"/>
        <v>45485</v>
      </c>
      <c r="J2050" s="70">
        <f t="shared" si="129"/>
        <v>2024</v>
      </c>
      <c r="K2050" s="71">
        <v>17.650200000000002</v>
      </c>
      <c r="L2050" s="71">
        <v>17.819199999999999</v>
      </c>
      <c r="M2050" s="71">
        <v>17.828800000000001</v>
      </c>
    </row>
    <row r="2051" spans="1:13">
      <c r="A2051" s="57" t="s">
        <v>4402</v>
      </c>
      <c r="B2051" s="58">
        <f t="shared" si="127"/>
        <v>40738</v>
      </c>
      <c r="C2051" s="59">
        <f t="shared" si="128"/>
        <v>2011</v>
      </c>
      <c r="D2051" s="61">
        <v>11.701000000000001</v>
      </c>
      <c r="E2051" s="61">
        <v>11.717000000000001</v>
      </c>
      <c r="F2051" s="61">
        <v>11.7867</v>
      </c>
      <c r="H2051" s="62" t="s">
        <v>4403</v>
      </c>
      <c r="I2051" s="58">
        <f t="shared" si="130"/>
        <v>45486</v>
      </c>
      <c r="J2051" s="60">
        <f t="shared" si="129"/>
        <v>2024</v>
      </c>
      <c r="K2051" s="63" t="s">
        <v>362</v>
      </c>
      <c r="L2051" s="63" t="s">
        <v>362</v>
      </c>
      <c r="M2051" s="64">
        <v>17.819199999999999</v>
      </c>
    </row>
    <row r="2052" spans="1:13">
      <c r="A2052" s="65" t="s">
        <v>4404</v>
      </c>
      <c r="B2052" s="66">
        <f t="shared" si="127"/>
        <v>40739</v>
      </c>
      <c r="C2052" s="67">
        <f t="shared" si="128"/>
        <v>2011</v>
      </c>
      <c r="D2052" s="68">
        <v>11.7178</v>
      </c>
      <c r="E2052" s="68">
        <v>11.701000000000001</v>
      </c>
      <c r="F2052" s="68">
        <v>11.717000000000001</v>
      </c>
      <c r="H2052" s="69" t="s">
        <v>4405</v>
      </c>
      <c r="I2052" s="66">
        <f t="shared" si="130"/>
        <v>45487</v>
      </c>
      <c r="J2052" s="70">
        <f t="shared" si="129"/>
        <v>2024</v>
      </c>
      <c r="K2052" s="72" t="s">
        <v>362</v>
      </c>
      <c r="L2052" s="72" t="s">
        <v>362</v>
      </c>
      <c r="M2052" s="71">
        <v>17.819199999999999</v>
      </c>
    </row>
    <row r="2053" spans="1:13">
      <c r="A2053" s="57" t="s">
        <v>4406</v>
      </c>
      <c r="B2053" s="58">
        <f t="shared" si="127"/>
        <v>40740</v>
      </c>
      <c r="C2053" s="59">
        <f t="shared" si="128"/>
        <v>2011</v>
      </c>
      <c r="D2053" s="60" t="s">
        <v>362</v>
      </c>
      <c r="E2053" s="60" t="s">
        <v>362</v>
      </c>
      <c r="F2053" s="61">
        <v>11.701000000000001</v>
      </c>
      <c r="H2053" s="62" t="s">
        <v>4407</v>
      </c>
      <c r="I2053" s="58">
        <f t="shared" si="130"/>
        <v>45488</v>
      </c>
      <c r="J2053" s="60">
        <f t="shared" si="129"/>
        <v>2024</v>
      </c>
      <c r="K2053" s="64">
        <v>17.7837</v>
      </c>
      <c r="L2053" s="64">
        <v>17.650200000000002</v>
      </c>
      <c r="M2053" s="64">
        <v>17.819199999999999</v>
      </c>
    </row>
    <row r="2054" spans="1:13">
      <c r="A2054" s="65" t="s">
        <v>4408</v>
      </c>
      <c r="B2054" s="66">
        <f t="shared" si="127"/>
        <v>40741</v>
      </c>
      <c r="C2054" s="67">
        <f t="shared" si="128"/>
        <v>2011</v>
      </c>
      <c r="D2054" s="70" t="s">
        <v>362</v>
      </c>
      <c r="E2054" s="70" t="s">
        <v>362</v>
      </c>
      <c r="F2054" s="68">
        <v>11.701000000000001</v>
      </c>
      <c r="H2054" s="69" t="s">
        <v>4409</v>
      </c>
      <c r="I2054" s="66">
        <f t="shared" si="130"/>
        <v>45489</v>
      </c>
      <c r="J2054" s="70">
        <f t="shared" si="129"/>
        <v>2024</v>
      </c>
      <c r="K2054" s="71">
        <v>17.679500000000001</v>
      </c>
      <c r="L2054" s="71">
        <v>17.7837</v>
      </c>
      <c r="M2054" s="71">
        <v>17.650200000000002</v>
      </c>
    </row>
    <row r="2055" spans="1:13">
      <c r="A2055" s="57" t="s">
        <v>4410</v>
      </c>
      <c r="B2055" s="58">
        <f t="shared" si="127"/>
        <v>40742</v>
      </c>
      <c r="C2055" s="59">
        <f t="shared" si="128"/>
        <v>2011</v>
      </c>
      <c r="D2055" s="61">
        <v>11.787699999999999</v>
      </c>
      <c r="E2055" s="61">
        <v>11.7178</v>
      </c>
      <c r="F2055" s="61">
        <v>11.701000000000001</v>
      </c>
      <c r="H2055" s="62" t="s">
        <v>4411</v>
      </c>
      <c r="I2055" s="58">
        <f t="shared" si="130"/>
        <v>45490</v>
      </c>
      <c r="J2055" s="60">
        <f t="shared" si="129"/>
        <v>2024</v>
      </c>
      <c r="K2055" s="64">
        <v>17.7438</v>
      </c>
      <c r="L2055" s="64">
        <v>17.679500000000001</v>
      </c>
      <c r="M2055" s="64">
        <v>17.7837</v>
      </c>
    </row>
    <row r="2056" spans="1:13">
      <c r="A2056" s="65" t="s">
        <v>4412</v>
      </c>
      <c r="B2056" s="66">
        <f t="shared" si="127"/>
        <v>40743</v>
      </c>
      <c r="C2056" s="67">
        <f t="shared" si="128"/>
        <v>2011</v>
      </c>
      <c r="D2056" s="68">
        <v>11.696400000000001</v>
      </c>
      <c r="E2056" s="68">
        <v>11.787699999999999</v>
      </c>
      <c r="F2056" s="68">
        <v>11.7178</v>
      </c>
      <c r="H2056" s="69" t="s">
        <v>4413</v>
      </c>
      <c r="I2056" s="66">
        <f t="shared" si="130"/>
        <v>45491</v>
      </c>
      <c r="J2056" s="70">
        <f t="shared" si="129"/>
        <v>2024</v>
      </c>
      <c r="K2056" s="71">
        <v>17.890699999999999</v>
      </c>
      <c r="L2056" s="71">
        <v>17.7438</v>
      </c>
      <c r="M2056" s="71">
        <v>17.679500000000001</v>
      </c>
    </row>
    <row r="2057" spans="1:13">
      <c r="A2057" s="57" t="s">
        <v>4414</v>
      </c>
      <c r="B2057" s="58">
        <f t="shared" si="127"/>
        <v>40744</v>
      </c>
      <c r="C2057" s="59">
        <f t="shared" si="128"/>
        <v>2011</v>
      </c>
      <c r="D2057" s="61">
        <v>11.6638</v>
      </c>
      <c r="E2057" s="61">
        <v>11.696400000000001</v>
      </c>
      <c r="F2057" s="61">
        <v>11.787699999999999</v>
      </c>
      <c r="H2057" s="62" t="s">
        <v>4415</v>
      </c>
      <c r="I2057" s="58">
        <f t="shared" si="130"/>
        <v>45492</v>
      </c>
      <c r="J2057" s="60">
        <f t="shared" si="129"/>
        <v>2024</v>
      </c>
      <c r="K2057" s="64">
        <v>17.997</v>
      </c>
      <c r="L2057" s="64">
        <v>17.890699999999999</v>
      </c>
      <c r="M2057" s="64">
        <v>17.7438</v>
      </c>
    </row>
    <row r="2058" spans="1:13">
      <c r="A2058" s="65" t="s">
        <v>4416</v>
      </c>
      <c r="B2058" s="66">
        <f t="shared" si="127"/>
        <v>40745</v>
      </c>
      <c r="C2058" s="67">
        <f t="shared" si="128"/>
        <v>2011</v>
      </c>
      <c r="D2058" s="68">
        <v>11.6174</v>
      </c>
      <c r="E2058" s="68">
        <v>11.6638</v>
      </c>
      <c r="F2058" s="68">
        <v>11.696400000000001</v>
      </c>
      <c r="H2058" s="69" t="s">
        <v>4417</v>
      </c>
      <c r="I2058" s="66">
        <f t="shared" si="130"/>
        <v>45493</v>
      </c>
      <c r="J2058" s="70">
        <f t="shared" si="129"/>
        <v>2024</v>
      </c>
      <c r="K2058" s="72" t="s">
        <v>362</v>
      </c>
      <c r="L2058" s="72" t="s">
        <v>362</v>
      </c>
      <c r="M2058" s="71">
        <v>17.890699999999999</v>
      </c>
    </row>
    <row r="2059" spans="1:13">
      <c r="A2059" s="57" t="s">
        <v>4418</v>
      </c>
      <c r="B2059" s="58">
        <f t="shared" si="127"/>
        <v>40746</v>
      </c>
      <c r="C2059" s="59">
        <f t="shared" si="128"/>
        <v>2011</v>
      </c>
      <c r="D2059" s="61">
        <v>11.6393</v>
      </c>
      <c r="E2059" s="61">
        <v>11.6174</v>
      </c>
      <c r="F2059" s="61">
        <v>11.6638</v>
      </c>
      <c r="H2059" s="62" t="s">
        <v>4419</v>
      </c>
      <c r="I2059" s="58">
        <f t="shared" si="130"/>
        <v>45494</v>
      </c>
      <c r="J2059" s="60">
        <f t="shared" si="129"/>
        <v>2024</v>
      </c>
      <c r="K2059" s="63" t="s">
        <v>362</v>
      </c>
      <c r="L2059" s="63" t="s">
        <v>362</v>
      </c>
      <c r="M2059" s="64">
        <v>17.890699999999999</v>
      </c>
    </row>
    <row r="2060" spans="1:13">
      <c r="A2060" s="65" t="s">
        <v>4420</v>
      </c>
      <c r="B2060" s="66">
        <f t="shared" si="127"/>
        <v>40747</v>
      </c>
      <c r="C2060" s="67">
        <f t="shared" si="128"/>
        <v>2011</v>
      </c>
      <c r="D2060" s="70" t="s">
        <v>362</v>
      </c>
      <c r="E2060" s="70" t="s">
        <v>362</v>
      </c>
      <c r="F2060" s="68">
        <v>11.6174</v>
      </c>
      <c r="H2060" s="69" t="s">
        <v>4421</v>
      </c>
      <c r="I2060" s="66">
        <f t="shared" si="130"/>
        <v>45495</v>
      </c>
      <c r="J2060" s="70">
        <f t="shared" si="129"/>
        <v>2024</v>
      </c>
      <c r="K2060" s="71">
        <v>17.910699999999999</v>
      </c>
      <c r="L2060" s="71">
        <v>17.997</v>
      </c>
      <c r="M2060" s="71">
        <v>17.890699999999999</v>
      </c>
    </row>
    <row r="2061" spans="1:13">
      <c r="A2061" s="57" t="s">
        <v>4422</v>
      </c>
      <c r="B2061" s="58">
        <f t="shared" si="127"/>
        <v>40748</v>
      </c>
      <c r="C2061" s="59">
        <f t="shared" si="128"/>
        <v>2011</v>
      </c>
      <c r="D2061" s="60" t="s">
        <v>362</v>
      </c>
      <c r="E2061" s="60" t="s">
        <v>362</v>
      </c>
      <c r="F2061" s="61">
        <v>11.6174</v>
      </c>
      <c r="H2061" s="62" t="s">
        <v>4423</v>
      </c>
      <c r="I2061" s="58">
        <f t="shared" si="130"/>
        <v>45496</v>
      </c>
      <c r="J2061" s="60">
        <f t="shared" si="129"/>
        <v>2024</v>
      </c>
      <c r="K2061" s="64">
        <v>18.098700000000001</v>
      </c>
      <c r="L2061" s="64">
        <v>17.910699999999999</v>
      </c>
      <c r="M2061" s="64">
        <v>17.997</v>
      </c>
    </row>
    <row r="2062" spans="1:13">
      <c r="A2062" s="65" t="s">
        <v>4424</v>
      </c>
      <c r="B2062" s="66">
        <f t="shared" si="127"/>
        <v>40749</v>
      </c>
      <c r="C2062" s="67">
        <f t="shared" si="128"/>
        <v>2011</v>
      </c>
      <c r="D2062" s="68">
        <v>11.664099999999999</v>
      </c>
      <c r="E2062" s="68">
        <v>11.6393</v>
      </c>
      <c r="F2062" s="68">
        <v>11.6174</v>
      </c>
      <c r="H2062" s="69" t="s">
        <v>4425</v>
      </c>
      <c r="I2062" s="66">
        <f t="shared" si="130"/>
        <v>45497</v>
      </c>
      <c r="J2062" s="70">
        <f t="shared" si="129"/>
        <v>2024</v>
      </c>
      <c r="K2062" s="71">
        <v>18.345800000000001</v>
      </c>
      <c r="L2062" s="71">
        <v>18.098700000000001</v>
      </c>
      <c r="M2062" s="71">
        <v>17.910699999999999</v>
      </c>
    </row>
    <row r="2063" spans="1:13">
      <c r="A2063" s="57" t="s">
        <v>4426</v>
      </c>
      <c r="B2063" s="58">
        <f t="shared" si="127"/>
        <v>40750</v>
      </c>
      <c r="C2063" s="59">
        <f t="shared" si="128"/>
        <v>2011</v>
      </c>
      <c r="D2063" s="61">
        <v>11.6172</v>
      </c>
      <c r="E2063" s="61">
        <v>11.664099999999999</v>
      </c>
      <c r="F2063" s="61">
        <v>11.6393</v>
      </c>
      <c r="H2063" s="62" t="s">
        <v>4427</v>
      </c>
      <c r="I2063" s="58">
        <f t="shared" si="130"/>
        <v>45498</v>
      </c>
      <c r="J2063" s="60">
        <f t="shared" si="129"/>
        <v>2024</v>
      </c>
      <c r="K2063" s="64">
        <v>18.385000000000002</v>
      </c>
      <c r="L2063" s="64">
        <v>18.345800000000001</v>
      </c>
      <c r="M2063" s="64">
        <v>18.098700000000001</v>
      </c>
    </row>
    <row r="2064" spans="1:13">
      <c r="A2064" s="65" t="s">
        <v>4428</v>
      </c>
      <c r="B2064" s="66">
        <f t="shared" si="127"/>
        <v>40751</v>
      </c>
      <c r="C2064" s="67">
        <f t="shared" si="128"/>
        <v>2011</v>
      </c>
      <c r="D2064" s="68">
        <v>11.652699999999999</v>
      </c>
      <c r="E2064" s="68">
        <v>11.6172</v>
      </c>
      <c r="F2064" s="68">
        <v>11.664099999999999</v>
      </c>
      <c r="H2064" s="69" t="s">
        <v>4429</v>
      </c>
      <c r="I2064" s="66">
        <f t="shared" si="130"/>
        <v>45499</v>
      </c>
      <c r="J2064" s="70">
        <f t="shared" si="129"/>
        <v>2024</v>
      </c>
      <c r="K2064" s="71">
        <v>18.447500000000002</v>
      </c>
      <c r="L2064" s="71">
        <v>18.385000000000002</v>
      </c>
      <c r="M2064" s="71">
        <v>18.345800000000001</v>
      </c>
    </row>
    <row r="2065" spans="1:13">
      <c r="A2065" s="57" t="s">
        <v>4430</v>
      </c>
      <c r="B2065" s="58">
        <f t="shared" si="127"/>
        <v>40752</v>
      </c>
      <c r="C2065" s="59">
        <f t="shared" si="128"/>
        <v>2011</v>
      </c>
      <c r="D2065" s="61">
        <v>11.6821</v>
      </c>
      <c r="E2065" s="61">
        <v>11.652699999999999</v>
      </c>
      <c r="F2065" s="61">
        <v>11.6172</v>
      </c>
      <c r="H2065" s="62" t="s">
        <v>4431</v>
      </c>
      <c r="I2065" s="58">
        <f t="shared" si="130"/>
        <v>45500</v>
      </c>
      <c r="J2065" s="60">
        <f t="shared" si="129"/>
        <v>2024</v>
      </c>
      <c r="K2065" s="63" t="s">
        <v>362</v>
      </c>
      <c r="L2065" s="63" t="s">
        <v>362</v>
      </c>
      <c r="M2065" s="64">
        <v>18.385000000000002</v>
      </c>
    </row>
    <row r="2066" spans="1:13">
      <c r="A2066" s="65" t="s">
        <v>4432</v>
      </c>
      <c r="B2066" s="66">
        <f t="shared" si="127"/>
        <v>40753</v>
      </c>
      <c r="C2066" s="67">
        <f t="shared" si="128"/>
        <v>2011</v>
      </c>
      <c r="D2066" s="68">
        <v>11.7425</v>
      </c>
      <c r="E2066" s="68">
        <v>11.6821</v>
      </c>
      <c r="F2066" s="68">
        <v>11.652699999999999</v>
      </c>
      <c r="H2066" s="69" t="s">
        <v>4433</v>
      </c>
      <c r="I2066" s="66">
        <f t="shared" si="130"/>
        <v>45501</v>
      </c>
      <c r="J2066" s="70">
        <f t="shared" si="129"/>
        <v>2024</v>
      </c>
      <c r="K2066" s="72" t="s">
        <v>362</v>
      </c>
      <c r="L2066" s="72" t="s">
        <v>362</v>
      </c>
      <c r="M2066" s="71">
        <v>18.385000000000002</v>
      </c>
    </row>
    <row r="2067" spans="1:13">
      <c r="A2067" s="57" t="s">
        <v>4434</v>
      </c>
      <c r="B2067" s="58">
        <f t="shared" si="127"/>
        <v>40754</v>
      </c>
      <c r="C2067" s="59">
        <f t="shared" si="128"/>
        <v>2011</v>
      </c>
      <c r="D2067" s="60" t="s">
        <v>362</v>
      </c>
      <c r="E2067" s="60" t="s">
        <v>362</v>
      </c>
      <c r="F2067" s="61">
        <v>11.6821</v>
      </c>
      <c r="H2067" s="62" t="s">
        <v>4435</v>
      </c>
      <c r="I2067" s="58">
        <f t="shared" si="130"/>
        <v>45502</v>
      </c>
      <c r="J2067" s="60">
        <f t="shared" si="129"/>
        <v>2024</v>
      </c>
      <c r="K2067" s="64">
        <v>18.681799999999999</v>
      </c>
      <c r="L2067" s="64">
        <v>18.447500000000002</v>
      </c>
      <c r="M2067" s="64">
        <v>18.385000000000002</v>
      </c>
    </row>
    <row r="2068" spans="1:13">
      <c r="A2068" s="65" t="s">
        <v>4436</v>
      </c>
      <c r="B2068" s="66">
        <f t="shared" si="127"/>
        <v>40755</v>
      </c>
      <c r="C2068" s="67">
        <f t="shared" si="128"/>
        <v>2011</v>
      </c>
      <c r="D2068" s="70" t="s">
        <v>362</v>
      </c>
      <c r="E2068" s="70" t="s">
        <v>362</v>
      </c>
      <c r="F2068" s="68">
        <v>11.6821</v>
      </c>
      <c r="H2068" s="69" t="s">
        <v>4437</v>
      </c>
      <c r="I2068" s="66">
        <f t="shared" si="130"/>
        <v>45503</v>
      </c>
      <c r="J2068" s="70">
        <f t="shared" si="129"/>
        <v>2024</v>
      </c>
      <c r="K2068" s="71">
        <v>18.79</v>
      </c>
      <c r="L2068" s="71">
        <v>18.681799999999999</v>
      </c>
      <c r="M2068" s="71">
        <v>18.447500000000002</v>
      </c>
    </row>
    <row r="2069" spans="1:13">
      <c r="A2069" s="57" t="s">
        <v>4438</v>
      </c>
      <c r="B2069" s="58">
        <f t="shared" si="127"/>
        <v>40756</v>
      </c>
      <c r="C2069" s="59">
        <f t="shared" si="128"/>
        <v>2011</v>
      </c>
      <c r="D2069" s="61">
        <v>11.7514</v>
      </c>
      <c r="E2069" s="61">
        <v>11.7425</v>
      </c>
      <c r="F2069" s="61">
        <v>11.6821</v>
      </c>
      <c r="H2069" s="62" t="s">
        <v>4439</v>
      </c>
      <c r="I2069" s="58">
        <f t="shared" si="130"/>
        <v>45504</v>
      </c>
      <c r="J2069" s="60">
        <f t="shared" si="129"/>
        <v>2024</v>
      </c>
      <c r="K2069" s="64">
        <v>18.597000000000001</v>
      </c>
      <c r="L2069" s="64">
        <v>18.79</v>
      </c>
      <c r="M2069" s="64">
        <v>18.681799999999999</v>
      </c>
    </row>
    <row r="2070" spans="1:13">
      <c r="A2070" s="65" t="s">
        <v>4440</v>
      </c>
      <c r="B2070" s="66">
        <f t="shared" si="127"/>
        <v>40757</v>
      </c>
      <c r="C2070" s="67">
        <f t="shared" si="128"/>
        <v>2011</v>
      </c>
      <c r="D2070" s="68">
        <v>11.765700000000001</v>
      </c>
      <c r="E2070" s="68">
        <v>11.7514</v>
      </c>
      <c r="F2070" s="68">
        <v>11.7425</v>
      </c>
      <c r="H2070" s="69" t="s">
        <v>4441</v>
      </c>
      <c r="I2070" s="66">
        <f t="shared" si="130"/>
        <v>45505</v>
      </c>
      <c r="J2070" s="70">
        <f t="shared" si="129"/>
        <v>2024</v>
      </c>
      <c r="K2070" s="71">
        <v>18.706</v>
      </c>
      <c r="L2070" s="71">
        <v>18.597000000000001</v>
      </c>
      <c r="M2070" s="71">
        <v>18.79</v>
      </c>
    </row>
    <row r="2071" spans="1:13">
      <c r="A2071" s="57" t="s">
        <v>4442</v>
      </c>
      <c r="B2071" s="58">
        <f t="shared" si="127"/>
        <v>40758</v>
      </c>
      <c r="C2071" s="59">
        <f t="shared" si="128"/>
        <v>2011</v>
      </c>
      <c r="D2071" s="61">
        <v>11.847300000000001</v>
      </c>
      <c r="E2071" s="61">
        <v>11.765700000000001</v>
      </c>
      <c r="F2071" s="61">
        <v>11.7514</v>
      </c>
      <c r="H2071" s="62" t="s">
        <v>4443</v>
      </c>
      <c r="I2071" s="58">
        <f t="shared" si="130"/>
        <v>45506</v>
      </c>
      <c r="J2071" s="60">
        <f t="shared" si="129"/>
        <v>2024</v>
      </c>
      <c r="K2071" s="64">
        <v>19.0442</v>
      </c>
      <c r="L2071" s="64">
        <v>18.706</v>
      </c>
      <c r="M2071" s="64">
        <v>18.597000000000001</v>
      </c>
    </row>
    <row r="2072" spans="1:13">
      <c r="A2072" s="65" t="s">
        <v>4444</v>
      </c>
      <c r="B2072" s="66">
        <f t="shared" si="127"/>
        <v>40759</v>
      </c>
      <c r="C2072" s="67">
        <f t="shared" si="128"/>
        <v>2011</v>
      </c>
      <c r="D2072" s="68">
        <v>11.952299999999999</v>
      </c>
      <c r="E2072" s="68">
        <v>11.847300000000001</v>
      </c>
      <c r="F2072" s="68">
        <v>11.765700000000001</v>
      </c>
      <c r="H2072" s="69" t="s">
        <v>4445</v>
      </c>
      <c r="I2072" s="66">
        <f t="shared" si="130"/>
        <v>45507</v>
      </c>
      <c r="J2072" s="70">
        <f t="shared" si="129"/>
        <v>2024</v>
      </c>
      <c r="K2072" s="72" t="s">
        <v>362</v>
      </c>
      <c r="L2072" s="72" t="s">
        <v>362</v>
      </c>
      <c r="M2072" s="71">
        <v>18.706</v>
      </c>
    </row>
    <row r="2073" spans="1:13">
      <c r="A2073" s="57" t="s">
        <v>4446</v>
      </c>
      <c r="B2073" s="58">
        <f t="shared" si="127"/>
        <v>40760</v>
      </c>
      <c r="C2073" s="59">
        <f t="shared" si="128"/>
        <v>2011</v>
      </c>
      <c r="D2073" s="61">
        <v>11.9794</v>
      </c>
      <c r="E2073" s="61">
        <v>11.952299999999999</v>
      </c>
      <c r="F2073" s="61">
        <v>11.847300000000001</v>
      </c>
      <c r="H2073" s="62" t="s">
        <v>4447</v>
      </c>
      <c r="I2073" s="58">
        <f t="shared" si="130"/>
        <v>45508</v>
      </c>
      <c r="J2073" s="60">
        <f t="shared" si="129"/>
        <v>2024</v>
      </c>
      <c r="K2073" s="63" t="s">
        <v>362</v>
      </c>
      <c r="L2073" s="63" t="s">
        <v>362</v>
      </c>
      <c r="M2073" s="64">
        <v>18.706</v>
      </c>
    </row>
    <row r="2074" spans="1:13">
      <c r="A2074" s="65" t="s">
        <v>4448</v>
      </c>
      <c r="B2074" s="66">
        <f t="shared" si="127"/>
        <v>40761</v>
      </c>
      <c r="C2074" s="67">
        <f t="shared" si="128"/>
        <v>2011</v>
      </c>
      <c r="D2074" s="70" t="s">
        <v>362</v>
      </c>
      <c r="E2074" s="70" t="s">
        <v>362</v>
      </c>
      <c r="F2074" s="68">
        <v>11.952299999999999</v>
      </c>
      <c r="H2074" s="69" t="s">
        <v>4449</v>
      </c>
      <c r="I2074" s="66">
        <f t="shared" si="130"/>
        <v>45509</v>
      </c>
      <c r="J2074" s="70">
        <f t="shared" si="129"/>
        <v>2024</v>
      </c>
      <c r="K2074" s="71">
        <v>19.390499999999999</v>
      </c>
      <c r="L2074" s="71">
        <v>19.0442</v>
      </c>
      <c r="M2074" s="71">
        <v>18.706</v>
      </c>
    </row>
    <row r="2075" spans="1:13">
      <c r="A2075" s="57" t="s">
        <v>4450</v>
      </c>
      <c r="B2075" s="58">
        <f t="shared" si="127"/>
        <v>40762</v>
      </c>
      <c r="C2075" s="59">
        <f t="shared" si="128"/>
        <v>2011</v>
      </c>
      <c r="D2075" s="60" t="s">
        <v>362</v>
      </c>
      <c r="E2075" s="60" t="s">
        <v>362</v>
      </c>
      <c r="F2075" s="61">
        <v>11.952299999999999</v>
      </c>
      <c r="H2075" s="62" t="s">
        <v>4451</v>
      </c>
      <c r="I2075" s="58">
        <f t="shared" si="130"/>
        <v>45510</v>
      </c>
      <c r="J2075" s="60">
        <f t="shared" si="129"/>
        <v>2024</v>
      </c>
      <c r="K2075" s="64">
        <v>19.329999999999998</v>
      </c>
      <c r="L2075" s="64">
        <v>19.390499999999999</v>
      </c>
      <c r="M2075" s="64">
        <v>19.0442</v>
      </c>
    </row>
    <row r="2076" spans="1:13">
      <c r="A2076" s="65" t="s">
        <v>4452</v>
      </c>
      <c r="B2076" s="66">
        <f t="shared" si="127"/>
        <v>40763</v>
      </c>
      <c r="C2076" s="67">
        <f t="shared" si="128"/>
        <v>2011</v>
      </c>
      <c r="D2076" s="68">
        <v>12.1845</v>
      </c>
      <c r="E2076" s="68">
        <v>11.9794</v>
      </c>
      <c r="F2076" s="68">
        <v>11.952299999999999</v>
      </c>
      <c r="H2076" s="69" t="s">
        <v>4453</v>
      </c>
      <c r="I2076" s="66">
        <f t="shared" si="130"/>
        <v>45511</v>
      </c>
      <c r="J2076" s="70">
        <f t="shared" si="129"/>
        <v>2024</v>
      </c>
      <c r="K2076" s="71">
        <v>19.189</v>
      </c>
      <c r="L2076" s="71">
        <v>19.329999999999998</v>
      </c>
      <c r="M2076" s="71">
        <v>19.390499999999999</v>
      </c>
    </row>
    <row r="2077" spans="1:13">
      <c r="A2077" s="57" t="s">
        <v>4454</v>
      </c>
      <c r="B2077" s="58">
        <f t="shared" si="127"/>
        <v>40764</v>
      </c>
      <c r="C2077" s="59">
        <f t="shared" si="128"/>
        <v>2011</v>
      </c>
      <c r="D2077" s="61">
        <v>12.371</v>
      </c>
      <c r="E2077" s="61">
        <v>12.1845</v>
      </c>
      <c r="F2077" s="61">
        <v>11.9794</v>
      </c>
      <c r="H2077" s="62" t="s">
        <v>4455</v>
      </c>
      <c r="I2077" s="58">
        <f t="shared" si="130"/>
        <v>45512</v>
      </c>
      <c r="J2077" s="60">
        <f t="shared" si="129"/>
        <v>2024</v>
      </c>
      <c r="K2077" s="64">
        <v>19.09</v>
      </c>
      <c r="L2077" s="64">
        <v>19.189</v>
      </c>
      <c r="M2077" s="64">
        <v>19.329999999999998</v>
      </c>
    </row>
    <row r="2078" spans="1:13">
      <c r="A2078" s="65" t="s">
        <v>4456</v>
      </c>
      <c r="B2078" s="66">
        <f t="shared" si="127"/>
        <v>40765</v>
      </c>
      <c r="C2078" s="67">
        <f t="shared" si="128"/>
        <v>2011</v>
      </c>
      <c r="D2078" s="68">
        <v>12.322100000000001</v>
      </c>
      <c r="E2078" s="68">
        <v>12.371</v>
      </c>
      <c r="F2078" s="68">
        <v>12.1845</v>
      </c>
      <c r="H2078" s="69" t="s">
        <v>4457</v>
      </c>
      <c r="I2078" s="66">
        <f t="shared" si="130"/>
        <v>45513</v>
      </c>
      <c r="J2078" s="70">
        <f t="shared" si="129"/>
        <v>2024</v>
      </c>
      <c r="K2078" s="71">
        <v>18.8368</v>
      </c>
      <c r="L2078" s="71">
        <v>19.09</v>
      </c>
      <c r="M2078" s="71">
        <v>19.189</v>
      </c>
    </row>
    <row r="2079" spans="1:13">
      <c r="A2079" s="57" t="s">
        <v>4458</v>
      </c>
      <c r="B2079" s="58">
        <f t="shared" ref="B2079:B2142" si="131">DATE(RIGHT(A2079,4),LEFT(RIGHT(A2079,7),2),LEFT(A2079,2))</f>
        <v>40766</v>
      </c>
      <c r="C2079" s="59">
        <f t="shared" ref="C2079:C2142" si="132">YEAR(B2079)</f>
        <v>2011</v>
      </c>
      <c r="D2079" s="61">
        <v>12.389900000000001</v>
      </c>
      <c r="E2079" s="61">
        <v>12.322100000000001</v>
      </c>
      <c r="F2079" s="61">
        <v>12.371</v>
      </c>
      <c r="H2079" s="62" t="s">
        <v>4459</v>
      </c>
      <c r="I2079" s="58">
        <f t="shared" si="130"/>
        <v>45514</v>
      </c>
      <c r="J2079" s="60">
        <f t="shared" ref="J2079:J2142" si="133">YEAR(I2079)</f>
        <v>2024</v>
      </c>
      <c r="K2079" s="63" t="s">
        <v>362</v>
      </c>
      <c r="L2079" s="63" t="s">
        <v>362</v>
      </c>
      <c r="M2079" s="64">
        <v>19.09</v>
      </c>
    </row>
    <row r="2080" spans="1:13">
      <c r="A2080" s="65" t="s">
        <v>4460</v>
      </c>
      <c r="B2080" s="66">
        <f t="shared" si="131"/>
        <v>40767</v>
      </c>
      <c r="C2080" s="67">
        <f t="shared" si="132"/>
        <v>2011</v>
      </c>
      <c r="D2080" s="68">
        <v>12.299200000000001</v>
      </c>
      <c r="E2080" s="68">
        <v>12.389900000000001</v>
      </c>
      <c r="F2080" s="68">
        <v>12.322100000000001</v>
      </c>
      <c r="H2080" s="69" t="s">
        <v>4461</v>
      </c>
      <c r="I2080" s="66">
        <f t="shared" si="130"/>
        <v>45515</v>
      </c>
      <c r="J2080" s="70">
        <f t="shared" si="133"/>
        <v>2024</v>
      </c>
      <c r="K2080" s="72" t="s">
        <v>362</v>
      </c>
      <c r="L2080" s="72" t="s">
        <v>362</v>
      </c>
      <c r="M2080" s="71">
        <v>19.09</v>
      </c>
    </row>
    <row r="2081" spans="1:13">
      <c r="A2081" s="57" t="s">
        <v>4462</v>
      </c>
      <c r="B2081" s="58">
        <f t="shared" si="131"/>
        <v>40768</v>
      </c>
      <c r="C2081" s="59">
        <f t="shared" si="132"/>
        <v>2011</v>
      </c>
      <c r="D2081" s="60" t="s">
        <v>362</v>
      </c>
      <c r="E2081" s="60" t="s">
        <v>362</v>
      </c>
      <c r="F2081" s="61">
        <v>12.389900000000001</v>
      </c>
      <c r="H2081" s="62" t="s">
        <v>4463</v>
      </c>
      <c r="I2081" s="58">
        <f t="shared" si="130"/>
        <v>45516</v>
      </c>
      <c r="J2081" s="60">
        <f t="shared" si="133"/>
        <v>2024</v>
      </c>
      <c r="K2081" s="64">
        <v>19.032</v>
      </c>
      <c r="L2081" s="64">
        <v>18.8368</v>
      </c>
      <c r="M2081" s="64">
        <v>19.09</v>
      </c>
    </row>
    <row r="2082" spans="1:13">
      <c r="A2082" s="65" t="s">
        <v>4464</v>
      </c>
      <c r="B2082" s="66">
        <f t="shared" si="131"/>
        <v>40769</v>
      </c>
      <c r="C2082" s="67">
        <f t="shared" si="132"/>
        <v>2011</v>
      </c>
      <c r="D2082" s="70" t="s">
        <v>362</v>
      </c>
      <c r="E2082" s="70" t="s">
        <v>362</v>
      </c>
      <c r="F2082" s="68">
        <v>12.389900000000001</v>
      </c>
      <c r="H2082" s="69" t="s">
        <v>4465</v>
      </c>
      <c r="I2082" s="66">
        <f t="shared" si="130"/>
        <v>45517</v>
      </c>
      <c r="J2082" s="70">
        <f t="shared" si="133"/>
        <v>2024</v>
      </c>
      <c r="K2082" s="71">
        <v>19.038699999999999</v>
      </c>
      <c r="L2082" s="71">
        <v>19.032</v>
      </c>
      <c r="M2082" s="71">
        <v>18.8368</v>
      </c>
    </row>
    <row r="2083" spans="1:13">
      <c r="A2083" s="57" t="s">
        <v>4466</v>
      </c>
      <c r="B2083" s="58">
        <f t="shared" si="131"/>
        <v>40770</v>
      </c>
      <c r="C2083" s="59">
        <f t="shared" si="132"/>
        <v>2011</v>
      </c>
      <c r="D2083" s="61">
        <v>12.2424</v>
      </c>
      <c r="E2083" s="61">
        <v>12.299200000000001</v>
      </c>
      <c r="F2083" s="61">
        <v>12.389900000000001</v>
      </c>
      <c r="H2083" s="62" t="s">
        <v>4467</v>
      </c>
      <c r="I2083" s="58">
        <f t="shared" si="130"/>
        <v>45518</v>
      </c>
      <c r="J2083" s="60">
        <f t="shared" si="133"/>
        <v>2024</v>
      </c>
      <c r="K2083" s="64">
        <v>18.847799999999999</v>
      </c>
      <c r="L2083" s="64">
        <v>19.038699999999999</v>
      </c>
      <c r="M2083" s="64">
        <v>19.032</v>
      </c>
    </row>
    <row r="2084" spans="1:13">
      <c r="A2084" s="65" t="s">
        <v>4468</v>
      </c>
      <c r="B2084" s="66">
        <f t="shared" si="131"/>
        <v>40771</v>
      </c>
      <c r="C2084" s="67">
        <f t="shared" si="132"/>
        <v>2011</v>
      </c>
      <c r="D2084" s="68">
        <v>12.2631</v>
      </c>
      <c r="E2084" s="68">
        <v>12.2424</v>
      </c>
      <c r="F2084" s="68">
        <v>12.299200000000001</v>
      </c>
      <c r="H2084" s="69" t="s">
        <v>4469</v>
      </c>
      <c r="I2084" s="66">
        <f t="shared" si="130"/>
        <v>45519</v>
      </c>
      <c r="J2084" s="70">
        <f t="shared" si="133"/>
        <v>2024</v>
      </c>
      <c r="K2084" s="71">
        <v>18.651299999999999</v>
      </c>
      <c r="L2084" s="71">
        <v>18.847799999999999</v>
      </c>
      <c r="M2084" s="71">
        <v>19.038699999999999</v>
      </c>
    </row>
    <row r="2085" spans="1:13">
      <c r="A2085" s="57" t="s">
        <v>4470</v>
      </c>
      <c r="B2085" s="58">
        <f t="shared" si="131"/>
        <v>40772</v>
      </c>
      <c r="C2085" s="59">
        <f t="shared" si="132"/>
        <v>2011</v>
      </c>
      <c r="D2085" s="61">
        <v>12.165100000000001</v>
      </c>
      <c r="E2085" s="61">
        <v>12.2631</v>
      </c>
      <c r="F2085" s="61">
        <v>12.2424</v>
      </c>
      <c r="H2085" s="62" t="s">
        <v>4471</v>
      </c>
      <c r="I2085" s="58">
        <f t="shared" si="130"/>
        <v>45520</v>
      </c>
      <c r="J2085" s="60">
        <f t="shared" si="133"/>
        <v>2024</v>
      </c>
      <c r="K2085" s="64">
        <v>18.622800000000002</v>
      </c>
      <c r="L2085" s="64">
        <v>18.651299999999999</v>
      </c>
      <c r="M2085" s="64">
        <v>18.847799999999999</v>
      </c>
    </row>
    <row r="2086" spans="1:13">
      <c r="A2086" s="65" t="s">
        <v>4472</v>
      </c>
      <c r="B2086" s="66">
        <f t="shared" si="131"/>
        <v>40773</v>
      </c>
      <c r="C2086" s="67">
        <f t="shared" si="132"/>
        <v>2011</v>
      </c>
      <c r="D2086" s="68">
        <v>12.368499999999999</v>
      </c>
      <c r="E2086" s="68">
        <v>12.165100000000001</v>
      </c>
      <c r="F2086" s="68">
        <v>12.2631</v>
      </c>
      <c r="H2086" s="69" t="s">
        <v>4473</v>
      </c>
      <c r="I2086" s="66">
        <f t="shared" si="130"/>
        <v>45521</v>
      </c>
      <c r="J2086" s="70">
        <f t="shared" si="133"/>
        <v>2024</v>
      </c>
      <c r="K2086" s="72" t="s">
        <v>362</v>
      </c>
      <c r="L2086" s="72" t="s">
        <v>362</v>
      </c>
      <c r="M2086" s="71">
        <v>18.651299999999999</v>
      </c>
    </row>
    <row r="2087" spans="1:13">
      <c r="A2087" s="57" t="s">
        <v>4474</v>
      </c>
      <c r="B2087" s="58">
        <f t="shared" si="131"/>
        <v>40774</v>
      </c>
      <c r="C2087" s="59">
        <f t="shared" si="132"/>
        <v>2011</v>
      </c>
      <c r="D2087" s="61">
        <v>12.2386</v>
      </c>
      <c r="E2087" s="61">
        <v>12.368499999999999</v>
      </c>
      <c r="F2087" s="61">
        <v>12.165100000000001</v>
      </c>
      <c r="H2087" s="62" t="s">
        <v>4475</v>
      </c>
      <c r="I2087" s="58">
        <f t="shared" si="130"/>
        <v>45522</v>
      </c>
      <c r="J2087" s="60">
        <f t="shared" si="133"/>
        <v>2024</v>
      </c>
      <c r="K2087" s="63" t="s">
        <v>362</v>
      </c>
      <c r="L2087" s="63" t="s">
        <v>362</v>
      </c>
      <c r="M2087" s="64">
        <v>18.651299999999999</v>
      </c>
    </row>
    <row r="2088" spans="1:13">
      <c r="A2088" s="65" t="s">
        <v>4476</v>
      </c>
      <c r="B2088" s="66">
        <f t="shared" si="131"/>
        <v>40775</v>
      </c>
      <c r="C2088" s="67">
        <f t="shared" si="132"/>
        <v>2011</v>
      </c>
      <c r="D2088" s="70" t="s">
        <v>362</v>
      </c>
      <c r="E2088" s="70" t="s">
        <v>362</v>
      </c>
      <c r="F2088" s="68">
        <v>12.368499999999999</v>
      </c>
      <c r="H2088" s="69" t="s">
        <v>4477</v>
      </c>
      <c r="I2088" s="66">
        <f t="shared" si="130"/>
        <v>45523</v>
      </c>
      <c r="J2088" s="70">
        <f t="shared" si="133"/>
        <v>2024</v>
      </c>
      <c r="K2088" s="71">
        <v>18.735700000000001</v>
      </c>
      <c r="L2088" s="71">
        <v>18.622800000000002</v>
      </c>
      <c r="M2088" s="71">
        <v>18.651299999999999</v>
      </c>
    </row>
    <row r="2089" spans="1:13">
      <c r="A2089" s="57" t="s">
        <v>4478</v>
      </c>
      <c r="B2089" s="58">
        <f t="shared" si="131"/>
        <v>40776</v>
      </c>
      <c r="C2089" s="59">
        <f t="shared" si="132"/>
        <v>2011</v>
      </c>
      <c r="D2089" s="60" t="s">
        <v>362</v>
      </c>
      <c r="E2089" s="60" t="s">
        <v>362</v>
      </c>
      <c r="F2089" s="61">
        <v>12.368499999999999</v>
      </c>
      <c r="H2089" s="62" t="s">
        <v>4479</v>
      </c>
      <c r="I2089" s="58">
        <f t="shared" si="130"/>
        <v>45524</v>
      </c>
      <c r="J2089" s="60">
        <f t="shared" si="133"/>
        <v>2024</v>
      </c>
      <c r="K2089" s="64">
        <v>18.944800000000001</v>
      </c>
      <c r="L2089" s="64">
        <v>18.735700000000001</v>
      </c>
      <c r="M2089" s="64">
        <v>18.622800000000002</v>
      </c>
    </row>
    <row r="2090" spans="1:13">
      <c r="A2090" s="65" t="s">
        <v>4480</v>
      </c>
      <c r="B2090" s="66">
        <f t="shared" si="131"/>
        <v>40777</v>
      </c>
      <c r="C2090" s="67">
        <f t="shared" si="132"/>
        <v>2011</v>
      </c>
      <c r="D2090" s="68">
        <v>12.2948</v>
      </c>
      <c r="E2090" s="68">
        <v>12.2386</v>
      </c>
      <c r="F2090" s="68">
        <v>12.368499999999999</v>
      </c>
      <c r="H2090" s="69" t="s">
        <v>4481</v>
      </c>
      <c r="I2090" s="66">
        <f t="shared" si="130"/>
        <v>45525</v>
      </c>
      <c r="J2090" s="70">
        <f t="shared" si="133"/>
        <v>2024</v>
      </c>
      <c r="K2090" s="71">
        <v>19.253499999999999</v>
      </c>
      <c r="L2090" s="71">
        <v>18.944800000000001</v>
      </c>
      <c r="M2090" s="71">
        <v>18.735700000000001</v>
      </c>
    </row>
    <row r="2091" spans="1:13">
      <c r="A2091" s="57" t="s">
        <v>4482</v>
      </c>
      <c r="B2091" s="58">
        <f t="shared" si="131"/>
        <v>40778</v>
      </c>
      <c r="C2091" s="59">
        <f t="shared" si="132"/>
        <v>2011</v>
      </c>
      <c r="D2091" s="61">
        <v>12.335699999999999</v>
      </c>
      <c r="E2091" s="61">
        <v>12.2948</v>
      </c>
      <c r="F2091" s="61">
        <v>12.2386</v>
      </c>
      <c r="H2091" s="62" t="s">
        <v>4483</v>
      </c>
      <c r="I2091" s="58">
        <f t="shared" si="130"/>
        <v>45526</v>
      </c>
      <c r="J2091" s="60">
        <f t="shared" si="133"/>
        <v>2024</v>
      </c>
      <c r="K2091" s="64">
        <v>19.423500000000001</v>
      </c>
      <c r="L2091" s="64">
        <v>19.253499999999999</v>
      </c>
      <c r="M2091" s="64">
        <v>18.944800000000001</v>
      </c>
    </row>
    <row r="2092" spans="1:13">
      <c r="A2092" s="65" t="s">
        <v>4484</v>
      </c>
      <c r="B2092" s="66">
        <f t="shared" si="131"/>
        <v>40779</v>
      </c>
      <c r="C2092" s="67">
        <f t="shared" si="132"/>
        <v>2011</v>
      </c>
      <c r="D2092" s="68">
        <v>12.395200000000001</v>
      </c>
      <c r="E2092" s="68">
        <v>12.335699999999999</v>
      </c>
      <c r="F2092" s="68">
        <v>12.2948</v>
      </c>
      <c r="H2092" s="69" t="s">
        <v>4485</v>
      </c>
      <c r="I2092" s="66">
        <f t="shared" si="130"/>
        <v>45527</v>
      </c>
      <c r="J2092" s="70">
        <f t="shared" si="133"/>
        <v>2024</v>
      </c>
      <c r="K2092" s="71">
        <v>19.070799999999998</v>
      </c>
      <c r="L2092" s="71">
        <v>19.423500000000001</v>
      </c>
      <c r="M2092" s="71">
        <v>19.253499999999999</v>
      </c>
    </row>
    <row r="2093" spans="1:13">
      <c r="A2093" s="57" t="s">
        <v>4486</v>
      </c>
      <c r="B2093" s="58">
        <f t="shared" si="131"/>
        <v>40780</v>
      </c>
      <c r="C2093" s="59">
        <f t="shared" si="132"/>
        <v>2011</v>
      </c>
      <c r="D2093" s="61">
        <v>12.4259</v>
      </c>
      <c r="E2093" s="61">
        <v>12.395200000000001</v>
      </c>
      <c r="F2093" s="61">
        <v>12.335699999999999</v>
      </c>
      <c r="H2093" s="62" t="s">
        <v>4487</v>
      </c>
      <c r="I2093" s="58">
        <f t="shared" si="130"/>
        <v>45528</v>
      </c>
      <c r="J2093" s="60">
        <f t="shared" si="133"/>
        <v>2024</v>
      </c>
      <c r="K2093" s="63" t="s">
        <v>362</v>
      </c>
      <c r="L2093" s="63" t="s">
        <v>362</v>
      </c>
      <c r="M2093" s="64">
        <v>19.423500000000001</v>
      </c>
    </row>
    <row r="2094" spans="1:13">
      <c r="A2094" s="65" t="s">
        <v>4488</v>
      </c>
      <c r="B2094" s="66">
        <f t="shared" si="131"/>
        <v>40781</v>
      </c>
      <c r="C2094" s="67">
        <f t="shared" si="132"/>
        <v>2011</v>
      </c>
      <c r="D2094" s="68">
        <v>12.4953</v>
      </c>
      <c r="E2094" s="68">
        <v>12.4259</v>
      </c>
      <c r="F2094" s="68">
        <v>12.395200000000001</v>
      </c>
      <c r="H2094" s="69" t="s">
        <v>4489</v>
      </c>
      <c r="I2094" s="66">
        <f t="shared" si="130"/>
        <v>45529</v>
      </c>
      <c r="J2094" s="70">
        <f t="shared" si="133"/>
        <v>2024</v>
      </c>
      <c r="K2094" s="72" t="s">
        <v>362</v>
      </c>
      <c r="L2094" s="72" t="s">
        <v>362</v>
      </c>
      <c r="M2094" s="71">
        <v>19.423500000000001</v>
      </c>
    </row>
    <row r="2095" spans="1:13">
      <c r="A2095" s="57" t="s">
        <v>4490</v>
      </c>
      <c r="B2095" s="58">
        <f t="shared" si="131"/>
        <v>40782</v>
      </c>
      <c r="C2095" s="59">
        <f t="shared" si="132"/>
        <v>2011</v>
      </c>
      <c r="D2095" s="60" t="s">
        <v>362</v>
      </c>
      <c r="E2095" s="60" t="s">
        <v>362</v>
      </c>
      <c r="F2095" s="61">
        <v>12.4259</v>
      </c>
      <c r="H2095" s="62" t="s">
        <v>4491</v>
      </c>
      <c r="I2095" s="58">
        <f t="shared" si="130"/>
        <v>45530</v>
      </c>
      <c r="J2095" s="60">
        <f t="shared" si="133"/>
        <v>2024</v>
      </c>
      <c r="K2095" s="64">
        <v>19.382000000000001</v>
      </c>
      <c r="L2095" s="64">
        <v>19.070799999999998</v>
      </c>
      <c r="M2095" s="64">
        <v>19.423500000000001</v>
      </c>
    </row>
    <row r="2096" spans="1:13">
      <c r="A2096" s="65" t="s">
        <v>4492</v>
      </c>
      <c r="B2096" s="66">
        <f t="shared" si="131"/>
        <v>40783</v>
      </c>
      <c r="C2096" s="67">
        <f t="shared" si="132"/>
        <v>2011</v>
      </c>
      <c r="D2096" s="70" t="s">
        <v>362</v>
      </c>
      <c r="E2096" s="70" t="s">
        <v>362</v>
      </c>
      <c r="F2096" s="68">
        <v>12.4259</v>
      </c>
      <c r="H2096" s="69" t="s">
        <v>4493</v>
      </c>
      <c r="I2096" s="66">
        <f t="shared" si="130"/>
        <v>45531</v>
      </c>
      <c r="J2096" s="70">
        <f t="shared" si="133"/>
        <v>2024</v>
      </c>
      <c r="K2096" s="71">
        <v>19.6692</v>
      </c>
      <c r="L2096" s="71">
        <v>19.382000000000001</v>
      </c>
      <c r="M2096" s="71">
        <v>19.070799999999998</v>
      </c>
    </row>
    <row r="2097" spans="1:13">
      <c r="A2097" s="57" t="s">
        <v>4494</v>
      </c>
      <c r="B2097" s="58">
        <f t="shared" si="131"/>
        <v>40784</v>
      </c>
      <c r="C2097" s="59">
        <f t="shared" si="132"/>
        <v>2011</v>
      </c>
      <c r="D2097" s="61">
        <v>12.4148</v>
      </c>
      <c r="E2097" s="61">
        <v>12.4953</v>
      </c>
      <c r="F2097" s="61">
        <v>12.4259</v>
      </c>
      <c r="H2097" s="62" t="s">
        <v>4495</v>
      </c>
      <c r="I2097" s="58">
        <f t="shared" si="130"/>
        <v>45532</v>
      </c>
      <c r="J2097" s="60">
        <f t="shared" si="133"/>
        <v>2024</v>
      </c>
      <c r="K2097" s="64">
        <v>19.6037</v>
      </c>
      <c r="L2097" s="64">
        <v>19.6692</v>
      </c>
      <c r="M2097" s="64">
        <v>19.382000000000001</v>
      </c>
    </row>
    <row r="2098" spans="1:13">
      <c r="A2098" s="65" t="s">
        <v>4496</v>
      </c>
      <c r="B2098" s="66">
        <f t="shared" si="131"/>
        <v>40785</v>
      </c>
      <c r="C2098" s="67">
        <f t="shared" si="132"/>
        <v>2011</v>
      </c>
      <c r="D2098" s="68">
        <v>12.4838</v>
      </c>
      <c r="E2098" s="68">
        <v>12.4148</v>
      </c>
      <c r="F2098" s="68">
        <v>12.4953</v>
      </c>
      <c r="H2098" s="69" t="s">
        <v>4497</v>
      </c>
      <c r="I2098" s="66">
        <f t="shared" si="130"/>
        <v>45533</v>
      </c>
      <c r="J2098" s="70">
        <f t="shared" si="133"/>
        <v>2024</v>
      </c>
      <c r="K2098" s="71">
        <v>19.816800000000001</v>
      </c>
      <c r="L2098" s="71">
        <v>19.6037</v>
      </c>
      <c r="M2098" s="71">
        <v>19.6692</v>
      </c>
    </row>
    <row r="2099" spans="1:13">
      <c r="A2099" s="57" t="s">
        <v>4498</v>
      </c>
      <c r="B2099" s="58">
        <f t="shared" si="131"/>
        <v>40786</v>
      </c>
      <c r="C2099" s="59">
        <f t="shared" si="132"/>
        <v>2011</v>
      </c>
      <c r="D2099" s="61">
        <v>12.348000000000001</v>
      </c>
      <c r="E2099" s="61">
        <v>12.4838</v>
      </c>
      <c r="F2099" s="61">
        <v>12.4148</v>
      </c>
      <c r="H2099" s="62" t="s">
        <v>4499</v>
      </c>
      <c r="I2099" s="58">
        <f t="shared" si="130"/>
        <v>45534</v>
      </c>
      <c r="J2099" s="60">
        <f t="shared" si="133"/>
        <v>2024</v>
      </c>
      <c r="K2099" s="64">
        <v>19.653500000000001</v>
      </c>
      <c r="L2099" s="64">
        <v>19.816800000000001</v>
      </c>
      <c r="M2099" s="64">
        <v>19.6037</v>
      </c>
    </row>
    <row r="2100" spans="1:13">
      <c r="A2100" s="65" t="s">
        <v>4500</v>
      </c>
      <c r="B2100" s="66">
        <f t="shared" si="131"/>
        <v>40787</v>
      </c>
      <c r="C2100" s="67">
        <f t="shared" si="132"/>
        <v>2011</v>
      </c>
      <c r="D2100" s="68">
        <v>12.2616</v>
      </c>
      <c r="E2100" s="68">
        <v>12.348000000000001</v>
      </c>
      <c r="F2100" s="68">
        <v>12.4838</v>
      </c>
      <c r="H2100" s="69" t="s">
        <v>4501</v>
      </c>
      <c r="I2100" s="66">
        <f t="shared" si="130"/>
        <v>45535</v>
      </c>
      <c r="J2100" s="70">
        <f t="shared" si="133"/>
        <v>2024</v>
      </c>
      <c r="K2100" s="72" t="s">
        <v>362</v>
      </c>
      <c r="L2100" s="72" t="s">
        <v>362</v>
      </c>
      <c r="M2100" s="71">
        <v>19.816800000000001</v>
      </c>
    </row>
    <row r="2101" spans="1:13">
      <c r="A2101" s="57" t="s">
        <v>4502</v>
      </c>
      <c r="B2101" s="58">
        <f t="shared" si="131"/>
        <v>40788</v>
      </c>
      <c r="C2101" s="59">
        <f t="shared" si="132"/>
        <v>2011</v>
      </c>
      <c r="D2101" s="61">
        <v>12.3735</v>
      </c>
      <c r="E2101" s="61">
        <v>12.2616</v>
      </c>
      <c r="F2101" s="61">
        <v>12.348000000000001</v>
      </c>
      <c r="H2101" s="62" t="s">
        <v>4503</v>
      </c>
      <c r="I2101" s="58">
        <f t="shared" si="130"/>
        <v>45536</v>
      </c>
      <c r="J2101" s="60">
        <f t="shared" si="133"/>
        <v>2024</v>
      </c>
      <c r="K2101" s="63" t="s">
        <v>362</v>
      </c>
      <c r="L2101" s="63" t="s">
        <v>362</v>
      </c>
      <c r="M2101" s="64">
        <v>19.816800000000001</v>
      </c>
    </row>
    <row r="2102" spans="1:13">
      <c r="A2102" s="65" t="s">
        <v>4504</v>
      </c>
      <c r="B2102" s="66">
        <f t="shared" si="131"/>
        <v>40789</v>
      </c>
      <c r="C2102" s="67">
        <f t="shared" si="132"/>
        <v>2011</v>
      </c>
      <c r="D2102" s="70" t="s">
        <v>362</v>
      </c>
      <c r="E2102" s="70" t="s">
        <v>362</v>
      </c>
      <c r="F2102" s="68">
        <v>12.2616</v>
      </c>
      <c r="H2102" s="69" t="s">
        <v>4505</v>
      </c>
      <c r="I2102" s="66">
        <f t="shared" si="130"/>
        <v>45537</v>
      </c>
      <c r="J2102" s="70">
        <f t="shared" si="133"/>
        <v>2024</v>
      </c>
      <c r="K2102" s="71">
        <v>19.797999999999998</v>
      </c>
      <c r="L2102" s="71">
        <v>19.653500000000001</v>
      </c>
      <c r="M2102" s="71">
        <v>19.816800000000001</v>
      </c>
    </row>
    <row r="2103" spans="1:13">
      <c r="A2103" s="57" t="s">
        <v>4506</v>
      </c>
      <c r="B2103" s="58">
        <f t="shared" si="131"/>
        <v>40790</v>
      </c>
      <c r="C2103" s="59">
        <f t="shared" si="132"/>
        <v>2011</v>
      </c>
      <c r="D2103" s="60" t="s">
        <v>362</v>
      </c>
      <c r="E2103" s="60" t="s">
        <v>362</v>
      </c>
      <c r="F2103" s="61">
        <v>12.2616</v>
      </c>
      <c r="H2103" s="62" t="s">
        <v>4507</v>
      </c>
      <c r="I2103" s="58">
        <f t="shared" si="130"/>
        <v>45538</v>
      </c>
      <c r="J2103" s="60">
        <f t="shared" si="133"/>
        <v>2024</v>
      </c>
      <c r="K2103" s="64">
        <v>19.833500000000001</v>
      </c>
      <c r="L2103" s="64">
        <v>19.797999999999998</v>
      </c>
      <c r="M2103" s="64">
        <v>19.653500000000001</v>
      </c>
    </row>
    <row r="2104" spans="1:13">
      <c r="A2104" s="65" t="s">
        <v>4508</v>
      </c>
      <c r="B2104" s="66">
        <f t="shared" si="131"/>
        <v>40791</v>
      </c>
      <c r="C2104" s="67">
        <f t="shared" si="132"/>
        <v>2011</v>
      </c>
      <c r="D2104" s="68">
        <v>12.535299999999999</v>
      </c>
      <c r="E2104" s="68">
        <v>12.3735</v>
      </c>
      <c r="F2104" s="68">
        <v>12.2616</v>
      </c>
      <c r="H2104" s="69" t="s">
        <v>4509</v>
      </c>
      <c r="I2104" s="66">
        <f t="shared" si="130"/>
        <v>45539</v>
      </c>
      <c r="J2104" s="70">
        <f t="shared" si="133"/>
        <v>2024</v>
      </c>
      <c r="K2104" s="71">
        <v>19.846</v>
      </c>
      <c r="L2104" s="71">
        <v>19.833500000000001</v>
      </c>
      <c r="M2104" s="71">
        <v>19.797999999999998</v>
      </c>
    </row>
    <row r="2105" spans="1:13">
      <c r="A2105" s="57" t="s">
        <v>4510</v>
      </c>
      <c r="B2105" s="58">
        <f t="shared" si="131"/>
        <v>40792</v>
      </c>
      <c r="C2105" s="59">
        <f t="shared" si="132"/>
        <v>2011</v>
      </c>
      <c r="D2105" s="61">
        <v>12.510199999999999</v>
      </c>
      <c r="E2105" s="61">
        <v>12.535299999999999</v>
      </c>
      <c r="F2105" s="61">
        <v>12.3735</v>
      </c>
      <c r="H2105" s="62" t="s">
        <v>4511</v>
      </c>
      <c r="I2105" s="58">
        <f t="shared" si="130"/>
        <v>45540</v>
      </c>
      <c r="J2105" s="60">
        <f t="shared" si="133"/>
        <v>2024</v>
      </c>
      <c r="K2105" s="64">
        <v>20.002800000000001</v>
      </c>
      <c r="L2105" s="64">
        <v>19.846</v>
      </c>
      <c r="M2105" s="64">
        <v>19.833500000000001</v>
      </c>
    </row>
    <row r="2106" spans="1:13">
      <c r="A2106" s="65" t="s">
        <v>4512</v>
      </c>
      <c r="B2106" s="66">
        <f t="shared" si="131"/>
        <v>40793</v>
      </c>
      <c r="C2106" s="67">
        <f t="shared" si="132"/>
        <v>2011</v>
      </c>
      <c r="D2106" s="68">
        <v>12.466100000000001</v>
      </c>
      <c r="E2106" s="68">
        <v>12.510199999999999</v>
      </c>
      <c r="F2106" s="68">
        <v>12.535299999999999</v>
      </c>
      <c r="H2106" s="69" t="s">
        <v>4513</v>
      </c>
      <c r="I2106" s="66">
        <f t="shared" si="130"/>
        <v>45541</v>
      </c>
      <c r="J2106" s="70">
        <f t="shared" si="133"/>
        <v>2024</v>
      </c>
      <c r="K2106" s="71">
        <v>20.017199999999999</v>
      </c>
      <c r="L2106" s="71">
        <v>20.002800000000001</v>
      </c>
      <c r="M2106" s="71">
        <v>19.846</v>
      </c>
    </row>
    <row r="2107" spans="1:13">
      <c r="A2107" s="57" t="s">
        <v>4514</v>
      </c>
      <c r="B2107" s="58">
        <f t="shared" si="131"/>
        <v>40794</v>
      </c>
      <c r="C2107" s="59">
        <f t="shared" si="132"/>
        <v>2011</v>
      </c>
      <c r="D2107" s="61">
        <v>12.4956</v>
      </c>
      <c r="E2107" s="61">
        <v>12.466100000000001</v>
      </c>
      <c r="F2107" s="61">
        <v>12.510199999999999</v>
      </c>
      <c r="H2107" s="62" t="s">
        <v>4515</v>
      </c>
      <c r="I2107" s="58">
        <f t="shared" si="130"/>
        <v>45542</v>
      </c>
      <c r="J2107" s="60">
        <f t="shared" si="133"/>
        <v>2024</v>
      </c>
      <c r="K2107" s="63" t="s">
        <v>362</v>
      </c>
      <c r="L2107" s="63" t="s">
        <v>362</v>
      </c>
      <c r="M2107" s="64">
        <v>20.002800000000001</v>
      </c>
    </row>
    <row r="2108" spans="1:13">
      <c r="A2108" s="65" t="s">
        <v>4516</v>
      </c>
      <c r="B2108" s="66">
        <f t="shared" si="131"/>
        <v>40795</v>
      </c>
      <c r="C2108" s="67">
        <f t="shared" si="132"/>
        <v>2011</v>
      </c>
      <c r="D2108" s="68">
        <v>12.632400000000001</v>
      </c>
      <c r="E2108" s="68">
        <v>12.4956</v>
      </c>
      <c r="F2108" s="68">
        <v>12.466100000000001</v>
      </c>
      <c r="H2108" s="69" t="s">
        <v>4517</v>
      </c>
      <c r="I2108" s="66">
        <f t="shared" ref="I2108:I2171" si="134">I2107+1</f>
        <v>45543</v>
      </c>
      <c r="J2108" s="70">
        <f t="shared" si="133"/>
        <v>2024</v>
      </c>
      <c r="K2108" s="72" t="s">
        <v>362</v>
      </c>
      <c r="L2108" s="72" t="s">
        <v>362</v>
      </c>
      <c r="M2108" s="71">
        <v>20.002800000000001</v>
      </c>
    </row>
    <row r="2109" spans="1:13">
      <c r="A2109" s="57" t="s">
        <v>4518</v>
      </c>
      <c r="B2109" s="58">
        <f t="shared" si="131"/>
        <v>40796</v>
      </c>
      <c r="C2109" s="59">
        <f t="shared" si="132"/>
        <v>2011</v>
      </c>
      <c r="D2109" s="60" t="s">
        <v>362</v>
      </c>
      <c r="E2109" s="60" t="s">
        <v>362</v>
      </c>
      <c r="F2109" s="61">
        <v>12.4956</v>
      </c>
      <c r="H2109" s="62" t="s">
        <v>4519</v>
      </c>
      <c r="I2109" s="58">
        <f t="shared" si="134"/>
        <v>45544</v>
      </c>
      <c r="J2109" s="60">
        <f t="shared" si="133"/>
        <v>2024</v>
      </c>
      <c r="K2109" s="64">
        <v>19.879799999999999</v>
      </c>
      <c r="L2109" s="64">
        <v>20.017199999999999</v>
      </c>
      <c r="M2109" s="64">
        <v>20.002800000000001</v>
      </c>
    </row>
    <row r="2110" spans="1:13">
      <c r="A2110" s="65" t="s">
        <v>4520</v>
      </c>
      <c r="B2110" s="66">
        <f t="shared" si="131"/>
        <v>40797</v>
      </c>
      <c r="C2110" s="67">
        <f t="shared" si="132"/>
        <v>2011</v>
      </c>
      <c r="D2110" s="70" t="s">
        <v>362</v>
      </c>
      <c r="E2110" s="70" t="s">
        <v>362</v>
      </c>
      <c r="F2110" s="68">
        <v>12.4956</v>
      </c>
      <c r="H2110" s="69" t="s">
        <v>4521</v>
      </c>
      <c r="I2110" s="66">
        <f t="shared" si="134"/>
        <v>45545</v>
      </c>
      <c r="J2110" s="70">
        <f t="shared" si="133"/>
        <v>2024</v>
      </c>
      <c r="K2110" s="71">
        <v>20.058299999999999</v>
      </c>
      <c r="L2110" s="71">
        <v>19.879799999999999</v>
      </c>
      <c r="M2110" s="71">
        <v>20.017199999999999</v>
      </c>
    </row>
    <row r="2111" spans="1:13">
      <c r="A2111" s="57" t="s">
        <v>4522</v>
      </c>
      <c r="B2111" s="58">
        <f t="shared" si="131"/>
        <v>40798</v>
      </c>
      <c r="C2111" s="59">
        <f t="shared" si="132"/>
        <v>2011</v>
      </c>
      <c r="D2111" s="61">
        <v>12.768700000000001</v>
      </c>
      <c r="E2111" s="61">
        <v>12.632400000000001</v>
      </c>
      <c r="F2111" s="61">
        <v>12.4956</v>
      </c>
      <c r="H2111" s="62" t="s">
        <v>4523</v>
      </c>
      <c r="I2111" s="58">
        <f t="shared" si="134"/>
        <v>45546</v>
      </c>
      <c r="J2111" s="60">
        <f t="shared" si="133"/>
        <v>2024</v>
      </c>
      <c r="K2111" s="64">
        <v>19.838999999999999</v>
      </c>
      <c r="L2111" s="64">
        <v>20.058299999999999</v>
      </c>
      <c r="M2111" s="64">
        <v>19.879799999999999</v>
      </c>
    </row>
    <row r="2112" spans="1:13">
      <c r="A2112" s="65" t="s">
        <v>4524</v>
      </c>
      <c r="B2112" s="66">
        <f t="shared" si="131"/>
        <v>40799</v>
      </c>
      <c r="C2112" s="67">
        <f t="shared" si="132"/>
        <v>2011</v>
      </c>
      <c r="D2112" s="68">
        <v>12.8994</v>
      </c>
      <c r="E2112" s="68">
        <v>12.768700000000001</v>
      </c>
      <c r="F2112" s="68">
        <v>12.632400000000001</v>
      </c>
      <c r="H2112" s="69" t="s">
        <v>4525</v>
      </c>
      <c r="I2112" s="66">
        <f t="shared" si="134"/>
        <v>45547</v>
      </c>
      <c r="J2112" s="70">
        <f t="shared" si="133"/>
        <v>2024</v>
      </c>
      <c r="K2112" s="71">
        <v>19.588699999999999</v>
      </c>
      <c r="L2112" s="71">
        <v>19.838999999999999</v>
      </c>
      <c r="M2112" s="71">
        <v>20.058299999999999</v>
      </c>
    </row>
    <row r="2113" spans="1:13">
      <c r="A2113" s="57" t="s">
        <v>4526</v>
      </c>
      <c r="B2113" s="58">
        <f t="shared" si="131"/>
        <v>40800</v>
      </c>
      <c r="C2113" s="59">
        <f t="shared" si="132"/>
        <v>2011</v>
      </c>
      <c r="D2113" s="61">
        <v>12.964600000000001</v>
      </c>
      <c r="E2113" s="61">
        <v>12.8994</v>
      </c>
      <c r="F2113" s="61">
        <v>12.768700000000001</v>
      </c>
      <c r="H2113" s="62" t="s">
        <v>4527</v>
      </c>
      <c r="I2113" s="58">
        <f t="shared" si="134"/>
        <v>45548</v>
      </c>
      <c r="J2113" s="60">
        <f t="shared" si="133"/>
        <v>2024</v>
      </c>
      <c r="K2113" s="64">
        <v>19.2483</v>
      </c>
      <c r="L2113" s="64">
        <v>19.588699999999999</v>
      </c>
      <c r="M2113" s="64">
        <v>19.838999999999999</v>
      </c>
    </row>
    <row r="2114" spans="1:13">
      <c r="A2114" s="65" t="s">
        <v>4528</v>
      </c>
      <c r="B2114" s="66">
        <f t="shared" si="131"/>
        <v>40801</v>
      </c>
      <c r="C2114" s="67">
        <f t="shared" si="132"/>
        <v>2011</v>
      </c>
      <c r="D2114" s="68">
        <v>12.912699999999999</v>
      </c>
      <c r="E2114" s="68">
        <v>12.964600000000001</v>
      </c>
      <c r="F2114" s="68">
        <v>12.8994</v>
      </c>
      <c r="H2114" s="69" t="s">
        <v>4529</v>
      </c>
      <c r="I2114" s="66">
        <f t="shared" si="134"/>
        <v>45549</v>
      </c>
      <c r="J2114" s="70">
        <f t="shared" si="133"/>
        <v>2024</v>
      </c>
      <c r="K2114" s="72" t="s">
        <v>362</v>
      </c>
      <c r="L2114" s="72" t="s">
        <v>362</v>
      </c>
      <c r="M2114" s="71">
        <v>19.588699999999999</v>
      </c>
    </row>
    <row r="2115" spans="1:13">
      <c r="A2115" s="57" t="s">
        <v>4530</v>
      </c>
      <c r="B2115" s="58">
        <f t="shared" si="131"/>
        <v>40802</v>
      </c>
      <c r="C2115" s="59">
        <f t="shared" si="132"/>
        <v>2011</v>
      </c>
      <c r="D2115" s="60" t="s">
        <v>362</v>
      </c>
      <c r="E2115" s="60" t="s">
        <v>362</v>
      </c>
      <c r="F2115" s="61">
        <v>12.964600000000001</v>
      </c>
      <c r="H2115" s="62" t="s">
        <v>4531</v>
      </c>
      <c r="I2115" s="58">
        <f t="shared" si="134"/>
        <v>45550</v>
      </c>
      <c r="J2115" s="60">
        <f t="shared" si="133"/>
        <v>2024</v>
      </c>
      <c r="K2115" s="63" t="s">
        <v>362</v>
      </c>
      <c r="L2115" s="63" t="s">
        <v>362</v>
      </c>
      <c r="M2115" s="64">
        <v>19.588699999999999</v>
      </c>
    </row>
    <row r="2116" spans="1:13">
      <c r="A2116" s="65" t="s">
        <v>4532</v>
      </c>
      <c r="B2116" s="66">
        <f t="shared" si="131"/>
        <v>40803</v>
      </c>
      <c r="C2116" s="67">
        <f t="shared" si="132"/>
        <v>2011</v>
      </c>
      <c r="D2116" s="70" t="s">
        <v>362</v>
      </c>
      <c r="E2116" s="70" t="s">
        <v>362</v>
      </c>
      <c r="F2116" s="68">
        <v>12.964600000000001</v>
      </c>
      <c r="H2116" s="69" t="s">
        <v>4533</v>
      </c>
      <c r="I2116" s="66">
        <f t="shared" si="134"/>
        <v>45551</v>
      </c>
      <c r="J2116" s="70">
        <f t="shared" si="133"/>
        <v>2024</v>
      </c>
      <c r="K2116" s="72" t="s">
        <v>362</v>
      </c>
      <c r="L2116" s="72" t="s">
        <v>362</v>
      </c>
      <c r="M2116" s="71">
        <v>19.588699999999999</v>
      </c>
    </row>
    <row r="2117" spans="1:13">
      <c r="A2117" s="57" t="s">
        <v>4534</v>
      </c>
      <c r="B2117" s="58">
        <f t="shared" si="131"/>
        <v>40804</v>
      </c>
      <c r="C2117" s="59">
        <f t="shared" si="132"/>
        <v>2011</v>
      </c>
      <c r="D2117" s="60" t="s">
        <v>362</v>
      </c>
      <c r="E2117" s="60" t="s">
        <v>362</v>
      </c>
      <c r="F2117" s="61">
        <v>12.964600000000001</v>
      </c>
      <c r="H2117" s="62" t="s">
        <v>4535</v>
      </c>
      <c r="I2117" s="58">
        <f t="shared" si="134"/>
        <v>45552</v>
      </c>
      <c r="J2117" s="60">
        <f t="shared" si="133"/>
        <v>2024</v>
      </c>
      <c r="K2117" s="64">
        <v>19.266999999999999</v>
      </c>
      <c r="L2117" s="64">
        <v>19.2483</v>
      </c>
      <c r="M2117" s="64">
        <v>19.588699999999999</v>
      </c>
    </row>
    <row r="2118" spans="1:13">
      <c r="A2118" s="65" t="s">
        <v>4536</v>
      </c>
      <c r="B2118" s="66">
        <f t="shared" si="131"/>
        <v>40805</v>
      </c>
      <c r="C2118" s="67">
        <f t="shared" si="132"/>
        <v>2011</v>
      </c>
      <c r="D2118" s="68">
        <v>13.186</v>
      </c>
      <c r="E2118" s="68">
        <v>12.912699999999999</v>
      </c>
      <c r="F2118" s="68">
        <v>12.964600000000001</v>
      </c>
      <c r="H2118" s="69" t="s">
        <v>4537</v>
      </c>
      <c r="I2118" s="66">
        <f t="shared" si="134"/>
        <v>45553</v>
      </c>
      <c r="J2118" s="70">
        <f t="shared" si="133"/>
        <v>2024</v>
      </c>
      <c r="K2118" s="71">
        <v>19.3033</v>
      </c>
      <c r="L2118" s="71">
        <v>19.266999999999999</v>
      </c>
      <c r="M2118" s="71">
        <v>19.2483</v>
      </c>
    </row>
    <row r="2119" spans="1:13">
      <c r="A2119" s="57" t="s">
        <v>4538</v>
      </c>
      <c r="B2119" s="58">
        <f t="shared" si="131"/>
        <v>40806</v>
      </c>
      <c r="C2119" s="59">
        <f t="shared" si="132"/>
        <v>2011</v>
      </c>
      <c r="D2119" s="61">
        <v>13.1669</v>
      </c>
      <c r="E2119" s="61">
        <v>13.186</v>
      </c>
      <c r="F2119" s="61">
        <v>12.912699999999999</v>
      </c>
      <c r="H2119" s="62" t="s">
        <v>4539</v>
      </c>
      <c r="I2119" s="58">
        <f t="shared" si="134"/>
        <v>45554</v>
      </c>
      <c r="J2119" s="60">
        <f t="shared" si="133"/>
        <v>2024</v>
      </c>
      <c r="K2119" s="64">
        <v>19.2773</v>
      </c>
      <c r="L2119" s="64">
        <v>19.3033</v>
      </c>
      <c r="M2119" s="64">
        <v>19.266999999999999</v>
      </c>
    </row>
    <row r="2120" spans="1:13">
      <c r="A2120" s="65" t="s">
        <v>4540</v>
      </c>
      <c r="B2120" s="66">
        <f t="shared" si="131"/>
        <v>40807</v>
      </c>
      <c r="C2120" s="67">
        <f t="shared" si="132"/>
        <v>2011</v>
      </c>
      <c r="D2120" s="68">
        <v>13.404500000000001</v>
      </c>
      <c r="E2120" s="68">
        <v>13.1669</v>
      </c>
      <c r="F2120" s="68">
        <v>13.186</v>
      </c>
      <c r="H2120" s="69" t="s">
        <v>4541</v>
      </c>
      <c r="I2120" s="66">
        <f t="shared" si="134"/>
        <v>45555</v>
      </c>
      <c r="J2120" s="70">
        <f t="shared" si="133"/>
        <v>2024</v>
      </c>
      <c r="K2120" s="71">
        <v>19.372499999999999</v>
      </c>
      <c r="L2120" s="71">
        <v>19.2773</v>
      </c>
      <c r="M2120" s="71">
        <v>19.3033</v>
      </c>
    </row>
    <row r="2121" spans="1:13">
      <c r="A2121" s="57" t="s">
        <v>4542</v>
      </c>
      <c r="B2121" s="58">
        <f t="shared" si="131"/>
        <v>40808</v>
      </c>
      <c r="C2121" s="59">
        <f t="shared" si="132"/>
        <v>2011</v>
      </c>
      <c r="D2121" s="61">
        <v>13.8917</v>
      </c>
      <c r="E2121" s="61">
        <v>13.404500000000001</v>
      </c>
      <c r="F2121" s="61">
        <v>13.1669</v>
      </c>
      <c r="H2121" s="62" t="s">
        <v>4543</v>
      </c>
      <c r="I2121" s="58">
        <f t="shared" si="134"/>
        <v>45556</v>
      </c>
      <c r="J2121" s="60">
        <f t="shared" si="133"/>
        <v>2024</v>
      </c>
      <c r="K2121" s="63" t="s">
        <v>362</v>
      </c>
      <c r="L2121" s="63" t="s">
        <v>362</v>
      </c>
      <c r="M2121" s="64">
        <v>19.2773</v>
      </c>
    </row>
    <row r="2122" spans="1:13">
      <c r="A2122" s="65" t="s">
        <v>4544</v>
      </c>
      <c r="B2122" s="66">
        <f t="shared" si="131"/>
        <v>40809</v>
      </c>
      <c r="C2122" s="67">
        <f t="shared" si="132"/>
        <v>2011</v>
      </c>
      <c r="D2122" s="68">
        <v>13.7788</v>
      </c>
      <c r="E2122" s="68">
        <v>13.8917</v>
      </c>
      <c r="F2122" s="68">
        <v>13.404500000000001</v>
      </c>
      <c r="H2122" s="69" t="s">
        <v>4545</v>
      </c>
      <c r="I2122" s="66">
        <f t="shared" si="134"/>
        <v>45557</v>
      </c>
      <c r="J2122" s="70">
        <f t="shared" si="133"/>
        <v>2024</v>
      </c>
      <c r="K2122" s="72" t="s">
        <v>362</v>
      </c>
      <c r="L2122" s="72" t="s">
        <v>362</v>
      </c>
      <c r="M2122" s="71">
        <v>19.2773</v>
      </c>
    </row>
    <row r="2123" spans="1:13">
      <c r="A2123" s="57" t="s">
        <v>4546</v>
      </c>
      <c r="B2123" s="58">
        <f t="shared" si="131"/>
        <v>40810</v>
      </c>
      <c r="C2123" s="59">
        <f t="shared" si="132"/>
        <v>2011</v>
      </c>
      <c r="D2123" s="60" t="s">
        <v>362</v>
      </c>
      <c r="E2123" s="60" t="s">
        <v>362</v>
      </c>
      <c r="F2123" s="61">
        <v>13.8917</v>
      </c>
      <c r="H2123" s="62" t="s">
        <v>4547</v>
      </c>
      <c r="I2123" s="58">
        <f t="shared" si="134"/>
        <v>45558</v>
      </c>
      <c r="J2123" s="60">
        <f t="shared" si="133"/>
        <v>2024</v>
      </c>
      <c r="K2123" s="64">
        <v>19.414999999999999</v>
      </c>
      <c r="L2123" s="64">
        <v>19.372499999999999</v>
      </c>
      <c r="M2123" s="64">
        <v>19.2773</v>
      </c>
    </row>
    <row r="2124" spans="1:13">
      <c r="A2124" s="65" t="s">
        <v>4548</v>
      </c>
      <c r="B2124" s="66">
        <f t="shared" si="131"/>
        <v>40811</v>
      </c>
      <c r="C2124" s="67">
        <f t="shared" si="132"/>
        <v>2011</v>
      </c>
      <c r="D2124" s="70" t="s">
        <v>362</v>
      </c>
      <c r="E2124" s="70" t="s">
        <v>362</v>
      </c>
      <c r="F2124" s="68">
        <v>13.8917</v>
      </c>
      <c r="H2124" s="69" t="s">
        <v>4549</v>
      </c>
      <c r="I2124" s="66">
        <f t="shared" si="134"/>
        <v>45559</v>
      </c>
      <c r="J2124" s="70">
        <f t="shared" si="133"/>
        <v>2024</v>
      </c>
      <c r="K2124" s="71">
        <v>19.356200000000001</v>
      </c>
      <c r="L2124" s="71">
        <v>19.414999999999999</v>
      </c>
      <c r="M2124" s="71">
        <v>19.372499999999999</v>
      </c>
    </row>
    <row r="2125" spans="1:13">
      <c r="A2125" s="57" t="s">
        <v>4550</v>
      </c>
      <c r="B2125" s="58">
        <f t="shared" si="131"/>
        <v>40812</v>
      </c>
      <c r="C2125" s="59">
        <f t="shared" si="132"/>
        <v>2011</v>
      </c>
      <c r="D2125" s="61">
        <v>13.6677</v>
      </c>
      <c r="E2125" s="61">
        <v>13.7788</v>
      </c>
      <c r="F2125" s="61">
        <v>13.8917</v>
      </c>
      <c r="H2125" s="62" t="s">
        <v>4551</v>
      </c>
      <c r="I2125" s="58">
        <f t="shared" si="134"/>
        <v>45560</v>
      </c>
      <c r="J2125" s="60">
        <f t="shared" si="133"/>
        <v>2024</v>
      </c>
      <c r="K2125" s="64">
        <v>19.587</v>
      </c>
      <c r="L2125" s="64">
        <v>19.356200000000001</v>
      </c>
      <c r="M2125" s="64">
        <v>19.414999999999999</v>
      </c>
    </row>
    <row r="2126" spans="1:13">
      <c r="A2126" s="65" t="s">
        <v>4552</v>
      </c>
      <c r="B2126" s="66">
        <f t="shared" si="131"/>
        <v>40813</v>
      </c>
      <c r="C2126" s="67">
        <f t="shared" si="132"/>
        <v>2011</v>
      </c>
      <c r="D2126" s="68">
        <v>13.3414</v>
      </c>
      <c r="E2126" s="68">
        <v>13.6677</v>
      </c>
      <c r="F2126" s="68">
        <v>13.7788</v>
      </c>
      <c r="H2126" s="69" t="s">
        <v>4553</v>
      </c>
      <c r="I2126" s="66">
        <f t="shared" si="134"/>
        <v>45561</v>
      </c>
      <c r="J2126" s="70">
        <f t="shared" si="133"/>
        <v>2024</v>
      </c>
      <c r="K2126" s="71">
        <v>19.629000000000001</v>
      </c>
      <c r="L2126" s="71">
        <v>19.587</v>
      </c>
      <c r="M2126" s="71">
        <v>19.356200000000001</v>
      </c>
    </row>
    <row r="2127" spans="1:13">
      <c r="A2127" s="57" t="s">
        <v>4554</v>
      </c>
      <c r="B2127" s="58">
        <f t="shared" si="131"/>
        <v>40814</v>
      </c>
      <c r="C2127" s="59">
        <f t="shared" si="132"/>
        <v>2011</v>
      </c>
      <c r="D2127" s="61">
        <v>13.4217</v>
      </c>
      <c r="E2127" s="61">
        <v>13.3414</v>
      </c>
      <c r="F2127" s="61">
        <v>13.6677</v>
      </c>
      <c r="H2127" s="62" t="s">
        <v>4555</v>
      </c>
      <c r="I2127" s="58">
        <f t="shared" si="134"/>
        <v>45562</v>
      </c>
      <c r="J2127" s="60">
        <f t="shared" si="133"/>
        <v>2024</v>
      </c>
      <c r="K2127" s="64">
        <v>19.669699999999999</v>
      </c>
      <c r="L2127" s="64">
        <v>19.629000000000001</v>
      </c>
      <c r="M2127" s="64">
        <v>19.587</v>
      </c>
    </row>
    <row r="2128" spans="1:13">
      <c r="A2128" s="65" t="s">
        <v>4556</v>
      </c>
      <c r="B2128" s="66">
        <f t="shared" si="131"/>
        <v>40815</v>
      </c>
      <c r="C2128" s="67">
        <f t="shared" si="132"/>
        <v>2011</v>
      </c>
      <c r="D2128" s="68">
        <v>13.4567</v>
      </c>
      <c r="E2128" s="68">
        <v>13.4217</v>
      </c>
      <c r="F2128" s="68">
        <v>13.3414</v>
      </c>
      <c r="H2128" s="69" t="s">
        <v>4557</v>
      </c>
      <c r="I2128" s="66">
        <f t="shared" si="134"/>
        <v>45563</v>
      </c>
      <c r="J2128" s="70">
        <f t="shared" si="133"/>
        <v>2024</v>
      </c>
      <c r="K2128" s="72" t="s">
        <v>362</v>
      </c>
      <c r="L2128" s="72" t="s">
        <v>362</v>
      </c>
      <c r="M2128" s="71">
        <v>19.629000000000001</v>
      </c>
    </row>
    <row r="2129" spans="1:13">
      <c r="A2129" s="57" t="s">
        <v>4558</v>
      </c>
      <c r="B2129" s="58">
        <f t="shared" si="131"/>
        <v>40816</v>
      </c>
      <c r="C2129" s="59">
        <f t="shared" si="132"/>
        <v>2011</v>
      </c>
      <c r="D2129" s="61">
        <v>13.7994</v>
      </c>
      <c r="E2129" s="61">
        <v>13.4567</v>
      </c>
      <c r="F2129" s="61">
        <v>13.4217</v>
      </c>
      <c r="H2129" s="62" t="s">
        <v>4559</v>
      </c>
      <c r="I2129" s="58">
        <f t="shared" si="134"/>
        <v>45564</v>
      </c>
      <c r="J2129" s="60">
        <f t="shared" si="133"/>
        <v>2024</v>
      </c>
      <c r="K2129" s="63" t="s">
        <v>362</v>
      </c>
      <c r="L2129" s="63" t="s">
        <v>362</v>
      </c>
      <c r="M2129" s="64">
        <v>19.629000000000001</v>
      </c>
    </row>
    <row r="2130" spans="1:13">
      <c r="A2130" s="65" t="s">
        <v>4560</v>
      </c>
      <c r="B2130" s="66">
        <f t="shared" si="131"/>
        <v>40817</v>
      </c>
      <c r="C2130" s="67">
        <f t="shared" si="132"/>
        <v>2011</v>
      </c>
      <c r="D2130" s="70" t="s">
        <v>362</v>
      </c>
      <c r="E2130" s="70" t="s">
        <v>362</v>
      </c>
      <c r="F2130" s="68">
        <v>13.4567</v>
      </c>
      <c r="H2130" s="69" t="s">
        <v>4561</v>
      </c>
      <c r="I2130" s="66">
        <f t="shared" si="134"/>
        <v>45565</v>
      </c>
      <c r="J2130" s="70">
        <f t="shared" si="133"/>
        <v>2024</v>
      </c>
      <c r="K2130" s="71">
        <v>19.643999999999998</v>
      </c>
      <c r="L2130" s="71">
        <v>19.669699999999999</v>
      </c>
      <c r="M2130" s="71">
        <v>19.629000000000001</v>
      </c>
    </row>
    <row r="2131" spans="1:13">
      <c r="A2131" s="57" t="s">
        <v>4562</v>
      </c>
      <c r="B2131" s="58">
        <f t="shared" si="131"/>
        <v>40818</v>
      </c>
      <c r="C2131" s="59">
        <f t="shared" si="132"/>
        <v>2011</v>
      </c>
      <c r="D2131" s="60" t="s">
        <v>362</v>
      </c>
      <c r="E2131" s="60" t="s">
        <v>362</v>
      </c>
      <c r="F2131" s="61">
        <v>13.4567</v>
      </c>
      <c r="H2131" s="62" t="s">
        <v>4563</v>
      </c>
      <c r="I2131" s="58">
        <f t="shared" si="134"/>
        <v>45566</v>
      </c>
      <c r="J2131" s="60">
        <f t="shared" si="133"/>
        <v>2024</v>
      </c>
      <c r="K2131" s="63" t="s">
        <v>362</v>
      </c>
      <c r="L2131" s="63" t="s">
        <v>362</v>
      </c>
      <c r="M2131" s="64">
        <v>19.669699999999999</v>
      </c>
    </row>
    <row r="2132" spans="1:13">
      <c r="A2132" s="65" t="s">
        <v>4564</v>
      </c>
      <c r="B2132" s="66">
        <f t="shared" si="131"/>
        <v>40819</v>
      </c>
      <c r="C2132" s="67">
        <f t="shared" si="132"/>
        <v>2011</v>
      </c>
      <c r="D2132" s="68">
        <v>13.896699999999999</v>
      </c>
      <c r="E2132" s="68">
        <v>13.7994</v>
      </c>
      <c r="F2132" s="68">
        <v>13.4567</v>
      </c>
      <c r="H2132" s="69" t="s">
        <v>4565</v>
      </c>
      <c r="I2132" s="66">
        <f t="shared" si="134"/>
        <v>45567</v>
      </c>
      <c r="J2132" s="70">
        <f t="shared" si="133"/>
        <v>2024</v>
      </c>
      <c r="K2132" s="71">
        <v>19.388500000000001</v>
      </c>
      <c r="L2132" s="71">
        <v>19.643999999999998</v>
      </c>
      <c r="M2132" s="71">
        <v>19.669699999999999</v>
      </c>
    </row>
    <row r="2133" spans="1:13">
      <c r="A2133" s="57" t="s">
        <v>4566</v>
      </c>
      <c r="B2133" s="58">
        <f t="shared" si="131"/>
        <v>40820</v>
      </c>
      <c r="C2133" s="59">
        <f t="shared" si="132"/>
        <v>2011</v>
      </c>
      <c r="D2133" s="61">
        <v>13.971399999999999</v>
      </c>
      <c r="E2133" s="61">
        <v>13.896699999999999</v>
      </c>
      <c r="F2133" s="61">
        <v>13.7994</v>
      </c>
      <c r="H2133" s="62" t="s">
        <v>4567</v>
      </c>
      <c r="I2133" s="58">
        <f t="shared" si="134"/>
        <v>45568</v>
      </c>
      <c r="J2133" s="60">
        <f t="shared" si="133"/>
        <v>2024</v>
      </c>
      <c r="K2133" s="64">
        <v>19.4678</v>
      </c>
      <c r="L2133" s="64">
        <v>19.388500000000001</v>
      </c>
      <c r="M2133" s="64">
        <v>19.643999999999998</v>
      </c>
    </row>
    <row r="2134" spans="1:13">
      <c r="A2134" s="65" t="s">
        <v>4568</v>
      </c>
      <c r="B2134" s="66">
        <f t="shared" si="131"/>
        <v>40821</v>
      </c>
      <c r="C2134" s="67">
        <f t="shared" si="132"/>
        <v>2011</v>
      </c>
      <c r="D2134" s="68">
        <v>13.6675</v>
      </c>
      <c r="E2134" s="68">
        <v>13.971399999999999</v>
      </c>
      <c r="F2134" s="68">
        <v>13.896699999999999</v>
      </c>
      <c r="H2134" s="69" t="s">
        <v>4569</v>
      </c>
      <c r="I2134" s="66">
        <f t="shared" si="134"/>
        <v>45569</v>
      </c>
      <c r="J2134" s="70">
        <f t="shared" si="133"/>
        <v>2024</v>
      </c>
      <c r="K2134" s="71">
        <v>19.212700000000002</v>
      </c>
      <c r="L2134" s="71">
        <v>19.4678</v>
      </c>
      <c r="M2134" s="71">
        <v>19.388500000000001</v>
      </c>
    </row>
    <row r="2135" spans="1:13">
      <c r="A2135" s="57" t="s">
        <v>4570</v>
      </c>
      <c r="B2135" s="58">
        <f t="shared" si="131"/>
        <v>40822</v>
      </c>
      <c r="C2135" s="59">
        <f t="shared" si="132"/>
        <v>2011</v>
      </c>
      <c r="D2135" s="61">
        <v>13.5341</v>
      </c>
      <c r="E2135" s="61">
        <v>13.6675</v>
      </c>
      <c r="F2135" s="61">
        <v>13.971399999999999</v>
      </c>
      <c r="H2135" s="62" t="s">
        <v>4571</v>
      </c>
      <c r="I2135" s="58">
        <f t="shared" si="134"/>
        <v>45570</v>
      </c>
      <c r="J2135" s="60">
        <f t="shared" si="133"/>
        <v>2024</v>
      </c>
      <c r="K2135" s="63" t="s">
        <v>362</v>
      </c>
      <c r="L2135" s="63" t="s">
        <v>362</v>
      </c>
      <c r="M2135" s="64">
        <v>19.4678</v>
      </c>
    </row>
    <row r="2136" spans="1:13">
      <c r="A2136" s="65" t="s">
        <v>4572</v>
      </c>
      <c r="B2136" s="66">
        <f t="shared" si="131"/>
        <v>40823</v>
      </c>
      <c r="C2136" s="67">
        <f t="shared" si="132"/>
        <v>2011</v>
      </c>
      <c r="D2136" s="68">
        <v>13.314299999999999</v>
      </c>
      <c r="E2136" s="68">
        <v>13.5341</v>
      </c>
      <c r="F2136" s="68">
        <v>13.6675</v>
      </c>
      <c r="H2136" s="69" t="s">
        <v>4573</v>
      </c>
      <c r="I2136" s="66">
        <f t="shared" si="134"/>
        <v>45571</v>
      </c>
      <c r="J2136" s="70">
        <f t="shared" si="133"/>
        <v>2024</v>
      </c>
      <c r="K2136" s="72" t="s">
        <v>362</v>
      </c>
      <c r="L2136" s="72" t="s">
        <v>362</v>
      </c>
      <c r="M2136" s="71">
        <v>19.4678</v>
      </c>
    </row>
    <row r="2137" spans="1:13">
      <c r="A2137" s="57" t="s">
        <v>4574</v>
      </c>
      <c r="B2137" s="58">
        <f t="shared" si="131"/>
        <v>40824</v>
      </c>
      <c r="C2137" s="59">
        <f t="shared" si="132"/>
        <v>2011</v>
      </c>
      <c r="D2137" s="60" t="s">
        <v>362</v>
      </c>
      <c r="E2137" s="60" t="s">
        <v>362</v>
      </c>
      <c r="F2137" s="61">
        <v>13.5341</v>
      </c>
      <c r="H2137" s="62" t="s">
        <v>4575</v>
      </c>
      <c r="I2137" s="58">
        <f t="shared" si="134"/>
        <v>45572</v>
      </c>
      <c r="J2137" s="60">
        <f t="shared" si="133"/>
        <v>2024</v>
      </c>
      <c r="K2137" s="64">
        <v>19.338799999999999</v>
      </c>
      <c r="L2137" s="64">
        <v>19.212700000000002</v>
      </c>
      <c r="M2137" s="64">
        <v>19.4678</v>
      </c>
    </row>
    <row r="2138" spans="1:13">
      <c r="A2138" s="65" t="s">
        <v>4576</v>
      </c>
      <c r="B2138" s="66">
        <f t="shared" si="131"/>
        <v>40825</v>
      </c>
      <c r="C2138" s="67">
        <f t="shared" si="132"/>
        <v>2011</v>
      </c>
      <c r="D2138" s="70" t="s">
        <v>362</v>
      </c>
      <c r="E2138" s="70" t="s">
        <v>362</v>
      </c>
      <c r="F2138" s="68">
        <v>13.5341</v>
      </c>
      <c r="H2138" s="69" t="s">
        <v>4577</v>
      </c>
      <c r="I2138" s="66">
        <f t="shared" si="134"/>
        <v>45573</v>
      </c>
      <c r="J2138" s="70">
        <f t="shared" si="133"/>
        <v>2024</v>
      </c>
      <c r="K2138" s="71">
        <v>19.353200000000001</v>
      </c>
      <c r="L2138" s="71">
        <v>19.338799999999999</v>
      </c>
      <c r="M2138" s="71">
        <v>19.212700000000002</v>
      </c>
    </row>
    <row r="2139" spans="1:13">
      <c r="A2139" s="57" t="s">
        <v>4578</v>
      </c>
      <c r="B2139" s="58">
        <f t="shared" si="131"/>
        <v>40826</v>
      </c>
      <c r="C2139" s="59">
        <f t="shared" si="132"/>
        <v>2011</v>
      </c>
      <c r="D2139" s="61">
        <v>13.2751</v>
      </c>
      <c r="E2139" s="61">
        <v>13.314299999999999</v>
      </c>
      <c r="F2139" s="61">
        <v>13.5341</v>
      </c>
      <c r="H2139" s="62" t="s">
        <v>4579</v>
      </c>
      <c r="I2139" s="58">
        <f t="shared" si="134"/>
        <v>45574</v>
      </c>
      <c r="J2139" s="60">
        <f t="shared" si="133"/>
        <v>2024</v>
      </c>
      <c r="K2139" s="64">
        <v>19.4175</v>
      </c>
      <c r="L2139" s="64">
        <v>19.353200000000001</v>
      </c>
      <c r="M2139" s="64">
        <v>19.338799999999999</v>
      </c>
    </row>
    <row r="2140" spans="1:13">
      <c r="A2140" s="65" t="s">
        <v>4580</v>
      </c>
      <c r="B2140" s="66">
        <f t="shared" si="131"/>
        <v>40827</v>
      </c>
      <c r="C2140" s="67">
        <f t="shared" si="132"/>
        <v>2011</v>
      </c>
      <c r="D2140" s="68">
        <v>13.326599999999999</v>
      </c>
      <c r="E2140" s="68">
        <v>13.2751</v>
      </c>
      <c r="F2140" s="68">
        <v>13.314299999999999</v>
      </c>
      <c r="H2140" s="69" t="s">
        <v>4581</v>
      </c>
      <c r="I2140" s="66">
        <f t="shared" si="134"/>
        <v>45575</v>
      </c>
      <c r="J2140" s="70">
        <f t="shared" si="133"/>
        <v>2024</v>
      </c>
      <c r="K2140" s="71">
        <v>19.511299999999999</v>
      </c>
      <c r="L2140" s="71">
        <v>19.4175</v>
      </c>
      <c r="M2140" s="71">
        <v>19.353200000000001</v>
      </c>
    </row>
    <row r="2141" spans="1:13">
      <c r="A2141" s="57" t="s">
        <v>4582</v>
      </c>
      <c r="B2141" s="58">
        <f t="shared" si="131"/>
        <v>40828</v>
      </c>
      <c r="C2141" s="59">
        <f t="shared" si="132"/>
        <v>2011</v>
      </c>
      <c r="D2141" s="61">
        <v>13.221299999999999</v>
      </c>
      <c r="E2141" s="61">
        <v>13.326599999999999</v>
      </c>
      <c r="F2141" s="61">
        <v>13.2751</v>
      </c>
      <c r="H2141" s="62" t="s">
        <v>4583</v>
      </c>
      <c r="I2141" s="58">
        <f t="shared" si="134"/>
        <v>45576</v>
      </c>
      <c r="J2141" s="60">
        <f t="shared" si="133"/>
        <v>2024</v>
      </c>
      <c r="K2141" s="64">
        <v>19.398299999999999</v>
      </c>
      <c r="L2141" s="64">
        <v>19.511299999999999</v>
      </c>
      <c r="M2141" s="64">
        <v>19.4175</v>
      </c>
    </row>
    <row r="2142" spans="1:13">
      <c r="A2142" s="65" t="s">
        <v>4584</v>
      </c>
      <c r="B2142" s="66">
        <f t="shared" si="131"/>
        <v>40829</v>
      </c>
      <c r="C2142" s="67">
        <f t="shared" si="132"/>
        <v>2011</v>
      </c>
      <c r="D2142" s="68">
        <v>13.364699999999999</v>
      </c>
      <c r="E2142" s="68">
        <v>13.221299999999999</v>
      </c>
      <c r="F2142" s="68">
        <v>13.326599999999999</v>
      </c>
      <c r="H2142" s="69" t="s">
        <v>4585</v>
      </c>
      <c r="I2142" s="66">
        <f t="shared" si="134"/>
        <v>45577</v>
      </c>
      <c r="J2142" s="70">
        <f t="shared" si="133"/>
        <v>2024</v>
      </c>
      <c r="K2142" s="72" t="s">
        <v>362</v>
      </c>
      <c r="L2142" s="72" t="s">
        <v>362</v>
      </c>
      <c r="M2142" s="71">
        <v>19.511299999999999</v>
      </c>
    </row>
    <row r="2143" spans="1:13">
      <c r="A2143" s="57" t="s">
        <v>4586</v>
      </c>
      <c r="B2143" s="58">
        <f t="shared" ref="B2143:B2206" si="135">DATE(RIGHT(A2143,4),LEFT(RIGHT(A2143,7),2),LEFT(A2143,2))</f>
        <v>40830</v>
      </c>
      <c r="C2143" s="59">
        <f t="shared" ref="C2143:C2206" si="136">YEAR(B2143)</f>
        <v>2011</v>
      </c>
      <c r="D2143" s="61">
        <v>13.271100000000001</v>
      </c>
      <c r="E2143" s="61">
        <v>13.364699999999999</v>
      </c>
      <c r="F2143" s="61">
        <v>13.221299999999999</v>
      </c>
      <c r="H2143" s="62" t="s">
        <v>4587</v>
      </c>
      <c r="I2143" s="58">
        <f t="shared" si="134"/>
        <v>45578</v>
      </c>
      <c r="J2143" s="60">
        <f t="shared" ref="J2143:J2206" si="137">YEAR(I2143)</f>
        <v>2024</v>
      </c>
      <c r="K2143" s="63" t="s">
        <v>362</v>
      </c>
      <c r="L2143" s="63" t="s">
        <v>362</v>
      </c>
      <c r="M2143" s="64">
        <v>19.511299999999999</v>
      </c>
    </row>
    <row r="2144" spans="1:13">
      <c r="A2144" s="65" t="s">
        <v>4588</v>
      </c>
      <c r="B2144" s="66">
        <f t="shared" si="135"/>
        <v>40831</v>
      </c>
      <c r="C2144" s="67">
        <f t="shared" si="136"/>
        <v>2011</v>
      </c>
      <c r="D2144" s="70" t="s">
        <v>362</v>
      </c>
      <c r="E2144" s="70" t="s">
        <v>362</v>
      </c>
      <c r="F2144" s="68">
        <v>13.364699999999999</v>
      </c>
      <c r="H2144" s="69" t="s">
        <v>4589</v>
      </c>
      <c r="I2144" s="66">
        <f t="shared" si="134"/>
        <v>45579</v>
      </c>
      <c r="J2144" s="70">
        <f t="shared" si="137"/>
        <v>2024</v>
      </c>
      <c r="K2144" s="71">
        <v>19.341999999999999</v>
      </c>
      <c r="L2144" s="71">
        <v>19.398299999999999</v>
      </c>
      <c r="M2144" s="71">
        <v>19.511299999999999</v>
      </c>
    </row>
    <row r="2145" spans="1:13">
      <c r="A2145" s="57" t="s">
        <v>4590</v>
      </c>
      <c r="B2145" s="58">
        <f t="shared" si="135"/>
        <v>40832</v>
      </c>
      <c r="C2145" s="59">
        <f t="shared" si="136"/>
        <v>2011</v>
      </c>
      <c r="D2145" s="60" t="s">
        <v>362</v>
      </c>
      <c r="E2145" s="60" t="s">
        <v>362</v>
      </c>
      <c r="F2145" s="61">
        <v>13.364699999999999</v>
      </c>
      <c r="H2145" s="62" t="s">
        <v>4591</v>
      </c>
      <c r="I2145" s="58">
        <f t="shared" si="134"/>
        <v>45580</v>
      </c>
      <c r="J2145" s="60">
        <f t="shared" si="137"/>
        <v>2024</v>
      </c>
      <c r="K2145" s="64">
        <v>19.62</v>
      </c>
      <c r="L2145" s="64">
        <v>19.341999999999999</v>
      </c>
      <c r="M2145" s="64">
        <v>19.398299999999999</v>
      </c>
    </row>
    <row r="2146" spans="1:13">
      <c r="A2146" s="65" t="s">
        <v>4592</v>
      </c>
      <c r="B2146" s="66">
        <f t="shared" si="135"/>
        <v>40833</v>
      </c>
      <c r="C2146" s="67">
        <f t="shared" si="136"/>
        <v>2011</v>
      </c>
      <c r="D2146" s="68">
        <v>13.295199999999999</v>
      </c>
      <c r="E2146" s="68">
        <v>13.271100000000001</v>
      </c>
      <c r="F2146" s="68">
        <v>13.364699999999999</v>
      </c>
      <c r="H2146" s="69" t="s">
        <v>4593</v>
      </c>
      <c r="I2146" s="66">
        <f t="shared" si="134"/>
        <v>45581</v>
      </c>
      <c r="J2146" s="70">
        <f t="shared" si="137"/>
        <v>2024</v>
      </c>
      <c r="K2146" s="71">
        <v>19.892499999999998</v>
      </c>
      <c r="L2146" s="71">
        <v>19.62</v>
      </c>
      <c r="M2146" s="71">
        <v>19.341999999999999</v>
      </c>
    </row>
    <row r="2147" spans="1:13">
      <c r="A2147" s="57" t="s">
        <v>4594</v>
      </c>
      <c r="B2147" s="58">
        <f t="shared" si="135"/>
        <v>40834</v>
      </c>
      <c r="C2147" s="59">
        <f t="shared" si="136"/>
        <v>2011</v>
      </c>
      <c r="D2147" s="61">
        <v>13.4445</v>
      </c>
      <c r="E2147" s="61">
        <v>13.295199999999999</v>
      </c>
      <c r="F2147" s="61">
        <v>13.271100000000001</v>
      </c>
      <c r="H2147" s="62" t="s">
        <v>4595</v>
      </c>
      <c r="I2147" s="58">
        <f t="shared" si="134"/>
        <v>45582</v>
      </c>
      <c r="J2147" s="60">
        <f t="shared" si="137"/>
        <v>2024</v>
      </c>
      <c r="K2147" s="64">
        <v>19.9313</v>
      </c>
      <c r="L2147" s="64">
        <v>19.892499999999998</v>
      </c>
      <c r="M2147" s="64">
        <v>19.62</v>
      </c>
    </row>
    <row r="2148" spans="1:13">
      <c r="A2148" s="65" t="s">
        <v>4596</v>
      </c>
      <c r="B2148" s="66">
        <f t="shared" si="135"/>
        <v>40835</v>
      </c>
      <c r="C2148" s="67">
        <f t="shared" si="136"/>
        <v>2011</v>
      </c>
      <c r="D2148" s="68">
        <v>13.3733</v>
      </c>
      <c r="E2148" s="68">
        <v>13.4445</v>
      </c>
      <c r="F2148" s="68">
        <v>13.295199999999999</v>
      </c>
      <c r="H2148" s="69" t="s">
        <v>4597</v>
      </c>
      <c r="I2148" s="66">
        <f t="shared" si="134"/>
        <v>45583</v>
      </c>
      <c r="J2148" s="70">
        <f t="shared" si="137"/>
        <v>2024</v>
      </c>
      <c r="K2148" s="71">
        <v>19.8325</v>
      </c>
      <c r="L2148" s="71">
        <v>19.9313</v>
      </c>
      <c r="M2148" s="71">
        <v>19.892499999999998</v>
      </c>
    </row>
    <row r="2149" spans="1:13">
      <c r="A2149" s="57" t="s">
        <v>4598</v>
      </c>
      <c r="B2149" s="58">
        <f t="shared" si="135"/>
        <v>40836</v>
      </c>
      <c r="C2149" s="59">
        <f t="shared" si="136"/>
        <v>2011</v>
      </c>
      <c r="D2149" s="61">
        <v>13.662800000000001</v>
      </c>
      <c r="E2149" s="61">
        <v>13.3733</v>
      </c>
      <c r="F2149" s="61">
        <v>13.4445</v>
      </c>
      <c r="H2149" s="62" t="s">
        <v>4599</v>
      </c>
      <c r="I2149" s="58">
        <f t="shared" si="134"/>
        <v>45584</v>
      </c>
      <c r="J2149" s="60">
        <f t="shared" si="137"/>
        <v>2024</v>
      </c>
      <c r="K2149" s="63" t="s">
        <v>362</v>
      </c>
      <c r="L2149" s="63" t="s">
        <v>362</v>
      </c>
      <c r="M2149" s="64">
        <v>19.9313</v>
      </c>
    </row>
    <row r="2150" spans="1:13">
      <c r="A2150" s="65" t="s">
        <v>4600</v>
      </c>
      <c r="B2150" s="66">
        <f t="shared" si="135"/>
        <v>40837</v>
      </c>
      <c r="C2150" s="67">
        <f t="shared" si="136"/>
        <v>2011</v>
      </c>
      <c r="D2150" s="68">
        <v>13.599600000000001</v>
      </c>
      <c r="E2150" s="68">
        <v>13.662800000000001</v>
      </c>
      <c r="F2150" s="68">
        <v>13.3733</v>
      </c>
      <c r="H2150" s="69" t="s">
        <v>4601</v>
      </c>
      <c r="I2150" s="66">
        <f t="shared" si="134"/>
        <v>45585</v>
      </c>
      <c r="J2150" s="70">
        <f t="shared" si="137"/>
        <v>2024</v>
      </c>
      <c r="K2150" s="72" t="s">
        <v>362</v>
      </c>
      <c r="L2150" s="72" t="s">
        <v>362</v>
      </c>
      <c r="M2150" s="71">
        <v>19.9313</v>
      </c>
    </row>
    <row r="2151" spans="1:13">
      <c r="A2151" s="57" t="s">
        <v>4602</v>
      </c>
      <c r="B2151" s="58">
        <f t="shared" si="135"/>
        <v>40838</v>
      </c>
      <c r="C2151" s="59">
        <f t="shared" si="136"/>
        <v>2011</v>
      </c>
      <c r="D2151" s="60" t="s">
        <v>362</v>
      </c>
      <c r="E2151" s="60" t="s">
        <v>362</v>
      </c>
      <c r="F2151" s="61">
        <v>13.662800000000001</v>
      </c>
      <c r="H2151" s="62" t="s">
        <v>4603</v>
      </c>
      <c r="I2151" s="58">
        <f t="shared" si="134"/>
        <v>45586</v>
      </c>
      <c r="J2151" s="60">
        <f t="shared" si="137"/>
        <v>2024</v>
      </c>
      <c r="K2151" s="64">
        <v>20.0075</v>
      </c>
      <c r="L2151" s="64">
        <v>19.8325</v>
      </c>
      <c r="M2151" s="64">
        <v>19.9313</v>
      </c>
    </row>
    <row r="2152" spans="1:13">
      <c r="A2152" s="65" t="s">
        <v>4604</v>
      </c>
      <c r="B2152" s="66">
        <f t="shared" si="135"/>
        <v>40839</v>
      </c>
      <c r="C2152" s="67">
        <f t="shared" si="136"/>
        <v>2011</v>
      </c>
      <c r="D2152" s="70" t="s">
        <v>362</v>
      </c>
      <c r="E2152" s="70" t="s">
        <v>362</v>
      </c>
      <c r="F2152" s="68">
        <v>13.662800000000001</v>
      </c>
      <c r="H2152" s="69" t="s">
        <v>4605</v>
      </c>
      <c r="I2152" s="66">
        <f t="shared" si="134"/>
        <v>45587</v>
      </c>
      <c r="J2152" s="70">
        <f t="shared" si="137"/>
        <v>2024</v>
      </c>
      <c r="K2152" s="71">
        <v>19.898499999999999</v>
      </c>
      <c r="L2152" s="71">
        <v>20.0075</v>
      </c>
      <c r="M2152" s="71">
        <v>19.8325</v>
      </c>
    </row>
    <row r="2153" spans="1:13">
      <c r="A2153" s="57" t="s">
        <v>4606</v>
      </c>
      <c r="B2153" s="58">
        <f t="shared" si="135"/>
        <v>40840</v>
      </c>
      <c r="C2153" s="59">
        <f t="shared" si="136"/>
        <v>2011</v>
      </c>
      <c r="D2153" s="61">
        <v>13.488899999999999</v>
      </c>
      <c r="E2153" s="61">
        <v>13.599600000000001</v>
      </c>
      <c r="F2153" s="61">
        <v>13.662800000000001</v>
      </c>
      <c r="H2153" s="62" t="s">
        <v>4607</v>
      </c>
      <c r="I2153" s="58">
        <f t="shared" si="134"/>
        <v>45588</v>
      </c>
      <c r="J2153" s="60">
        <f t="shared" si="137"/>
        <v>2024</v>
      </c>
      <c r="K2153" s="64">
        <v>19.933800000000002</v>
      </c>
      <c r="L2153" s="64">
        <v>19.898499999999999</v>
      </c>
      <c r="M2153" s="64">
        <v>20.0075</v>
      </c>
    </row>
    <row r="2154" spans="1:13">
      <c r="A2154" s="65" t="s">
        <v>4608</v>
      </c>
      <c r="B2154" s="66">
        <f t="shared" si="135"/>
        <v>40841</v>
      </c>
      <c r="C2154" s="67">
        <f t="shared" si="136"/>
        <v>2011</v>
      </c>
      <c r="D2154" s="68">
        <v>13.4459</v>
      </c>
      <c r="E2154" s="68">
        <v>13.488899999999999</v>
      </c>
      <c r="F2154" s="68">
        <v>13.599600000000001</v>
      </c>
      <c r="H2154" s="69" t="s">
        <v>4609</v>
      </c>
      <c r="I2154" s="66">
        <f t="shared" si="134"/>
        <v>45589</v>
      </c>
      <c r="J2154" s="70">
        <f t="shared" si="137"/>
        <v>2024</v>
      </c>
      <c r="K2154" s="71">
        <v>19.8385</v>
      </c>
      <c r="L2154" s="71">
        <v>19.933800000000002</v>
      </c>
      <c r="M2154" s="71">
        <v>19.898499999999999</v>
      </c>
    </row>
    <row r="2155" spans="1:13">
      <c r="A2155" s="57" t="s">
        <v>4610</v>
      </c>
      <c r="B2155" s="58">
        <f t="shared" si="135"/>
        <v>40842</v>
      </c>
      <c r="C2155" s="59">
        <f t="shared" si="136"/>
        <v>2011</v>
      </c>
      <c r="D2155" s="61">
        <v>13.491400000000001</v>
      </c>
      <c r="E2155" s="61">
        <v>13.4459</v>
      </c>
      <c r="F2155" s="61">
        <v>13.488899999999999</v>
      </c>
      <c r="H2155" s="62" t="s">
        <v>4611</v>
      </c>
      <c r="I2155" s="58">
        <f t="shared" si="134"/>
        <v>45590</v>
      </c>
      <c r="J2155" s="60">
        <f t="shared" si="137"/>
        <v>2024</v>
      </c>
      <c r="K2155" s="64">
        <v>19.930299999999999</v>
      </c>
      <c r="L2155" s="64">
        <v>19.8385</v>
      </c>
      <c r="M2155" s="64">
        <v>19.933800000000002</v>
      </c>
    </row>
    <row r="2156" spans="1:13">
      <c r="A2156" s="65" t="s">
        <v>4612</v>
      </c>
      <c r="B2156" s="66">
        <f t="shared" si="135"/>
        <v>40843</v>
      </c>
      <c r="C2156" s="67">
        <f t="shared" si="136"/>
        <v>2011</v>
      </c>
      <c r="D2156" s="68">
        <v>13.1973</v>
      </c>
      <c r="E2156" s="68">
        <v>13.491400000000001</v>
      </c>
      <c r="F2156" s="68">
        <v>13.4459</v>
      </c>
      <c r="H2156" s="69" t="s">
        <v>4613</v>
      </c>
      <c r="I2156" s="66">
        <f t="shared" si="134"/>
        <v>45591</v>
      </c>
      <c r="J2156" s="70">
        <f t="shared" si="137"/>
        <v>2024</v>
      </c>
      <c r="K2156" s="72" t="s">
        <v>362</v>
      </c>
      <c r="L2156" s="72" t="s">
        <v>362</v>
      </c>
      <c r="M2156" s="71">
        <v>19.8385</v>
      </c>
    </row>
    <row r="2157" spans="1:13">
      <c r="A2157" s="57" t="s">
        <v>4614</v>
      </c>
      <c r="B2157" s="58">
        <f t="shared" si="135"/>
        <v>40844</v>
      </c>
      <c r="C2157" s="59">
        <f t="shared" si="136"/>
        <v>2011</v>
      </c>
      <c r="D2157" s="61">
        <v>13.113200000000001</v>
      </c>
      <c r="E2157" s="61">
        <v>13.1973</v>
      </c>
      <c r="F2157" s="61">
        <v>13.491400000000001</v>
      </c>
      <c r="H2157" s="62" t="s">
        <v>4615</v>
      </c>
      <c r="I2157" s="58">
        <f t="shared" si="134"/>
        <v>45592</v>
      </c>
      <c r="J2157" s="60">
        <f t="shared" si="137"/>
        <v>2024</v>
      </c>
      <c r="K2157" s="63" t="s">
        <v>362</v>
      </c>
      <c r="L2157" s="63" t="s">
        <v>362</v>
      </c>
      <c r="M2157" s="64">
        <v>19.8385</v>
      </c>
    </row>
    <row r="2158" spans="1:13">
      <c r="A2158" s="65" t="s">
        <v>4616</v>
      </c>
      <c r="B2158" s="66">
        <f t="shared" si="135"/>
        <v>40845</v>
      </c>
      <c r="C2158" s="67">
        <f t="shared" si="136"/>
        <v>2011</v>
      </c>
      <c r="D2158" s="70" t="s">
        <v>362</v>
      </c>
      <c r="E2158" s="70" t="s">
        <v>362</v>
      </c>
      <c r="F2158" s="68">
        <v>13.1973</v>
      </c>
      <c r="H2158" s="69" t="s">
        <v>4617</v>
      </c>
      <c r="I2158" s="66">
        <f t="shared" si="134"/>
        <v>45593</v>
      </c>
      <c r="J2158" s="70">
        <f t="shared" si="137"/>
        <v>2024</v>
      </c>
      <c r="K2158" s="71">
        <v>20.000699999999998</v>
      </c>
      <c r="L2158" s="71">
        <v>19.930299999999999</v>
      </c>
      <c r="M2158" s="71">
        <v>19.8385</v>
      </c>
    </row>
    <row r="2159" spans="1:13">
      <c r="A2159" s="57" t="s">
        <v>4618</v>
      </c>
      <c r="B2159" s="58">
        <f t="shared" si="135"/>
        <v>40846</v>
      </c>
      <c r="C2159" s="59">
        <f t="shared" si="136"/>
        <v>2011</v>
      </c>
      <c r="D2159" s="60" t="s">
        <v>362</v>
      </c>
      <c r="E2159" s="60" t="s">
        <v>362</v>
      </c>
      <c r="F2159" s="61">
        <v>13.1973</v>
      </c>
      <c r="H2159" s="62" t="s">
        <v>4619</v>
      </c>
      <c r="I2159" s="58">
        <f t="shared" si="134"/>
        <v>45594</v>
      </c>
      <c r="J2159" s="60">
        <f t="shared" si="137"/>
        <v>2024</v>
      </c>
      <c r="K2159" s="64">
        <v>20.020800000000001</v>
      </c>
      <c r="L2159" s="64">
        <v>20.000699999999998</v>
      </c>
      <c r="M2159" s="64">
        <v>19.930299999999999</v>
      </c>
    </row>
    <row r="2160" spans="1:13">
      <c r="A2160" s="65" t="s">
        <v>4620</v>
      </c>
      <c r="B2160" s="66">
        <f t="shared" si="135"/>
        <v>40847</v>
      </c>
      <c r="C2160" s="67">
        <f t="shared" si="136"/>
        <v>2011</v>
      </c>
      <c r="D2160" s="68">
        <v>13.180199999999999</v>
      </c>
      <c r="E2160" s="68">
        <v>13.113200000000001</v>
      </c>
      <c r="F2160" s="68">
        <v>13.1973</v>
      </c>
      <c r="H2160" s="69" t="s">
        <v>4621</v>
      </c>
      <c r="I2160" s="66">
        <f t="shared" si="134"/>
        <v>45595</v>
      </c>
      <c r="J2160" s="70">
        <f t="shared" si="137"/>
        <v>2024</v>
      </c>
      <c r="K2160" s="71">
        <v>20.1617</v>
      </c>
      <c r="L2160" s="71">
        <v>20.020800000000001</v>
      </c>
      <c r="M2160" s="71">
        <v>20.000699999999998</v>
      </c>
    </row>
    <row r="2161" spans="1:13">
      <c r="A2161" s="57" t="s">
        <v>4622</v>
      </c>
      <c r="B2161" s="58">
        <f t="shared" si="135"/>
        <v>40848</v>
      </c>
      <c r="C2161" s="59">
        <f t="shared" si="136"/>
        <v>2011</v>
      </c>
      <c r="D2161" s="61">
        <v>13.6282</v>
      </c>
      <c r="E2161" s="61">
        <v>13.180199999999999</v>
      </c>
      <c r="F2161" s="61">
        <v>13.113200000000001</v>
      </c>
      <c r="H2161" s="62" t="s">
        <v>4623</v>
      </c>
      <c r="I2161" s="58">
        <f t="shared" si="134"/>
        <v>45596</v>
      </c>
      <c r="J2161" s="60">
        <f t="shared" si="137"/>
        <v>2024</v>
      </c>
      <c r="K2161" s="64">
        <v>20.037800000000001</v>
      </c>
      <c r="L2161" s="64">
        <v>20.1617</v>
      </c>
      <c r="M2161" s="64">
        <v>20.020800000000001</v>
      </c>
    </row>
    <row r="2162" spans="1:13">
      <c r="A2162" s="65" t="s">
        <v>4624</v>
      </c>
      <c r="B2162" s="66">
        <f t="shared" si="135"/>
        <v>40849</v>
      </c>
      <c r="C2162" s="67">
        <f t="shared" si="136"/>
        <v>2011</v>
      </c>
      <c r="D2162" s="70" t="s">
        <v>362</v>
      </c>
      <c r="E2162" s="70" t="s">
        <v>362</v>
      </c>
      <c r="F2162" s="68">
        <v>13.180199999999999</v>
      </c>
      <c r="H2162" s="69" t="s">
        <v>4625</v>
      </c>
      <c r="I2162" s="66">
        <f t="shared" si="134"/>
        <v>45597</v>
      </c>
      <c r="J2162" s="70">
        <f t="shared" si="137"/>
        <v>2024</v>
      </c>
      <c r="K2162" s="71">
        <v>20.090800000000002</v>
      </c>
      <c r="L2162" s="71">
        <v>20.037800000000001</v>
      </c>
      <c r="M2162" s="71">
        <v>20.1617</v>
      </c>
    </row>
    <row r="2163" spans="1:13">
      <c r="A2163" s="57" t="s">
        <v>4626</v>
      </c>
      <c r="B2163" s="58">
        <f t="shared" si="135"/>
        <v>40850</v>
      </c>
      <c r="C2163" s="59">
        <f t="shared" si="136"/>
        <v>2011</v>
      </c>
      <c r="D2163" s="61">
        <v>13.412800000000001</v>
      </c>
      <c r="E2163" s="61">
        <v>13.6282</v>
      </c>
      <c r="F2163" s="61">
        <v>13.180199999999999</v>
      </c>
      <c r="H2163" s="62" t="s">
        <v>4627</v>
      </c>
      <c r="I2163" s="58">
        <f t="shared" si="134"/>
        <v>45598</v>
      </c>
      <c r="J2163" s="60">
        <f t="shared" si="137"/>
        <v>2024</v>
      </c>
      <c r="K2163" s="63" t="s">
        <v>362</v>
      </c>
      <c r="L2163" s="63" t="s">
        <v>362</v>
      </c>
      <c r="M2163" s="64">
        <v>20.037800000000001</v>
      </c>
    </row>
    <row r="2164" spans="1:13">
      <c r="A2164" s="65" t="s">
        <v>4628</v>
      </c>
      <c r="B2164" s="66">
        <f t="shared" si="135"/>
        <v>40851</v>
      </c>
      <c r="C2164" s="67">
        <f t="shared" si="136"/>
        <v>2011</v>
      </c>
      <c r="D2164" s="68">
        <v>13.469799999999999</v>
      </c>
      <c r="E2164" s="68">
        <v>13.412800000000001</v>
      </c>
      <c r="F2164" s="68">
        <v>13.6282</v>
      </c>
      <c r="H2164" s="69" t="s">
        <v>4629</v>
      </c>
      <c r="I2164" s="66">
        <f t="shared" si="134"/>
        <v>45599</v>
      </c>
      <c r="J2164" s="70">
        <f t="shared" si="137"/>
        <v>2024</v>
      </c>
      <c r="K2164" s="72" t="s">
        <v>362</v>
      </c>
      <c r="L2164" s="72" t="s">
        <v>362</v>
      </c>
      <c r="M2164" s="71">
        <v>20.037800000000001</v>
      </c>
    </row>
    <row r="2165" spans="1:13">
      <c r="A2165" s="57" t="s">
        <v>4630</v>
      </c>
      <c r="B2165" s="58">
        <f t="shared" si="135"/>
        <v>40852</v>
      </c>
      <c r="C2165" s="59">
        <f t="shared" si="136"/>
        <v>2011</v>
      </c>
      <c r="D2165" s="60" t="s">
        <v>362</v>
      </c>
      <c r="E2165" s="60" t="s">
        <v>362</v>
      </c>
      <c r="F2165" s="61">
        <v>13.412800000000001</v>
      </c>
      <c r="H2165" s="62" t="s">
        <v>4631</v>
      </c>
      <c r="I2165" s="58">
        <f t="shared" si="134"/>
        <v>45600</v>
      </c>
      <c r="J2165" s="60">
        <f t="shared" si="137"/>
        <v>2024</v>
      </c>
      <c r="K2165" s="64">
        <v>20.0367</v>
      </c>
      <c r="L2165" s="64">
        <v>20.090800000000002</v>
      </c>
      <c r="M2165" s="64">
        <v>20.037800000000001</v>
      </c>
    </row>
    <row r="2166" spans="1:13">
      <c r="A2166" s="65" t="s">
        <v>4632</v>
      </c>
      <c r="B2166" s="66">
        <f t="shared" si="135"/>
        <v>40853</v>
      </c>
      <c r="C2166" s="67">
        <f t="shared" si="136"/>
        <v>2011</v>
      </c>
      <c r="D2166" s="70" t="s">
        <v>362</v>
      </c>
      <c r="E2166" s="70" t="s">
        <v>362</v>
      </c>
      <c r="F2166" s="68">
        <v>13.412800000000001</v>
      </c>
      <c r="H2166" s="69" t="s">
        <v>4633</v>
      </c>
      <c r="I2166" s="66">
        <f t="shared" si="134"/>
        <v>45601</v>
      </c>
      <c r="J2166" s="70">
        <f t="shared" si="137"/>
        <v>2024</v>
      </c>
      <c r="K2166" s="71">
        <v>20.269500000000001</v>
      </c>
      <c r="L2166" s="71">
        <v>20.0367</v>
      </c>
      <c r="M2166" s="71">
        <v>20.090800000000002</v>
      </c>
    </row>
    <row r="2167" spans="1:13">
      <c r="A2167" s="57" t="s">
        <v>4634</v>
      </c>
      <c r="B2167" s="58">
        <f t="shared" si="135"/>
        <v>40854</v>
      </c>
      <c r="C2167" s="59">
        <f t="shared" si="136"/>
        <v>2011</v>
      </c>
      <c r="D2167" s="61">
        <v>13.4504</v>
      </c>
      <c r="E2167" s="61">
        <v>13.469799999999999</v>
      </c>
      <c r="F2167" s="61">
        <v>13.412800000000001</v>
      </c>
      <c r="H2167" s="62" t="s">
        <v>4635</v>
      </c>
      <c r="I2167" s="58">
        <f t="shared" si="134"/>
        <v>45602</v>
      </c>
      <c r="J2167" s="60">
        <f t="shared" si="137"/>
        <v>2024</v>
      </c>
      <c r="K2167" s="64">
        <v>20.3093</v>
      </c>
      <c r="L2167" s="64">
        <v>20.269500000000001</v>
      </c>
      <c r="M2167" s="64">
        <v>20.0367</v>
      </c>
    </row>
    <row r="2168" spans="1:13">
      <c r="A2168" s="65" t="s">
        <v>4636</v>
      </c>
      <c r="B2168" s="66">
        <f t="shared" si="135"/>
        <v>40855</v>
      </c>
      <c r="C2168" s="67">
        <f t="shared" si="136"/>
        <v>2011</v>
      </c>
      <c r="D2168" s="68">
        <v>13.385199999999999</v>
      </c>
      <c r="E2168" s="68">
        <v>13.4504</v>
      </c>
      <c r="F2168" s="68">
        <v>13.469799999999999</v>
      </c>
      <c r="H2168" s="69" t="s">
        <v>4637</v>
      </c>
      <c r="I2168" s="66">
        <f t="shared" si="134"/>
        <v>45603</v>
      </c>
      <c r="J2168" s="70">
        <f t="shared" si="137"/>
        <v>2024</v>
      </c>
      <c r="K2168" s="71">
        <v>19.8277</v>
      </c>
      <c r="L2168" s="71">
        <v>20.3093</v>
      </c>
      <c r="M2168" s="71">
        <v>20.269500000000001</v>
      </c>
    </row>
    <row r="2169" spans="1:13">
      <c r="A2169" s="57" t="s">
        <v>4638</v>
      </c>
      <c r="B2169" s="58">
        <f t="shared" si="135"/>
        <v>40856</v>
      </c>
      <c r="C2169" s="59">
        <f t="shared" si="136"/>
        <v>2011</v>
      </c>
      <c r="D2169" s="61">
        <v>13.5252</v>
      </c>
      <c r="E2169" s="61">
        <v>13.385199999999999</v>
      </c>
      <c r="F2169" s="61">
        <v>13.4504</v>
      </c>
      <c r="H2169" s="62" t="s">
        <v>4639</v>
      </c>
      <c r="I2169" s="58">
        <f t="shared" si="134"/>
        <v>45604</v>
      </c>
      <c r="J2169" s="60">
        <f t="shared" si="137"/>
        <v>2024</v>
      </c>
      <c r="K2169" s="64">
        <v>20.133199999999999</v>
      </c>
      <c r="L2169" s="64">
        <v>19.8277</v>
      </c>
      <c r="M2169" s="64">
        <v>20.3093</v>
      </c>
    </row>
    <row r="2170" spans="1:13">
      <c r="A2170" s="65" t="s">
        <v>4640</v>
      </c>
      <c r="B2170" s="66">
        <f t="shared" si="135"/>
        <v>40857</v>
      </c>
      <c r="C2170" s="67">
        <f t="shared" si="136"/>
        <v>2011</v>
      </c>
      <c r="D2170" s="68">
        <v>13.562200000000001</v>
      </c>
      <c r="E2170" s="68">
        <v>13.5252</v>
      </c>
      <c r="F2170" s="68">
        <v>13.385199999999999</v>
      </c>
      <c r="H2170" s="69" t="s">
        <v>4641</v>
      </c>
      <c r="I2170" s="66">
        <f t="shared" si="134"/>
        <v>45605</v>
      </c>
      <c r="J2170" s="70">
        <f t="shared" si="137"/>
        <v>2024</v>
      </c>
      <c r="K2170" s="72" t="s">
        <v>362</v>
      </c>
      <c r="L2170" s="72" t="s">
        <v>362</v>
      </c>
      <c r="M2170" s="71">
        <v>19.8277</v>
      </c>
    </row>
    <row r="2171" spans="1:13">
      <c r="A2171" s="57" t="s">
        <v>4642</v>
      </c>
      <c r="B2171" s="58">
        <f t="shared" si="135"/>
        <v>40858</v>
      </c>
      <c r="C2171" s="59">
        <f t="shared" si="136"/>
        <v>2011</v>
      </c>
      <c r="D2171" s="61">
        <v>13.416499999999999</v>
      </c>
      <c r="E2171" s="61">
        <v>13.562200000000001</v>
      </c>
      <c r="F2171" s="61">
        <v>13.5252</v>
      </c>
      <c r="H2171" s="62" t="s">
        <v>4643</v>
      </c>
      <c r="I2171" s="58">
        <f t="shared" si="134"/>
        <v>45606</v>
      </c>
      <c r="J2171" s="60">
        <f t="shared" si="137"/>
        <v>2024</v>
      </c>
      <c r="K2171" s="63" t="s">
        <v>362</v>
      </c>
      <c r="L2171" s="63" t="s">
        <v>362</v>
      </c>
      <c r="M2171" s="64">
        <v>19.8277</v>
      </c>
    </row>
    <row r="2172" spans="1:13">
      <c r="A2172" s="65" t="s">
        <v>4644</v>
      </c>
      <c r="B2172" s="66">
        <f t="shared" si="135"/>
        <v>40859</v>
      </c>
      <c r="C2172" s="67">
        <f t="shared" si="136"/>
        <v>2011</v>
      </c>
      <c r="D2172" s="70" t="s">
        <v>362</v>
      </c>
      <c r="E2172" s="70" t="s">
        <v>362</v>
      </c>
      <c r="F2172" s="68">
        <v>13.562200000000001</v>
      </c>
      <c r="H2172" s="69" t="s">
        <v>4645</v>
      </c>
      <c r="I2172" s="66">
        <f t="shared" ref="I2172:I2235" si="138">I2171+1</f>
        <v>45607</v>
      </c>
      <c r="J2172" s="70">
        <f t="shared" si="137"/>
        <v>2024</v>
      </c>
      <c r="K2172" s="71">
        <v>20.450199999999999</v>
      </c>
      <c r="L2172" s="71">
        <v>20.133199999999999</v>
      </c>
      <c r="M2172" s="71">
        <v>19.8277</v>
      </c>
    </row>
    <row r="2173" spans="1:13">
      <c r="A2173" s="57" t="s">
        <v>4646</v>
      </c>
      <c r="B2173" s="58">
        <f t="shared" si="135"/>
        <v>40860</v>
      </c>
      <c r="C2173" s="59">
        <f t="shared" si="136"/>
        <v>2011</v>
      </c>
      <c r="D2173" s="60" t="s">
        <v>362</v>
      </c>
      <c r="E2173" s="60" t="s">
        <v>362</v>
      </c>
      <c r="F2173" s="61">
        <v>13.562200000000001</v>
      </c>
      <c r="H2173" s="62" t="s">
        <v>4647</v>
      </c>
      <c r="I2173" s="58">
        <f t="shared" si="138"/>
        <v>45608</v>
      </c>
      <c r="J2173" s="60">
        <f t="shared" si="137"/>
        <v>2024</v>
      </c>
      <c r="K2173" s="64">
        <v>20.569299999999998</v>
      </c>
      <c r="L2173" s="64">
        <v>20.450199999999999</v>
      </c>
      <c r="M2173" s="64">
        <v>20.133199999999999</v>
      </c>
    </row>
    <row r="2174" spans="1:13">
      <c r="A2174" s="65" t="s">
        <v>4648</v>
      </c>
      <c r="B2174" s="66">
        <f t="shared" si="135"/>
        <v>40861</v>
      </c>
      <c r="C2174" s="67">
        <f t="shared" si="136"/>
        <v>2011</v>
      </c>
      <c r="D2174" s="68">
        <v>13.5122</v>
      </c>
      <c r="E2174" s="68">
        <v>13.416499999999999</v>
      </c>
      <c r="F2174" s="68">
        <v>13.562200000000001</v>
      </c>
      <c r="H2174" s="69" t="s">
        <v>4649</v>
      </c>
      <c r="I2174" s="66">
        <f t="shared" si="138"/>
        <v>45609</v>
      </c>
      <c r="J2174" s="70">
        <f t="shared" si="137"/>
        <v>2024</v>
      </c>
      <c r="K2174" s="71">
        <v>20.602499999999999</v>
      </c>
      <c r="L2174" s="71">
        <v>20.569299999999998</v>
      </c>
      <c r="M2174" s="71">
        <v>20.450199999999999</v>
      </c>
    </row>
    <row r="2175" spans="1:13">
      <c r="A2175" s="57" t="s">
        <v>4650</v>
      </c>
      <c r="B2175" s="58">
        <f t="shared" si="135"/>
        <v>40862</v>
      </c>
      <c r="C2175" s="59">
        <f t="shared" si="136"/>
        <v>2011</v>
      </c>
      <c r="D2175" s="61">
        <v>13.5672</v>
      </c>
      <c r="E2175" s="61">
        <v>13.5122</v>
      </c>
      <c r="F2175" s="61">
        <v>13.416499999999999</v>
      </c>
      <c r="H2175" s="62" t="s">
        <v>4651</v>
      </c>
      <c r="I2175" s="58">
        <f t="shared" si="138"/>
        <v>45610</v>
      </c>
      <c r="J2175" s="60">
        <f t="shared" si="137"/>
        <v>2024</v>
      </c>
      <c r="K2175" s="64">
        <v>20.494</v>
      </c>
      <c r="L2175" s="64">
        <v>20.602499999999999</v>
      </c>
      <c r="M2175" s="64">
        <v>20.569299999999998</v>
      </c>
    </row>
    <row r="2176" spans="1:13">
      <c r="A2176" s="65" t="s">
        <v>4652</v>
      </c>
      <c r="B2176" s="66">
        <f t="shared" si="135"/>
        <v>40863</v>
      </c>
      <c r="C2176" s="67">
        <f t="shared" si="136"/>
        <v>2011</v>
      </c>
      <c r="D2176" s="68">
        <v>13.5847</v>
      </c>
      <c r="E2176" s="68">
        <v>13.5672</v>
      </c>
      <c r="F2176" s="68">
        <v>13.5122</v>
      </c>
      <c r="H2176" s="69" t="s">
        <v>4653</v>
      </c>
      <c r="I2176" s="66">
        <f t="shared" si="138"/>
        <v>45611</v>
      </c>
      <c r="J2176" s="70">
        <f t="shared" si="137"/>
        <v>2024</v>
      </c>
      <c r="K2176" s="71">
        <v>20.3887</v>
      </c>
      <c r="L2176" s="71">
        <v>20.494</v>
      </c>
      <c r="M2176" s="71">
        <v>20.602499999999999</v>
      </c>
    </row>
    <row r="2177" spans="1:13">
      <c r="A2177" s="57" t="s">
        <v>4654</v>
      </c>
      <c r="B2177" s="58">
        <f t="shared" si="135"/>
        <v>40864</v>
      </c>
      <c r="C2177" s="59">
        <f t="shared" si="136"/>
        <v>2011</v>
      </c>
      <c r="D2177" s="61">
        <v>13.637499999999999</v>
      </c>
      <c r="E2177" s="61">
        <v>13.5847</v>
      </c>
      <c r="F2177" s="61">
        <v>13.5672</v>
      </c>
      <c r="H2177" s="62" t="s">
        <v>4655</v>
      </c>
      <c r="I2177" s="58">
        <f t="shared" si="138"/>
        <v>45612</v>
      </c>
      <c r="J2177" s="60">
        <f t="shared" si="137"/>
        <v>2024</v>
      </c>
      <c r="K2177" s="63" t="s">
        <v>362</v>
      </c>
      <c r="L2177" s="63" t="s">
        <v>362</v>
      </c>
      <c r="M2177" s="64">
        <v>20.494</v>
      </c>
    </row>
    <row r="2178" spans="1:13">
      <c r="A2178" s="65" t="s">
        <v>4656</v>
      </c>
      <c r="B2178" s="66">
        <f t="shared" si="135"/>
        <v>40865</v>
      </c>
      <c r="C2178" s="67">
        <f t="shared" si="136"/>
        <v>2011</v>
      </c>
      <c r="D2178" s="68">
        <v>13.7033</v>
      </c>
      <c r="E2178" s="68">
        <v>13.637499999999999</v>
      </c>
      <c r="F2178" s="68">
        <v>13.5847</v>
      </c>
      <c r="H2178" s="69" t="s">
        <v>4657</v>
      </c>
      <c r="I2178" s="66">
        <f t="shared" si="138"/>
        <v>45613</v>
      </c>
      <c r="J2178" s="70">
        <f t="shared" si="137"/>
        <v>2024</v>
      </c>
      <c r="K2178" s="72" t="s">
        <v>362</v>
      </c>
      <c r="L2178" s="72" t="s">
        <v>362</v>
      </c>
      <c r="M2178" s="71">
        <v>20.494</v>
      </c>
    </row>
    <row r="2179" spans="1:13">
      <c r="A2179" s="57" t="s">
        <v>4658</v>
      </c>
      <c r="B2179" s="58">
        <f t="shared" si="135"/>
        <v>40866</v>
      </c>
      <c r="C2179" s="59">
        <f t="shared" si="136"/>
        <v>2011</v>
      </c>
      <c r="D2179" s="60" t="s">
        <v>362</v>
      </c>
      <c r="E2179" s="60" t="s">
        <v>362</v>
      </c>
      <c r="F2179" s="61">
        <v>13.637499999999999</v>
      </c>
      <c r="H2179" s="62" t="s">
        <v>4659</v>
      </c>
      <c r="I2179" s="58">
        <f t="shared" si="138"/>
        <v>45614</v>
      </c>
      <c r="J2179" s="60">
        <f t="shared" si="137"/>
        <v>2024</v>
      </c>
      <c r="K2179" s="63" t="s">
        <v>362</v>
      </c>
      <c r="L2179" s="63" t="s">
        <v>362</v>
      </c>
      <c r="M2179" s="64">
        <v>20.494</v>
      </c>
    </row>
    <row r="2180" spans="1:13">
      <c r="A2180" s="65" t="s">
        <v>4660</v>
      </c>
      <c r="B2180" s="66">
        <f t="shared" si="135"/>
        <v>40867</v>
      </c>
      <c r="C2180" s="67">
        <f t="shared" si="136"/>
        <v>2011</v>
      </c>
      <c r="D2180" s="70" t="s">
        <v>362</v>
      </c>
      <c r="E2180" s="70" t="s">
        <v>362</v>
      </c>
      <c r="F2180" s="68">
        <v>13.637499999999999</v>
      </c>
      <c r="H2180" s="69" t="s">
        <v>4661</v>
      </c>
      <c r="I2180" s="66">
        <f t="shared" si="138"/>
        <v>45615</v>
      </c>
      <c r="J2180" s="70">
        <f t="shared" si="137"/>
        <v>2024</v>
      </c>
      <c r="K2180" s="71">
        <v>20.184799999999999</v>
      </c>
      <c r="L2180" s="71">
        <v>20.3887</v>
      </c>
      <c r="M2180" s="71">
        <v>20.494</v>
      </c>
    </row>
    <row r="2181" spans="1:13">
      <c r="A2181" s="57" t="s">
        <v>4662</v>
      </c>
      <c r="B2181" s="58">
        <f t="shared" si="135"/>
        <v>40868</v>
      </c>
      <c r="C2181" s="59">
        <f t="shared" si="136"/>
        <v>2011</v>
      </c>
      <c r="D2181" s="60" t="s">
        <v>362</v>
      </c>
      <c r="E2181" s="60" t="s">
        <v>362</v>
      </c>
      <c r="F2181" s="61">
        <v>13.637499999999999</v>
      </c>
      <c r="H2181" s="62" t="s">
        <v>4663</v>
      </c>
      <c r="I2181" s="58">
        <f t="shared" si="138"/>
        <v>45616</v>
      </c>
      <c r="J2181" s="60">
        <f t="shared" si="137"/>
        <v>2024</v>
      </c>
      <c r="K2181" s="64">
        <v>20.290299999999998</v>
      </c>
      <c r="L2181" s="64">
        <v>20.184799999999999</v>
      </c>
      <c r="M2181" s="64">
        <v>20.3887</v>
      </c>
    </row>
    <row r="2182" spans="1:13">
      <c r="A2182" s="65" t="s">
        <v>4664</v>
      </c>
      <c r="B2182" s="66">
        <f t="shared" si="135"/>
        <v>40869</v>
      </c>
      <c r="C2182" s="67">
        <f t="shared" si="136"/>
        <v>2011</v>
      </c>
      <c r="D2182" s="68">
        <v>13.981199999999999</v>
      </c>
      <c r="E2182" s="68">
        <v>13.7033</v>
      </c>
      <c r="F2182" s="68">
        <v>13.637499999999999</v>
      </c>
      <c r="H2182" s="69" t="s">
        <v>4665</v>
      </c>
      <c r="I2182" s="66">
        <f t="shared" si="138"/>
        <v>45617</v>
      </c>
      <c r="J2182" s="70">
        <f t="shared" si="137"/>
        <v>2024</v>
      </c>
      <c r="K2182" s="71">
        <v>20.377500000000001</v>
      </c>
      <c r="L2182" s="71">
        <v>20.290299999999998</v>
      </c>
      <c r="M2182" s="71">
        <v>20.184799999999999</v>
      </c>
    </row>
    <row r="2183" spans="1:13">
      <c r="A2183" s="57" t="s">
        <v>4666</v>
      </c>
      <c r="B2183" s="58">
        <f t="shared" si="135"/>
        <v>40870</v>
      </c>
      <c r="C2183" s="59">
        <f t="shared" si="136"/>
        <v>2011</v>
      </c>
      <c r="D2183" s="61">
        <v>14.129099999999999</v>
      </c>
      <c r="E2183" s="61">
        <v>13.981199999999999</v>
      </c>
      <c r="F2183" s="61">
        <v>13.7033</v>
      </c>
      <c r="H2183" s="62" t="s">
        <v>4667</v>
      </c>
      <c r="I2183" s="58">
        <f t="shared" si="138"/>
        <v>45618</v>
      </c>
      <c r="J2183" s="60">
        <f t="shared" si="137"/>
        <v>2024</v>
      </c>
      <c r="K2183" s="64">
        <v>20.487200000000001</v>
      </c>
      <c r="L2183" s="64">
        <v>20.377500000000001</v>
      </c>
      <c r="M2183" s="64">
        <v>20.290299999999998</v>
      </c>
    </row>
    <row r="2184" spans="1:13">
      <c r="A2184" s="65" t="s">
        <v>4668</v>
      </c>
      <c r="B2184" s="66">
        <f t="shared" si="135"/>
        <v>40871</v>
      </c>
      <c r="C2184" s="67">
        <f t="shared" si="136"/>
        <v>2011</v>
      </c>
      <c r="D2184" s="68">
        <v>14.1778</v>
      </c>
      <c r="E2184" s="68">
        <v>14.129099999999999</v>
      </c>
      <c r="F2184" s="68">
        <v>13.981199999999999</v>
      </c>
      <c r="H2184" s="69" t="s">
        <v>4669</v>
      </c>
      <c r="I2184" s="66">
        <f t="shared" si="138"/>
        <v>45619</v>
      </c>
      <c r="J2184" s="70">
        <f t="shared" si="137"/>
        <v>2024</v>
      </c>
      <c r="K2184" s="72" t="s">
        <v>362</v>
      </c>
      <c r="L2184" s="72" t="s">
        <v>362</v>
      </c>
      <c r="M2184" s="71">
        <v>20.377500000000001</v>
      </c>
    </row>
    <row r="2185" spans="1:13">
      <c r="A2185" s="57" t="s">
        <v>4670</v>
      </c>
      <c r="B2185" s="58">
        <f t="shared" si="135"/>
        <v>40872</v>
      </c>
      <c r="C2185" s="59">
        <f t="shared" si="136"/>
        <v>2011</v>
      </c>
      <c r="D2185" s="61">
        <v>14.244300000000001</v>
      </c>
      <c r="E2185" s="61">
        <v>14.1778</v>
      </c>
      <c r="F2185" s="61">
        <v>14.129099999999999</v>
      </c>
      <c r="H2185" s="62" t="s">
        <v>4671</v>
      </c>
      <c r="I2185" s="58">
        <f t="shared" si="138"/>
        <v>45620</v>
      </c>
      <c r="J2185" s="60">
        <f t="shared" si="137"/>
        <v>2024</v>
      </c>
      <c r="K2185" s="63" t="s">
        <v>362</v>
      </c>
      <c r="L2185" s="63" t="s">
        <v>362</v>
      </c>
      <c r="M2185" s="64">
        <v>20.377500000000001</v>
      </c>
    </row>
    <row r="2186" spans="1:13">
      <c r="A2186" s="65" t="s">
        <v>4672</v>
      </c>
      <c r="B2186" s="66">
        <f t="shared" si="135"/>
        <v>40873</v>
      </c>
      <c r="C2186" s="67">
        <f t="shared" si="136"/>
        <v>2011</v>
      </c>
      <c r="D2186" s="70" t="s">
        <v>362</v>
      </c>
      <c r="E2186" s="70" t="s">
        <v>362</v>
      </c>
      <c r="F2186" s="68">
        <v>14.1778</v>
      </c>
      <c r="H2186" s="69" t="s">
        <v>4673</v>
      </c>
      <c r="I2186" s="66">
        <f t="shared" si="138"/>
        <v>45621</v>
      </c>
      <c r="J2186" s="70">
        <f t="shared" si="137"/>
        <v>2024</v>
      </c>
      <c r="K2186" s="71">
        <v>20.299299999999999</v>
      </c>
      <c r="L2186" s="71">
        <v>20.487200000000001</v>
      </c>
      <c r="M2186" s="71">
        <v>20.377500000000001</v>
      </c>
    </row>
    <row r="2187" spans="1:13">
      <c r="A2187" s="57" t="s">
        <v>4674</v>
      </c>
      <c r="B2187" s="58">
        <f t="shared" si="135"/>
        <v>40874</v>
      </c>
      <c r="C2187" s="59">
        <f t="shared" si="136"/>
        <v>2011</v>
      </c>
      <c r="D2187" s="60" t="s">
        <v>362</v>
      </c>
      <c r="E2187" s="60" t="s">
        <v>362</v>
      </c>
      <c r="F2187" s="61">
        <v>14.1778</v>
      </c>
      <c r="H2187" s="62" t="s">
        <v>4675</v>
      </c>
      <c r="I2187" s="58">
        <f t="shared" si="138"/>
        <v>45622</v>
      </c>
      <c r="J2187" s="60">
        <f t="shared" si="137"/>
        <v>2024</v>
      </c>
      <c r="K2187" s="64">
        <v>20.718499999999999</v>
      </c>
      <c r="L2187" s="64">
        <v>20.299299999999999</v>
      </c>
      <c r="M2187" s="64">
        <v>20.487200000000001</v>
      </c>
    </row>
    <row r="2188" spans="1:13">
      <c r="A2188" s="65" t="s">
        <v>4676</v>
      </c>
      <c r="B2188" s="66">
        <f t="shared" si="135"/>
        <v>40875</v>
      </c>
      <c r="C2188" s="67">
        <f t="shared" si="136"/>
        <v>2011</v>
      </c>
      <c r="D2188" s="68">
        <v>14.0344</v>
      </c>
      <c r="E2188" s="68">
        <v>14.244300000000001</v>
      </c>
      <c r="F2188" s="68">
        <v>14.1778</v>
      </c>
      <c r="H2188" s="69" t="s">
        <v>4677</v>
      </c>
      <c r="I2188" s="66">
        <f t="shared" si="138"/>
        <v>45623</v>
      </c>
      <c r="J2188" s="70">
        <f t="shared" si="137"/>
        <v>2024</v>
      </c>
      <c r="K2188" s="71">
        <v>20.6418</v>
      </c>
      <c r="L2188" s="71">
        <v>20.718499999999999</v>
      </c>
      <c r="M2188" s="71">
        <v>20.299299999999999</v>
      </c>
    </row>
    <row r="2189" spans="1:13">
      <c r="A2189" s="57" t="s">
        <v>4678</v>
      </c>
      <c r="B2189" s="58">
        <f t="shared" si="135"/>
        <v>40876</v>
      </c>
      <c r="C2189" s="59">
        <f t="shared" si="136"/>
        <v>2011</v>
      </c>
      <c r="D2189" s="61">
        <v>13.953799999999999</v>
      </c>
      <c r="E2189" s="61">
        <v>14.0344</v>
      </c>
      <c r="F2189" s="61">
        <v>14.244300000000001</v>
      </c>
      <c r="H2189" s="62" t="s">
        <v>4679</v>
      </c>
      <c r="I2189" s="58">
        <f t="shared" si="138"/>
        <v>45624</v>
      </c>
      <c r="J2189" s="60">
        <f t="shared" si="137"/>
        <v>2024</v>
      </c>
      <c r="K2189" s="64">
        <v>20.417300000000001</v>
      </c>
      <c r="L2189" s="64">
        <v>20.6418</v>
      </c>
      <c r="M2189" s="64">
        <v>20.718499999999999</v>
      </c>
    </row>
    <row r="2190" spans="1:13">
      <c r="A2190" s="65" t="s">
        <v>4680</v>
      </c>
      <c r="B2190" s="66">
        <f t="shared" si="135"/>
        <v>40877</v>
      </c>
      <c r="C2190" s="67">
        <f t="shared" si="136"/>
        <v>2011</v>
      </c>
      <c r="D2190" s="68">
        <v>13.61</v>
      </c>
      <c r="E2190" s="68">
        <v>13.953799999999999</v>
      </c>
      <c r="F2190" s="68">
        <v>14.0344</v>
      </c>
      <c r="H2190" s="69" t="s">
        <v>4681</v>
      </c>
      <c r="I2190" s="66">
        <f t="shared" si="138"/>
        <v>45625</v>
      </c>
      <c r="J2190" s="70">
        <f t="shared" si="137"/>
        <v>2024</v>
      </c>
      <c r="K2190" s="71">
        <v>20.321200000000001</v>
      </c>
      <c r="L2190" s="71">
        <v>20.417300000000001</v>
      </c>
      <c r="M2190" s="71">
        <v>20.6418</v>
      </c>
    </row>
    <row r="2191" spans="1:13">
      <c r="A2191" s="57" t="s">
        <v>4682</v>
      </c>
      <c r="B2191" s="58">
        <f t="shared" si="135"/>
        <v>40878</v>
      </c>
      <c r="C2191" s="59">
        <f t="shared" si="136"/>
        <v>2011</v>
      </c>
      <c r="D2191" s="61">
        <v>13.589399999999999</v>
      </c>
      <c r="E2191" s="61">
        <v>13.61</v>
      </c>
      <c r="F2191" s="61">
        <v>13.953799999999999</v>
      </c>
      <c r="H2191" s="62" t="s">
        <v>4683</v>
      </c>
      <c r="I2191" s="58">
        <f t="shared" si="138"/>
        <v>45626</v>
      </c>
      <c r="J2191" s="60">
        <f t="shared" si="137"/>
        <v>2024</v>
      </c>
      <c r="K2191" s="63" t="s">
        <v>362</v>
      </c>
      <c r="L2191" s="63" t="s">
        <v>362</v>
      </c>
      <c r="M2191" s="64">
        <v>20.417300000000001</v>
      </c>
    </row>
    <row r="2192" spans="1:13">
      <c r="A2192" s="65" t="s">
        <v>4684</v>
      </c>
      <c r="B2192" s="66">
        <f t="shared" si="135"/>
        <v>40879</v>
      </c>
      <c r="C2192" s="67">
        <f t="shared" si="136"/>
        <v>2011</v>
      </c>
      <c r="D2192" s="68">
        <v>13.5488</v>
      </c>
      <c r="E2192" s="68">
        <v>13.589399999999999</v>
      </c>
      <c r="F2192" s="68">
        <v>13.61</v>
      </c>
      <c r="H2192" s="69" t="s">
        <v>4685</v>
      </c>
      <c r="I2192" s="66">
        <f t="shared" si="138"/>
        <v>45627</v>
      </c>
      <c r="J2192" s="70">
        <f t="shared" si="137"/>
        <v>2024</v>
      </c>
      <c r="K2192" s="72" t="s">
        <v>362</v>
      </c>
      <c r="L2192" s="72" t="s">
        <v>362</v>
      </c>
      <c r="M2192" s="71">
        <v>20.417300000000001</v>
      </c>
    </row>
    <row r="2193" spans="1:13">
      <c r="A2193" s="57" t="s">
        <v>4686</v>
      </c>
      <c r="B2193" s="58">
        <f t="shared" si="135"/>
        <v>40880</v>
      </c>
      <c r="C2193" s="59">
        <f t="shared" si="136"/>
        <v>2011</v>
      </c>
      <c r="D2193" s="60" t="s">
        <v>362</v>
      </c>
      <c r="E2193" s="60" t="s">
        <v>362</v>
      </c>
      <c r="F2193" s="61">
        <v>13.589399999999999</v>
      </c>
      <c r="H2193" s="62" t="s">
        <v>4687</v>
      </c>
      <c r="I2193" s="58">
        <f t="shared" si="138"/>
        <v>45628</v>
      </c>
      <c r="J2193" s="60">
        <f t="shared" si="137"/>
        <v>2024</v>
      </c>
      <c r="K2193" s="64">
        <v>20.435700000000001</v>
      </c>
      <c r="L2193" s="64">
        <v>20.321200000000001</v>
      </c>
      <c r="M2193" s="64">
        <v>20.417300000000001</v>
      </c>
    </row>
    <row r="2194" spans="1:13">
      <c r="A2194" s="65" t="s">
        <v>4688</v>
      </c>
      <c r="B2194" s="66">
        <f t="shared" si="135"/>
        <v>40881</v>
      </c>
      <c r="C2194" s="67">
        <f t="shared" si="136"/>
        <v>2011</v>
      </c>
      <c r="D2194" s="70" t="s">
        <v>362</v>
      </c>
      <c r="E2194" s="70" t="s">
        <v>362</v>
      </c>
      <c r="F2194" s="68">
        <v>13.589399999999999</v>
      </c>
      <c r="H2194" s="69" t="s">
        <v>4689</v>
      </c>
      <c r="I2194" s="66">
        <f t="shared" si="138"/>
        <v>45629</v>
      </c>
      <c r="J2194" s="70">
        <f t="shared" si="137"/>
        <v>2024</v>
      </c>
      <c r="K2194" s="71">
        <v>20.3233</v>
      </c>
      <c r="L2194" s="71">
        <v>20.435700000000001</v>
      </c>
      <c r="M2194" s="71">
        <v>20.321200000000001</v>
      </c>
    </row>
    <row r="2195" spans="1:13">
      <c r="A2195" s="57" t="s">
        <v>4690</v>
      </c>
      <c r="B2195" s="58">
        <f t="shared" si="135"/>
        <v>40882</v>
      </c>
      <c r="C2195" s="59">
        <f t="shared" si="136"/>
        <v>2011</v>
      </c>
      <c r="D2195" s="61">
        <v>13.4786</v>
      </c>
      <c r="E2195" s="61">
        <v>13.5488</v>
      </c>
      <c r="F2195" s="61">
        <v>13.589399999999999</v>
      </c>
      <c r="H2195" s="62" t="s">
        <v>4691</v>
      </c>
      <c r="I2195" s="58">
        <f t="shared" si="138"/>
        <v>45630</v>
      </c>
      <c r="J2195" s="60">
        <f t="shared" si="137"/>
        <v>2024</v>
      </c>
      <c r="K2195" s="64">
        <v>20.283000000000001</v>
      </c>
      <c r="L2195" s="64">
        <v>20.3233</v>
      </c>
      <c r="M2195" s="64">
        <v>20.435700000000001</v>
      </c>
    </row>
    <row r="2196" spans="1:13">
      <c r="A2196" s="65" t="s">
        <v>4692</v>
      </c>
      <c r="B2196" s="66">
        <f t="shared" si="135"/>
        <v>40883</v>
      </c>
      <c r="C2196" s="67">
        <f t="shared" si="136"/>
        <v>2011</v>
      </c>
      <c r="D2196" s="68">
        <v>13.497</v>
      </c>
      <c r="E2196" s="68">
        <v>13.4786</v>
      </c>
      <c r="F2196" s="68">
        <v>13.5488</v>
      </c>
      <c r="H2196" s="69" t="s">
        <v>4693</v>
      </c>
      <c r="I2196" s="66">
        <f t="shared" si="138"/>
        <v>45631</v>
      </c>
      <c r="J2196" s="70">
        <f t="shared" si="137"/>
        <v>2024</v>
      </c>
      <c r="K2196" s="71">
        <v>20.196300000000001</v>
      </c>
      <c r="L2196" s="71">
        <v>20.283000000000001</v>
      </c>
      <c r="M2196" s="71">
        <v>20.3233</v>
      </c>
    </row>
    <row r="2197" spans="1:13">
      <c r="A2197" s="57" t="s">
        <v>4694</v>
      </c>
      <c r="B2197" s="58">
        <f t="shared" si="135"/>
        <v>40884</v>
      </c>
      <c r="C2197" s="59">
        <f t="shared" si="136"/>
        <v>2011</v>
      </c>
      <c r="D2197" s="61">
        <v>13.511799999999999</v>
      </c>
      <c r="E2197" s="61">
        <v>13.497</v>
      </c>
      <c r="F2197" s="61">
        <v>13.4786</v>
      </c>
      <c r="H2197" s="62" t="s">
        <v>4695</v>
      </c>
      <c r="I2197" s="58">
        <f t="shared" si="138"/>
        <v>45632</v>
      </c>
      <c r="J2197" s="60">
        <f t="shared" si="137"/>
        <v>2024</v>
      </c>
      <c r="K2197" s="64">
        <v>20.227499999999999</v>
      </c>
      <c r="L2197" s="64">
        <v>20.196300000000001</v>
      </c>
      <c r="M2197" s="64">
        <v>20.283000000000001</v>
      </c>
    </row>
    <row r="2198" spans="1:13">
      <c r="A2198" s="65" t="s">
        <v>4696</v>
      </c>
      <c r="B2198" s="66">
        <f t="shared" si="135"/>
        <v>40885</v>
      </c>
      <c r="C2198" s="67">
        <f t="shared" si="136"/>
        <v>2011</v>
      </c>
      <c r="D2198" s="68">
        <v>13.6569</v>
      </c>
      <c r="E2198" s="68">
        <v>13.511799999999999</v>
      </c>
      <c r="F2198" s="68">
        <v>13.497</v>
      </c>
      <c r="H2198" s="69" t="s">
        <v>4697</v>
      </c>
      <c r="I2198" s="66">
        <f t="shared" si="138"/>
        <v>45633</v>
      </c>
      <c r="J2198" s="70">
        <f t="shared" si="137"/>
        <v>2024</v>
      </c>
      <c r="K2198" s="72" t="s">
        <v>362</v>
      </c>
      <c r="L2198" s="72" t="s">
        <v>362</v>
      </c>
      <c r="M2198" s="71">
        <v>20.196300000000001</v>
      </c>
    </row>
    <row r="2199" spans="1:13">
      <c r="A2199" s="57" t="s">
        <v>4698</v>
      </c>
      <c r="B2199" s="58">
        <f t="shared" si="135"/>
        <v>40886</v>
      </c>
      <c r="C2199" s="59">
        <f t="shared" si="136"/>
        <v>2011</v>
      </c>
      <c r="D2199" s="61">
        <v>13.640599999999999</v>
      </c>
      <c r="E2199" s="61">
        <v>13.6569</v>
      </c>
      <c r="F2199" s="61">
        <v>13.511799999999999</v>
      </c>
      <c r="H2199" s="62" t="s">
        <v>4699</v>
      </c>
      <c r="I2199" s="58">
        <f t="shared" si="138"/>
        <v>45634</v>
      </c>
      <c r="J2199" s="60">
        <f t="shared" si="137"/>
        <v>2024</v>
      </c>
      <c r="K2199" s="63" t="s">
        <v>362</v>
      </c>
      <c r="L2199" s="63" t="s">
        <v>362</v>
      </c>
      <c r="M2199" s="64">
        <v>20.196300000000001</v>
      </c>
    </row>
    <row r="2200" spans="1:13">
      <c r="A2200" s="65" t="s">
        <v>4700</v>
      </c>
      <c r="B2200" s="66">
        <f t="shared" si="135"/>
        <v>40887</v>
      </c>
      <c r="C2200" s="67">
        <f t="shared" si="136"/>
        <v>2011</v>
      </c>
      <c r="D2200" s="70" t="s">
        <v>362</v>
      </c>
      <c r="E2200" s="70" t="s">
        <v>362</v>
      </c>
      <c r="F2200" s="68">
        <v>13.6569</v>
      </c>
      <c r="H2200" s="69" t="s">
        <v>4701</v>
      </c>
      <c r="I2200" s="66">
        <f t="shared" si="138"/>
        <v>45635</v>
      </c>
      <c r="J2200" s="70">
        <f t="shared" si="137"/>
        <v>2024</v>
      </c>
      <c r="K2200" s="71">
        <v>20.154699999999998</v>
      </c>
      <c r="L2200" s="71">
        <v>20.227499999999999</v>
      </c>
      <c r="M2200" s="71">
        <v>20.196300000000001</v>
      </c>
    </row>
    <row r="2201" spans="1:13">
      <c r="A2201" s="57" t="s">
        <v>4702</v>
      </c>
      <c r="B2201" s="58">
        <f t="shared" si="135"/>
        <v>40888</v>
      </c>
      <c r="C2201" s="59">
        <f t="shared" si="136"/>
        <v>2011</v>
      </c>
      <c r="D2201" s="60" t="s">
        <v>362</v>
      </c>
      <c r="E2201" s="60" t="s">
        <v>362</v>
      </c>
      <c r="F2201" s="61">
        <v>13.6569</v>
      </c>
      <c r="H2201" s="62" t="s">
        <v>4703</v>
      </c>
      <c r="I2201" s="58">
        <f t="shared" si="138"/>
        <v>45636</v>
      </c>
      <c r="J2201" s="60">
        <f t="shared" si="137"/>
        <v>2024</v>
      </c>
      <c r="K2201" s="64">
        <v>20.2485</v>
      </c>
      <c r="L2201" s="64">
        <v>20.154699999999998</v>
      </c>
      <c r="M2201" s="64">
        <v>20.227499999999999</v>
      </c>
    </row>
    <row r="2202" spans="1:13">
      <c r="A2202" s="65" t="s">
        <v>4704</v>
      </c>
      <c r="B2202" s="66">
        <f t="shared" si="135"/>
        <v>40889</v>
      </c>
      <c r="C2202" s="67">
        <f t="shared" si="136"/>
        <v>2011</v>
      </c>
      <c r="D2202" s="70" t="s">
        <v>362</v>
      </c>
      <c r="E2202" s="70" t="s">
        <v>362</v>
      </c>
      <c r="F2202" s="68">
        <v>13.6569</v>
      </c>
      <c r="H2202" s="69" t="s">
        <v>4705</v>
      </c>
      <c r="I2202" s="66">
        <f t="shared" si="138"/>
        <v>45637</v>
      </c>
      <c r="J2202" s="70">
        <f t="shared" si="137"/>
        <v>2024</v>
      </c>
      <c r="K2202" s="71">
        <v>20.1647</v>
      </c>
      <c r="L2202" s="71">
        <v>20.2485</v>
      </c>
      <c r="M2202" s="71">
        <v>20.154699999999998</v>
      </c>
    </row>
    <row r="2203" spans="1:13">
      <c r="A2203" s="57" t="s">
        <v>4706</v>
      </c>
      <c r="B2203" s="58">
        <f t="shared" si="135"/>
        <v>40890</v>
      </c>
      <c r="C2203" s="59">
        <f t="shared" si="136"/>
        <v>2011</v>
      </c>
      <c r="D2203" s="61">
        <v>13.7714</v>
      </c>
      <c r="E2203" s="61">
        <v>13.640599999999999</v>
      </c>
      <c r="F2203" s="61">
        <v>13.6569</v>
      </c>
      <c r="H2203" s="62" t="s">
        <v>4707</v>
      </c>
      <c r="I2203" s="58">
        <f t="shared" si="138"/>
        <v>45638</v>
      </c>
      <c r="J2203" s="60">
        <f t="shared" si="137"/>
        <v>2024</v>
      </c>
      <c r="K2203" s="63" t="s">
        <v>362</v>
      </c>
      <c r="L2203" s="63" t="s">
        <v>362</v>
      </c>
      <c r="M2203" s="64">
        <v>20.2485</v>
      </c>
    </row>
    <row r="2204" spans="1:13">
      <c r="A2204" s="65" t="s">
        <v>4708</v>
      </c>
      <c r="B2204" s="66">
        <f t="shared" si="135"/>
        <v>40891</v>
      </c>
      <c r="C2204" s="67">
        <f t="shared" si="136"/>
        <v>2011</v>
      </c>
      <c r="D2204" s="68">
        <v>13.9412</v>
      </c>
      <c r="E2204" s="68">
        <v>13.7714</v>
      </c>
      <c r="F2204" s="68">
        <v>13.640599999999999</v>
      </c>
      <c r="H2204" s="69" t="s">
        <v>4709</v>
      </c>
      <c r="I2204" s="66">
        <f t="shared" si="138"/>
        <v>45639</v>
      </c>
      <c r="J2204" s="70">
        <f t="shared" si="137"/>
        <v>2024</v>
      </c>
      <c r="K2204" s="71">
        <v>20.141999999999999</v>
      </c>
      <c r="L2204" s="71">
        <v>20.1647</v>
      </c>
      <c r="M2204" s="71">
        <v>20.2485</v>
      </c>
    </row>
    <row r="2205" spans="1:13">
      <c r="A2205" s="57" t="s">
        <v>4710</v>
      </c>
      <c r="B2205" s="58">
        <f t="shared" si="135"/>
        <v>40892</v>
      </c>
      <c r="C2205" s="59">
        <f t="shared" si="136"/>
        <v>2011</v>
      </c>
      <c r="D2205" s="61">
        <v>13.823</v>
      </c>
      <c r="E2205" s="61">
        <v>13.9412</v>
      </c>
      <c r="F2205" s="61">
        <v>13.7714</v>
      </c>
      <c r="H2205" s="62" t="s">
        <v>4711</v>
      </c>
      <c r="I2205" s="58">
        <f t="shared" si="138"/>
        <v>45640</v>
      </c>
      <c r="J2205" s="60">
        <f t="shared" si="137"/>
        <v>2024</v>
      </c>
      <c r="K2205" s="63" t="s">
        <v>362</v>
      </c>
      <c r="L2205" s="63" t="s">
        <v>362</v>
      </c>
      <c r="M2205" s="64">
        <v>20.1647</v>
      </c>
    </row>
    <row r="2206" spans="1:13">
      <c r="A2206" s="65" t="s">
        <v>4712</v>
      </c>
      <c r="B2206" s="66">
        <f t="shared" si="135"/>
        <v>40893</v>
      </c>
      <c r="C2206" s="67">
        <f t="shared" si="136"/>
        <v>2011</v>
      </c>
      <c r="D2206" s="68">
        <v>13.845000000000001</v>
      </c>
      <c r="E2206" s="68">
        <v>13.823</v>
      </c>
      <c r="F2206" s="68">
        <v>13.9412</v>
      </c>
      <c r="H2206" s="69" t="s">
        <v>4713</v>
      </c>
      <c r="I2206" s="66">
        <f t="shared" si="138"/>
        <v>45641</v>
      </c>
      <c r="J2206" s="70">
        <f t="shared" si="137"/>
        <v>2024</v>
      </c>
      <c r="K2206" s="72" t="s">
        <v>362</v>
      </c>
      <c r="L2206" s="72" t="s">
        <v>362</v>
      </c>
      <c r="M2206" s="71">
        <v>20.1647</v>
      </c>
    </row>
    <row r="2207" spans="1:13">
      <c r="A2207" s="57" t="s">
        <v>4714</v>
      </c>
      <c r="B2207" s="58">
        <f t="shared" ref="B2207:B2270" si="139">DATE(RIGHT(A2207,4),LEFT(RIGHT(A2207,7),2),LEFT(A2207,2))</f>
        <v>40894</v>
      </c>
      <c r="C2207" s="59">
        <f t="shared" ref="C2207:C2270" si="140">YEAR(B2207)</f>
        <v>2011</v>
      </c>
      <c r="D2207" s="60" t="s">
        <v>362</v>
      </c>
      <c r="E2207" s="60" t="s">
        <v>362</v>
      </c>
      <c r="F2207" s="61">
        <v>13.823</v>
      </c>
      <c r="H2207" s="62" t="s">
        <v>4715</v>
      </c>
      <c r="I2207" s="58">
        <f t="shared" si="138"/>
        <v>45642</v>
      </c>
      <c r="J2207" s="60">
        <f t="shared" ref="J2207:J2270" si="141">YEAR(I2207)</f>
        <v>2024</v>
      </c>
      <c r="K2207" s="64">
        <v>20.1448</v>
      </c>
      <c r="L2207" s="64">
        <v>20.141999999999999</v>
      </c>
      <c r="M2207" s="64">
        <v>20.1647</v>
      </c>
    </row>
    <row r="2208" spans="1:13">
      <c r="A2208" s="65" t="s">
        <v>4716</v>
      </c>
      <c r="B2208" s="66">
        <f t="shared" si="139"/>
        <v>40895</v>
      </c>
      <c r="C2208" s="67">
        <f t="shared" si="140"/>
        <v>2011</v>
      </c>
      <c r="D2208" s="70" t="s">
        <v>362</v>
      </c>
      <c r="E2208" s="70" t="s">
        <v>362</v>
      </c>
      <c r="F2208" s="68">
        <v>13.823</v>
      </c>
      <c r="H2208" s="69" t="s">
        <v>4717</v>
      </c>
      <c r="I2208" s="66">
        <f t="shared" si="138"/>
        <v>45643</v>
      </c>
      <c r="J2208" s="70">
        <f t="shared" si="141"/>
        <v>2024</v>
      </c>
      <c r="K2208" s="71">
        <v>20.2363</v>
      </c>
      <c r="L2208" s="71">
        <v>20.1448</v>
      </c>
      <c r="M2208" s="71">
        <v>20.141999999999999</v>
      </c>
    </row>
    <row r="2209" spans="1:13">
      <c r="A2209" s="57" t="s">
        <v>4718</v>
      </c>
      <c r="B2209" s="58">
        <f t="shared" si="139"/>
        <v>40896</v>
      </c>
      <c r="C2209" s="59">
        <f t="shared" si="140"/>
        <v>2011</v>
      </c>
      <c r="D2209" s="61">
        <v>13.854200000000001</v>
      </c>
      <c r="E2209" s="61">
        <v>13.845000000000001</v>
      </c>
      <c r="F2209" s="61">
        <v>13.823</v>
      </c>
      <c r="H2209" s="62" t="s">
        <v>4719</v>
      </c>
      <c r="I2209" s="58">
        <f t="shared" si="138"/>
        <v>45644</v>
      </c>
      <c r="J2209" s="60">
        <f t="shared" si="141"/>
        <v>2024</v>
      </c>
      <c r="K2209" s="64">
        <v>20.139500000000002</v>
      </c>
      <c r="L2209" s="64">
        <v>20.2363</v>
      </c>
      <c r="M2209" s="64">
        <v>20.1448</v>
      </c>
    </row>
    <row r="2210" spans="1:13">
      <c r="A2210" s="65" t="s">
        <v>4720</v>
      </c>
      <c r="B2210" s="66">
        <f t="shared" si="139"/>
        <v>40897</v>
      </c>
      <c r="C2210" s="67">
        <f t="shared" si="140"/>
        <v>2011</v>
      </c>
      <c r="D2210" s="68">
        <v>13.772</v>
      </c>
      <c r="E2210" s="68">
        <v>13.854200000000001</v>
      </c>
      <c r="F2210" s="68">
        <v>13.845000000000001</v>
      </c>
      <c r="H2210" s="69" t="s">
        <v>4721</v>
      </c>
      <c r="I2210" s="66">
        <f t="shared" si="138"/>
        <v>45645</v>
      </c>
      <c r="J2210" s="70">
        <f t="shared" si="141"/>
        <v>2024</v>
      </c>
      <c r="K2210" s="71">
        <v>20.440200000000001</v>
      </c>
      <c r="L2210" s="71">
        <v>20.139500000000002</v>
      </c>
      <c r="M2210" s="71">
        <v>20.2363</v>
      </c>
    </row>
    <row r="2211" spans="1:13">
      <c r="A2211" s="57" t="s">
        <v>4722</v>
      </c>
      <c r="B2211" s="58">
        <f t="shared" si="139"/>
        <v>40898</v>
      </c>
      <c r="C2211" s="59">
        <f t="shared" si="140"/>
        <v>2011</v>
      </c>
      <c r="D2211" s="61">
        <v>13.852600000000001</v>
      </c>
      <c r="E2211" s="61">
        <v>13.772</v>
      </c>
      <c r="F2211" s="61">
        <v>13.854200000000001</v>
      </c>
      <c r="H2211" s="62" t="s">
        <v>4723</v>
      </c>
      <c r="I2211" s="58">
        <f t="shared" si="138"/>
        <v>45646</v>
      </c>
      <c r="J2211" s="60">
        <f t="shared" si="141"/>
        <v>2024</v>
      </c>
      <c r="K2211" s="64">
        <v>20.1035</v>
      </c>
      <c r="L2211" s="64">
        <v>20.440200000000001</v>
      </c>
      <c r="M2211" s="64">
        <v>20.139500000000002</v>
      </c>
    </row>
    <row r="2212" spans="1:13">
      <c r="A2212" s="65" t="s">
        <v>4724</v>
      </c>
      <c r="B2212" s="66">
        <f t="shared" si="139"/>
        <v>40899</v>
      </c>
      <c r="C2212" s="67">
        <f t="shared" si="140"/>
        <v>2011</v>
      </c>
      <c r="D2212" s="68">
        <v>13.8169</v>
      </c>
      <c r="E2212" s="68">
        <v>13.852600000000001</v>
      </c>
      <c r="F2212" s="68">
        <v>13.772</v>
      </c>
      <c r="H2212" s="69" t="s">
        <v>4725</v>
      </c>
      <c r="I2212" s="66">
        <f t="shared" si="138"/>
        <v>45647</v>
      </c>
      <c r="J2212" s="70">
        <f t="shared" si="141"/>
        <v>2024</v>
      </c>
      <c r="K2212" s="72" t="s">
        <v>362</v>
      </c>
      <c r="L2212" s="72" t="s">
        <v>362</v>
      </c>
      <c r="M2212" s="71">
        <v>20.440200000000001</v>
      </c>
    </row>
    <row r="2213" spans="1:13">
      <c r="A2213" s="57" t="s">
        <v>4726</v>
      </c>
      <c r="B2213" s="58">
        <f t="shared" si="139"/>
        <v>40900</v>
      </c>
      <c r="C2213" s="59">
        <f t="shared" si="140"/>
        <v>2011</v>
      </c>
      <c r="D2213" s="61">
        <v>13.8163</v>
      </c>
      <c r="E2213" s="61">
        <v>13.8169</v>
      </c>
      <c r="F2213" s="61">
        <v>13.852600000000001</v>
      </c>
      <c r="H2213" s="62" t="s">
        <v>4727</v>
      </c>
      <c r="I2213" s="58">
        <f t="shared" si="138"/>
        <v>45648</v>
      </c>
      <c r="J2213" s="60">
        <f t="shared" si="141"/>
        <v>2024</v>
      </c>
      <c r="K2213" s="63" t="s">
        <v>362</v>
      </c>
      <c r="L2213" s="63" t="s">
        <v>362</v>
      </c>
      <c r="M2213" s="64">
        <v>20.440200000000001</v>
      </c>
    </row>
    <row r="2214" spans="1:13">
      <c r="A2214" s="65" t="s">
        <v>4728</v>
      </c>
      <c r="B2214" s="66">
        <f t="shared" si="139"/>
        <v>40901</v>
      </c>
      <c r="C2214" s="67">
        <f t="shared" si="140"/>
        <v>2011</v>
      </c>
      <c r="D2214" s="70" t="s">
        <v>362</v>
      </c>
      <c r="E2214" s="70" t="s">
        <v>362</v>
      </c>
      <c r="F2214" s="68">
        <v>13.8169</v>
      </c>
      <c r="H2214" s="69" t="s">
        <v>4729</v>
      </c>
      <c r="I2214" s="66">
        <f t="shared" si="138"/>
        <v>45649</v>
      </c>
      <c r="J2214" s="70">
        <f t="shared" si="141"/>
        <v>2024</v>
      </c>
      <c r="K2214" s="71">
        <v>20.194800000000001</v>
      </c>
      <c r="L2214" s="71">
        <v>20.1035</v>
      </c>
      <c r="M2214" s="71">
        <v>20.440200000000001</v>
      </c>
    </row>
    <row r="2215" spans="1:13">
      <c r="A2215" s="57" t="s">
        <v>4730</v>
      </c>
      <c r="B2215" s="58">
        <f t="shared" si="139"/>
        <v>40902</v>
      </c>
      <c r="C2215" s="59">
        <f t="shared" si="140"/>
        <v>2011</v>
      </c>
      <c r="D2215" s="60" t="s">
        <v>362</v>
      </c>
      <c r="E2215" s="60" t="s">
        <v>362</v>
      </c>
      <c r="F2215" s="61">
        <v>13.8169</v>
      </c>
      <c r="H2215" s="62" t="s">
        <v>4731</v>
      </c>
      <c r="I2215" s="58">
        <f t="shared" si="138"/>
        <v>45650</v>
      </c>
      <c r="J2215" s="60">
        <f t="shared" si="141"/>
        <v>2024</v>
      </c>
      <c r="K2215" s="64">
        <v>20.155799999999999</v>
      </c>
      <c r="L2215" s="64">
        <v>20.194800000000001</v>
      </c>
      <c r="M2215" s="64">
        <v>20.1035</v>
      </c>
    </row>
    <row r="2216" spans="1:13">
      <c r="A2216" s="65" t="s">
        <v>4732</v>
      </c>
      <c r="B2216" s="66">
        <f t="shared" si="139"/>
        <v>40903</v>
      </c>
      <c r="C2216" s="67">
        <f t="shared" si="140"/>
        <v>2011</v>
      </c>
      <c r="D2216" s="68">
        <v>13.8483</v>
      </c>
      <c r="E2216" s="68">
        <v>13.8163</v>
      </c>
      <c r="F2216" s="68">
        <v>13.8169</v>
      </c>
      <c r="H2216" s="69" t="s">
        <v>4733</v>
      </c>
      <c r="I2216" s="66">
        <f t="shared" si="138"/>
        <v>45651</v>
      </c>
      <c r="J2216" s="70">
        <f t="shared" si="141"/>
        <v>2024</v>
      </c>
      <c r="K2216" s="72" t="s">
        <v>362</v>
      </c>
      <c r="L2216" s="72" t="s">
        <v>362</v>
      </c>
      <c r="M2216" s="71">
        <v>20.194800000000001</v>
      </c>
    </row>
    <row r="2217" spans="1:13">
      <c r="A2217" s="57" t="s">
        <v>4734</v>
      </c>
      <c r="B2217" s="58">
        <f t="shared" si="139"/>
        <v>40904</v>
      </c>
      <c r="C2217" s="59">
        <f t="shared" si="140"/>
        <v>2011</v>
      </c>
      <c r="D2217" s="61">
        <v>13.9658</v>
      </c>
      <c r="E2217" s="61">
        <v>13.8483</v>
      </c>
      <c r="F2217" s="61">
        <v>13.8163</v>
      </c>
      <c r="H2217" s="62" t="s">
        <v>4735</v>
      </c>
      <c r="I2217" s="58">
        <f t="shared" si="138"/>
        <v>45652</v>
      </c>
      <c r="J2217" s="60">
        <f t="shared" si="141"/>
        <v>2024</v>
      </c>
      <c r="K2217" s="64">
        <v>20.165700000000001</v>
      </c>
      <c r="L2217" s="64">
        <v>20.155799999999999</v>
      </c>
      <c r="M2217" s="64">
        <v>20.194800000000001</v>
      </c>
    </row>
    <row r="2218" spans="1:13">
      <c r="A2218" s="65" t="s">
        <v>4736</v>
      </c>
      <c r="B2218" s="66">
        <f t="shared" si="139"/>
        <v>40905</v>
      </c>
      <c r="C2218" s="67">
        <f t="shared" si="140"/>
        <v>2011</v>
      </c>
      <c r="D2218" s="68">
        <v>13.990399999999999</v>
      </c>
      <c r="E2218" s="68">
        <v>13.9658</v>
      </c>
      <c r="F2218" s="68">
        <v>13.8483</v>
      </c>
      <c r="H2218" s="69" t="s">
        <v>4737</v>
      </c>
      <c r="I2218" s="66">
        <f t="shared" si="138"/>
        <v>45653</v>
      </c>
      <c r="J2218" s="70">
        <f t="shared" si="141"/>
        <v>2024</v>
      </c>
      <c r="K2218" s="71">
        <v>20.2683</v>
      </c>
      <c r="L2218" s="71">
        <v>20.165700000000001</v>
      </c>
      <c r="M2218" s="71">
        <v>20.155799999999999</v>
      </c>
    </row>
    <row r="2219" spans="1:13">
      <c r="A2219" s="57" t="s">
        <v>4738</v>
      </c>
      <c r="B2219" s="58">
        <f t="shared" si="139"/>
        <v>40906</v>
      </c>
      <c r="C2219" s="59">
        <f t="shared" si="140"/>
        <v>2011</v>
      </c>
      <c r="D2219" s="61">
        <v>13.9787</v>
      </c>
      <c r="E2219" s="61">
        <v>13.990399999999999</v>
      </c>
      <c r="F2219" s="61">
        <v>13.9658</v>
      </c>
      <c r="H2219" s="62" t="s">
        <v>4739</v>
      </c>
      <c r="I2219" s="58">
        <f t="shared" si="138"/>
        <v>45654</v>
      </c>
      <c r="J2219" s="60">
        <f t="shared" si="141"/>
        <v>2024</v>
      </c>
      <c r="K2219" s="63" t="s">
        <v>362</v>
      </c>
      <c r="L2219" s="63" t="s">
        <v>362</v>
      </c>
      <c r="M2219" s="64">
        <v>20.165700000000001</v>
      </c>
    </row>
    <row r="2220" spans="1:13">
      <c r="A2220" s="65" t="s">
        <v>4740</v>
      </c>
      <c r="B2220" s="66">
        <f t="shared" si="139"/>
        <v>40907</v>
      </c>
      <c r="C2220" s="67">
        <f t="shared" si="140"/>
        <v>2011</v>
      </c>
      <c r="D2220" s="68">
        <v>13.9476</v>
      </c>
      <c r="E2220" s="68">
        <v>13.9787</v>
      </c>
      <c r="F2220" s="68">
        <v>13.990399999999999</v>
      </c>
      <c r="H2220" s="69" t="s">
        <v>4741</v>
      </c>
      <c r="I2220" s="66">
        <f t="shared" si="138"/>
        <v>45655</v>
      </c>
      <c r="J2220" s="70">
        <f t="shared" si="141"/>
        <v>2024</v>
      </c>
      <c r="K2220" s="72" t="s">
        <v>362</v>
      </c>
      <c r="L2220" s="72" t="s">
        <v>362</v>
      </c>
      <c r="M2220" s="71">
        <v>20.165700000000001</v>
      </c>
    </row>
    <row r="2221" spans="1:13">
      <c r="A2221" s="57" t="s">
        <v>4742</v>
      </c>
      <c r="B2221" s="58">
        <f t="shared" si="139"/>
        <v>40908</v>
      </c>
      <c r="C2221" s="59">
        <f t="shared" si="140"/>
        <v>2011</v>
      </c>
      <c r="D2221" s="60" t="s">
        <v>362</v>
      </c>
      <c r="E2221" s="60" t="s">
        <v>362</v>
      </c>
      <c r="F2221" s="61">
        <v>13.9787</v>
      </c>
      <c r="H2221" s="62" t="s">
        <v>4743</v>
      </c>
      <c r="I2221" s="58">
        <f t="shared" si="138"/>
        <v>45656</v>
      </c>
      <c r="J2221" s="60">
        <f t="shared" si="141"/>
        <v>2024</v>
      </c>
      <c r="K2221" s="64">
        <v>20.510300000000001</v>
      </c>
      <c r="L2221" s="64">
        <v>20.2683</v>
      </c>
      <c r="M2221" s="64">
        <v>20.165700000000001</v>
      </c>
    </row>
    <row r="2222" spans="1:13">
      <c r="A2222" s="65" t="s">
        <v>4744</v>
      </c>
      <c r="B2222" s="66">
        <f t="shared" si="139"/>
        <v>40909</v>
      </c>
      <c r="C2222" s="67">
        <f t="shared" si="140"/>
        <v>2012</v>
      </c>
      <c r="D2222" s="70" t="s">
        <v>362</v>
      </c>
      <c r="E2222" s="70" t="s">
        <v>362</v>
      </c>
      <c r="F2222" s="68">
        <v>13.9787</v>
      </c>
      <c r="H2222" s="69" t="s">
        <v>4745</v>
      </c>
      <c r="I2222" s="66">
        <f t="shared" si="138"/>
        <v>45657</v>
      </c>
      <c r="J2222" s="70">
        <f t="shared" si="141"/>
        <v>2024</v>
      </c>
      <c r="K2222" s="71">
        <v>20.786200000000001</v>
      </c>
      <c r="L2222" s="71">
        <v>20.510300000000001</v>
      </c>
      <c r="M2222" s="71">
        <v>20.2683</v>
      </c>
    </row>
    <row r="2223" spans="1:13">
      <c r="A2223" s="57" t="s">
        <v>4746</v>
      </c>
      <c r="B2223" s="58">
        <f t="shared" si="139"/>
        <v>40910</v>
      </c>
      <c r="C2223" s="59">
        <f t="shared" si="140"/>
        <v>2012</v>
      </c>
      <c r="D2223" s="61">
        <v>13.934200000000001</v>
      </c>
      <c r="E2223" s="61">
        <v>13.9476</v>
      </c>
      <c r="F2223" s="61">
        <v>13.9787</v>
      </c>
      <c r="H2223" s="62" t="s">
        <v>4747</v>
      </c>
      <c r="I2223" s="58">
        <f t="shared" si="138"/>
        <v>45658</v>
      </c>
      <c r="J2223" s="60">
        <f t="shared" si="141"/>
        <v>2025</v>
      </c>
      <c r="K2223" s="63" t="s">
        <v>362</v>
      </c>
      <c r="L2223" s="63" t="s">
        <v>362</v>
      </c>
      <c r="M2223" s="64">
        <v>20.510300000000001</v>
      </c>
    </row>
    <row r="2224" spans="1:13">
      <c r="A2224" s="65" t="s">
        <v>4748</v>
      </c>
      <c r="B2224" s="66">
        <f t="shared" si="139"/>
        <v>40911</v>
      </c>
      <c r="C2224" s="67">
        <f t="shared" si="140"/>
        <v>2012</v>
      </c>
      <c r="D2224" s="68">
        <v>13.6882</v>
      </c>
      <c r="E2224" s="68">
        <v>13.934200000000001</v>
      </c>
      <c r="F2224" s="68">
        <v>13.9476</v>
      </c>
      <c r="H2224" s="69" t="s">
        <v>4749</v>
      </c>
      <c r="I2224" s="66">
        <f t="shared" si="138"/>
        <v>45659</v>
      </c>
      <c r="J2224" s="70">
        <f t="shared" si="141"/>
        <v>2025</v>
      </c>
      <c r="K2224" s="71">
        <v>20.691700000000001</v>
      </c>
      <c r="L2224" s="71">
        <v>20.786200000000001</v>
      </c>
      <c r="M2224" s="71">
        <v>20.510300000000001</v>
      </c>
    </row>
    <row r="2225" spans="1:13">
      <c r="A2225" s="57" t="s">
        <v>4750</v>
      </c>
      <c r="B2225" s="58">
        <f t="shared" si="139"/>
        <v>40912</v>
      </c>
      <c r="C2225" s="59">
        <f t="shared" si="140"/>
        <v>2012</v>
      </c>
      <c r="D2225" s="61">
        <v>13.714399999999999</v>
      </c>
      <c r="E2225" s="61">
        <v>13.6882</v>
      </c>
      <c r="F2225" s="61">
        <v>13.934200000000001</v>
      </c>
      <c r="H2225" s="62" t="s">
        <v>4751</v>
      </c>
      <c r="I2225" s="58">
        <f t="shared" si="138"/>
        <v>45660</v>
      </c>
      <c r="J2225" s="60">
        <f t="shared" si="141"/>
        <v>2025</v>
      </c>
      <c r="K2225" s="64">
        <v>20.6708</v>
      </c>
      <c r="L2225" s="64">
        <v>20.691700000000001</v>
      </c>
      <c r="M2225" s="64">
        <v>20.786200000000001</v>
      </c>
    </row>
    <row r="2226" spans="1:13">
      <c r="A2226" s="65" t="s">
        <v>4752</v>
      </c>
      <c r="B2226" s="66">
        <f t="shared" si="139"/>
        <v>40913</v>
      </c>
      <c r="C2226" s="67">
        <f t="shared" si="140"/>
        <v>2012</v>
      </c>
      <c r="D2226" s="68">
        <v>13.7409</v>
      </c>
      <c r="E2226" s="68">
        <v>13.714399999999999</v>
      </c>
      <c r="F2226" s="68">
        <v>13.6882</v>
      </c>
      <c r="H2226" s="69" t="s">
        <v>4753</v>
      </c>
      <c r="I2226" s="66">
        <f t="shared" si="138"/>
        <v>45661</v>
      </c>
      <c r="J2226" s="70">
        <f t="shared" si="141"/>
        <v>2025</v>
      </c>
      <c r="K2226" s="72" t="s">
        <v>362</v>
      </c>
      <c r="L2226" s="72" t="s">
        <v>362</v>
      </c>
      <c r="M2226" s="71">
        <v>20.691700000000001</v>
      </c>
    </row>
    <row r="2227" spans="1:13">
      <c r="A2227" s="57" t="s">
        <v>4754</v>
      </c>
      <c r="B2227" s="58">
        <f t="shared" si="139"/>
        <v>40914</v>
      </c>
      <c r="C2227" s="59">
        <f t="shared" si="140"/>
        <v>2012</v>
      </c>
      <c r="D2227" s="61">
        <v>13.722799999999999</v>
      </c>
      <c r="E2227" s="61">
        <v>13.7409</v>
      </c>
      <c r="F2227" s="61">
        <v>13.714399999999999</v>
      </c>
      <c r="H2227" s="62" t="s">
        <v>4755</v>
      </c>
      <c r="I2227" s="58">
        <f t="shared" si="138"/>
        <v>45662</v>
      </c>
      <c r="J2227" s="60">
        <f t="shared" si="141"/>
        <v>2025</v>
      </c>
      <c r="K2227" s="63" t="s">
        <v>362</v>
      </c>
      <c r="L2227" s="63" t="s">
        <v>362</v>
      </c>
      <c r="M2227" s="64">
        <v>20.691700000000001</v>
      </c>
    </row>
    <row r="2228" spans="1:13">
      <c r="A2228" s="65" t="s">
        <v>4756</v>
      </c>
      <c r="B2228" s="66">
        <f t="shared" si="139"/>
        <v>40915</v>
      </c>
      <c r="C2228" s="67">
        <f t="shared" si="140"/>
        <v>2012</v>
      </c>
      <c r="D2228" s="70" t="s">
        <v>362</v>
      </c>
      <c r="E2228" s="70" t="s">
        <v>362</v>
      </c>
      <c r="F2228" s="68">
        <v>13.7409</v>
      </c>
      <c r="H2228" s="69" t="s">
        <v>4757</v>
      </c>
      <c r="I2228" s="66">
        <f t="shared" si="138"/>
        <v>45663</v>
      </c>
      <c r="J2228" s="70">
        <f t="shared" si="141"/>
        <v>2025</v>
      </c>
      <c r="K2228" s="71">
        <v>20.319500000000001</v>
      </c>
      <c r="L2228" s="71">
        <v>20.6708</v>
      </c>
      <c r="M2228" s="71">
        <v>20.691700000000001</v>
      </c>
    </row>
    <row r="2229" spans="1:13">
      <c r="A2229" s="57" t="s">
        <v>4758</v>
      </c>
      <c r="B2229" s="58">
        <f t="shared" si="139"/>
        <v>40916</v>
      </c>
      <c r="C2229" s="59">
        <f t="shared" si="140"/>
        <v>2012</v>
      </c>
      <c r="D2229" s="60" t="s">
        <v>362</v>
      </c>
      <c r="E2229" s="60" t="s">
        <v>362</v>
      </c>
      <c r="F2229" s="61">
        <v>13.7409</v>
      </c>
      <c r="H2229" s="62" t="s">
        <v>4759</v>
      </c>
      <c r="I2229" s="58">
        <f t="shared" si="138"/>
        <v>45664</v>
      </c>
      <c r="J2229" s="60">
        <f t="shared" si="141"/>
        <v>2025</v>
      </c>
      <c r="K2229" s="64">
        <v>20.344000000000001</v>
      </c>
      <c r="L2229" s="64">
        <v>20.319500000000001</v>
      </c>
      <c r="M2229" s="64">
        <v>20.6708</v>
      </c>
    </row>
    <row r="2230" spans="1:13">
      <c r="A2230" s="65" t="s">
        <v>4760</v>
      </c>
      <c r="B2230" s="66">
        <f t="shared" si="139"/>
        <v>40917</v>
      </c>
      <c r="C2230" s="67">
        <f t="shared" si="140"/>
        <v>2012</v>
      </c>
      <c r="D2230" s="68">
        <v>13.7437</v>
      </c>
      <c r="E2230" s="68">
        <v>13.722799999999999</v>
      </c>
      <c r="F2230" s="68">
        <v>13.7409</v>
      </c>
      <c r="H2230" s="69" t="s">
        <v>4761</v>
      </c>
      <c r="I2230" s="66">
        <f t="shared" si="138"/>
        <v>45665</v>
      </c>
      <c r="J2230" s="70">
        <f t="shared" si="141"/>
        <v>2025</v>
      </c>
      <c r="K2230" s="71">
        <v>20.382300000000001</v>
      </c>
      <c r="L2230" s="71">
        <v>20.344000000000001</v>
      </c>
      <c r="M2230" s="71">
        <v>20.319500000000001</v>
      </c>
    </row>
    <row r="2231" spans="1:13">
      <c r="A2231" s="57" t="s">
        <v>4762</v>
      </c>
      <c r="B2231" s="58">
        <f t="shared" si="139"/>
        <v>40918</v>
      </c>
      <c r="C2231" s="59">
        <f t="shared" si="140"/>
        <v>2012</v>
      </c>
      <c r="D2231" s="61">
        <v>13.6204</v>
      </c>
      <c r="E2231" s="61">
        <v>13.7437</v>
      </c>
      <c r="F2231" s="61">
        <v>13.722799999999999</v>
      </c>
      <c r="H2231" s="62" t="s">
        <v>4763</v>
      </c>
      <c r="I2231" s="58">
        <f t="shared" si="138"/>
        <v>45666</v>
      </c>
      <c r="J2231" s="60">
        <f t="shared" si="141"/>
        <v>2025</v>
      </c>
      <c r="K2231" s="64">
        <v>20.4742</v>
      </c>
      <c r="L2231" s="64">
        <v>20.382300000000001</v>
      </c>
      <c r="M2231" s="64">
        <v>20.344000000000001</v>
      </c>
    </row>
    <row r="2232" spans="1:13">
      <c r="A2232" s="65" t="s">
        <v>4764</v>
      </c>
      <c r="B2232" s="66">
        <f t="shared" si="139"/>
        <v>40919</v>
      </c>
      <c r="C2232" s="67">
        <f t="shared" si="140"/>
        <v>2012</v>
      </c>
      <c r="D2232" s="68">
        <v>13.6592</v>
      </c>
      <c r="E2232" s="68">
        <v>13.6204</v>
      </c>
      <c r="F2232" s="68">
        <v>13.7437</v>
      </c>
      <c r="H2232" s="69" t="s">
        <v>4765</v>
      </c>
      <c r="I2232" s="66">
        <f t="shared" si="138"/>
        <v>45667</v>
      </c>
      <c r="J2232" s="70">
        <f t="shared" si="141"/>
        <v>2025</v>
      </c>
      <c r="K2232" s="71">
        <v>20.704499999999999</v>
      </c>
      <c r="L2232" s="71">
        <v>20.4742</v>
      </c>
      <c r="M2232" s="71">
        <v>20.382300000000001</v>
      </c>
    </row>
    <row r="2233" spans="1:13">
      <c r="A2233" s="57" t="s">
        <v>4766</v>
      </c>
      <c r="B2233" s="58">
        <f t="shared" si="139"/>
        <v>40920</v>
      </c>
      <c r="C2233" s="59">
        <f t="shared" si="140"/>
        <v>2012</v>
      </c>
      <c r="D2233" s="61">
        <v>13.5982</v>
      </c>
      <c r="E2233" s="61">
        <v>13.6592</v>
      </c>
      <c r="F2233" s="61">
        <v>13.6204</v>
      </c>
      <c r="H2233" s="62" t="s">
        <v>4767</v>
      </c>
      <c r="I2233" s="58">
        <f t="shared" si="138"/>
        <v>45668</v>
      </c>
      <c r="J2233" s="60">
        <f t="shared" si="141"/>
        <v>2025</v>
      </c>
      <c r="K2233" s="63" t="s">
        <v>362</v>
      </c>
      <c r="L2233" s="63" t="s">
        <v>362</v>
      </c>
      <c r="M2233" s="64">
        <v>20.4742</v>
      </c>
    </row>
    <row r="2234" spans="1:13">
      <c r="A2234" s="65" t="s">
        <v>4768</v>
      </c>
      <c r="B2234" s="66">
        <f t="shared" si="139"/>
        <v>40921</v>
      </c>
      <c r="C2234" s="67">
        <f t="shared" si="140"/>
        <v>2012</v>
      </c>
      <c r="D2234" s="68">
        <v>13.626300000000001</v>
      </c>
      <c r="E2234" s="68">
        <v>13.5982</v>
      </c>
      <c r="F2234" s="68">
        <v>13.6592</v>
      </c>
      <c r="H2234" s="69" t="s">
        <v>4769</v>
      </c>
      <c r="I2234" s="66">
        <f t="shared" si="138"/>
        <v>45669</v>
      </c>
      <c r="J2234" s="70">
        <f t="shared" si="141"/>
        <v>2025</v>
      </c>
      <c r="K2234" s="72" t="s">
        <v>362</v>
      </c>
      <c r="L2234" s="72" t="s">
        <v>362</v>
      </c>
      <c r="M2234" s="71">
        <v>20.4742</v>
      </c>
    </row>
    <row r="2235" spans="1:13">
      <c r="A2235" s="57" t="s">
        <v>4770</v>
      </c>
      <c r="B2235" s="58">
        <f t="shared" si="139"/>
        <v>40922</v>
      </c>
      <c r="C2235" s="59">
        <f t="shared" si="140"/>
        <v>2012</v>
      </c>
      <c r="D2235" s="60" t="s">
        <v>362</v>
      </c>
      <c r="E2235" s="60" t="s">
        <v>362</v>
      </c>
      <c r="F2235" s="61">
        <v>13.5982</v>
      </c>
      <c r="H2235" s="62" t="s">
        <v>4771</v>
      </c>
      <c r="I2235" s="58">
        <f t="shared" si="138"/>
        <v>45670</v>
      </c>
      <c r="J2235" s="60">
        <f t="shared" si="141"/>
        <v>2025</v>
      </c>
      <c r="K2235" s="64">
        <v>20.801200000000001</v>
      </c>
      <c r="L2235" s="64">
        <v>20.704499999999999</v>
      </c>
      <c r="M2235" s="64">
        <v>20.4742</v>
      </c>
    </row>
    <row r="2236" spans="1:13">
      <c r="A2236" s="65" t="s">
        <v>4772</v>
      </c>
      <c r="B2236" s="66">
        <f t="shared" si="139"/>
        <v>40923</v>
      </c>
      <c r="C2236" s="67">
        <f t="shared" si="140"/>
        <v>2012</v>
      </c>
      <c r="D2236" s="70" t="s">
        <v>362</v>
      </c>
      <c r="E2236" s="70" t="s">
        <v>362</v>
      </c>
      <c r="F2236" s="68">
        <v>13.5982</v>
      </c>
      <c r="H2236" s="69" t="s">
        <v>4773</v>
      </c>
      <c r="I2236" s="66">
        <f t="shared" ref="I2236:I2278" si="142">I2235+1</f>
        <v>45671</v>
      </c>
      <c r="J2236" s="70">
        <f t="shared" si="141"/>
        <v>2025</v>
      </c>
      <c r="K2236" s="71">
        <v>20.481999999999999</v>
      </c>
      <c r="L2236" s="71">
        <v>20.801200000000001</v>
      </c>
      <c r="M2236" s="71">
        <v>20.704499999999999</v>
      </c>
    </row>
    <row r="2237" spans="1:13">
      <c r="A2237" s="57" t="s">
        <v>4774</v>
      </c>
      <c r="B2237" s="58">
        <f t="shared" si="139"/>
        <v>40924</v>
      </c>
      <c r="C2237" s="59">
        <f t="shared" si="140"/>
        <v>2012</v>
      </c>
      <c r="D2237" s="61">
        <v>13.540100000000001</v>
      </c>
      <c r="E2237" s="61">
        <v>13.626300000000001</v>
      </c>
      <c r="F2237" s="61">
        <v>13.5982</v>
      </c>
      <c r="H2237" s="62" t="s">
        <v>4775</v>
      </c>
      <c r="I2237" s="58">
        <f t="shared" si="142"/>
        <v>45672</v>
      </c>
      <c r="J2237" s="60">
        <f t="shared" si="141"/>
        <v>2025</v>
      </c>
      <c r="K2237" s="64">
        <v>20.487500000000001</v>
      </c>
      <c r="L2237" s="64">
        <v>20.481999999999999</v>
      </c>
      <c r="M2237" s="64">
        <v>20.801200000000001</v>
      </c>
    </row>
    <row r="2238" spans="1:13">
      <c r="A2238" s="65" t="s">
        <v>4776</v>
      </c>
      <c r="B2238" s="66">
        <f t="shared" si="139"/>
        <v>40925</v>
      </c>
      <c r="C2238" s="67">
        <f t="shared" si="140"/>
        <v>2012</v>
      </c>
      <c r="D2238" s="68">
        <v>13.4621</v>
      </c>
      <c r="E2238" s="68">
        <v>13.540100000000001</v>
      </c>
      <c r="F2238" s="68">
        <v>13.626300000000001</v>
      </c>
      <c r="H2238" s="69" t="s">
        <v>4777</v>
      </c>
      <c r="I2238" s="66">
        <f t="shared" si="142"/>
        <v>45673</v>
      </c>
      <c r="J2238" s="70">
        <f t="shared" si="141"/>
        <v>2025</v>
      </c>
      <c r="K2238" s="71">
        <v>20.773199999999999</v>
      </c>
      <c r="L2238" s="71">
        <v>20.487500000000001</v>
      </c>
      <c r="M2238" s="71">
        <v>20.481999999999999</v>
      </c>
    </row>
    <row r="2239" spans="1:13">
      <c r="A2239" s="57" t="s">
        <v>4778</v>
      </c>
      <c r="B2239" s="58">
        <f t="shared" si="139"/>
        <v>40926</v>
      </c>
      <c r="C2239" s="59">
        <f t="shared" si="140"/>
        <v>2012</v>
      </c>
      <c r="D2239" s="61">
        <v>13.326700000000001</v>
      </c>
      <c r="E2239" s="61">
        <v>13.4621</v>
      </c>
      <c r="F2239" s="61">
        <v>13.540100000000001</v>
      </c>
      <c r="H2239" s="62" t="s">
        <v>4779</v>
      </c>
      <c r="I2239" s="58">
        <f t="shared" si="142"/>
        <v>45674</v>
      </c>
      <c r="J2239" s="60">
        <f t="shared" si="141"/>
        <v>2025</v>
      </c>
      <c r="K2239" s="64">
        <v>20.718</v>
      </c>
      <c r="L2239" s="64">
        <v>20.773199999999999</v>
      </c>
      <c r="M2239" s="64">
        <v>20.487500000000001</v>
      </c>
    </row>
    <row r="2240" spans="1:13">
      <c r="A2240" s="65" t="s">
        <v>4780</v>
      </c>
      <c r="B2240" s="66">
        <f t="shared" si="139"/>
        <v>40927</v>
      </c>
      <c r="C2240" s="67">
        <f t="shared" si="140"/>
        <v>2012</v>
      </c>
      <c r="D2240" s="68">
        <v>13.2516</v>
      </c>
      <c r="E2240" s="68">
        <v>13.326700000000001</v>
      </c>
      <c r="F2240" s="68">
        <v>13.4621</v>
      </c>
      <c r="H2240" s="69" t="s">
        <v>4781</v>
      </c>
      <c r="I2240" s="66">
        <f t="shared" si="142"/>
        <v>45675</v>
      </c>
      <c r="J2240" s="70">
        <f t="shared" si="141"/>
        <v>2025</v>
      </c>
      <c r="K2240" s="72" t="s">
        <v>362</v>
      </c>
      <c r="L2240" s="72" t="s">
        <v>362</v>
      </c>
      <c r="M2240" s="71">
        <v>20.773199999999999</v>
      </c>
    </row>
    <row r="2241" spans="1:13">
      <c r="A2241" s="57" t="s">
        <v>4782</v>
      </c>
      <c r="B2241" s="58">
        <f t="shared" si="139"/>
        <v>40928</v>
      </c>
      <c r="C2241" s="59">
        <f t="shared" si="140"/>
        <v>2012</v>
      </c>
      <c r="D2241" s="61">
        <v>13.224</v>
      </c>
      <c r="E2241" s="61">
        <v>13.2516</v>
      </c>
      <c r="F2241" s="61">
        <v>13.326700000000001</v>
      </c>
      <c r="H2241" s="62" t="s">
        <v>4783</v>
      </c>
      <c r="I2241" s="58">
        <f t="shared" si="142"/>
        <v>45676</v>
      </c>
      <c r="J2241" s="60">
        <f t="shared" si="141"/>
        <v>2025</v>
      </c>
      <c r="K2241" s="63" t="s">
        <v>362</v>
      </c>
      <c r="L2241" s="63" t="s">
        <v>362</v>
      </c>
      <c r="M2241" s="64">
        <v>20.773199999999999</v>
      </c>
    </row>
    <row r="2242" spans="1:13">
      <c r="A2242" s="65" t="s">
        <v>4784</v>
      </c>
      <c r="B2242" s="66">
        <f t="shared" si="139"/>
        <v>40929</v>
      </c>
      <c r="C2242" s="67">
        <f t="shared" si="140"/>
        <v>2012</v>
      </c>
      <c r="D2242" s="70" t="s">
        <v>362</v>
      </c>
      <c r="E2242" s="70" t="s">
        <v>362</v>
      </c>
      <c r="F2242" s="68">
        <v>13.2516</v>
      </c>
      <c r="H2242" s="69" t="s">
        <v>4785</v>
      </c>
      <c r="I2242" s="66">
        <f t="shared" si="142"/>
        <v>45677</v>
      </c>
      <c r="J2242" s="70">
        <f t="shared" si="141"/>
        <v>2025</v>
      </c>
      <c r="K2242" s="71">
        <v>20.542999999999999</v>
      </c>
      <c r="L2242" s="71">
        <v>20.718</v>
      </c>
      <c r="M2242" s="71">
        <v>20.773199999999999</v>
      </c>
    </row>
    <row r="2243" spans="1:13">
      <c r="A2243" s="57" t="s">
        <v>4786</v>
      </c>
      <c r="B2243" s="58">
        <f t="shared" si="139"/>
        <v>40930</v>
      </c>
      <c r="C2243" s="59">
        <f t="shared" si="140"/>
        <v>2012</v>
      </c>
      <c r="D2243" s="60" t="s">
        <v>362</v>
      </c>
      <c r="E2243" s="60" t="s">
        <v>362</v>
      </c>
      <c r="F2243" s="61">
        <v>13.2516</v>
      </c>
      <c r="H2243" s="62" t="s">
        <v>4787</v>
      </c>
      <c r="I2243" s="58">
        <f t="shared" si="142"/>
        <v>45678</v>
      </c>
      <c r="J2243" s="60">
        <f t="shared" si="141"/>
        <v>2025</v>
      </c>
      <c r="K2243" s="64">
        <v>20.6358</v>
      </c>
      <c r="L2243" s="64">
        <v>20.542999999999999</v>
      </c>
      <c r="M2243" s="64">
        <v>20.718</v>
      </c>
    </row>
    <row r="2244" spans="1:13">
      <c r="A2244" s="65" t="s">
        <v>4788</v>
      </c>
      <c r="B2244" s="66">
        <f t="shared" si="139"/>
        <v>40931</v>
      </c>
      <c r="C2244" s="67">
        <f t="shared" si="140"/>
        <v>2012</v>
      </c>
      <c r="D2244" s="68">
        <v>13.138299999999999</v>
      </c>
      <c r="E2244" s="68">
        <v>13.224</v>
      </c>
      <c r="F2244" s="68">
        <v>13.2516</v>
      </c>
      <c r="H2244" s="69" t="s">
        <v>4789</v>
      </c>
      <c r="I2244" s="66">
        <f t="shared" si="142"/>
        <v>45679</v>
      </c>
      <c r="J2244" s="70">
        <f t="shared" si="141"/>
        <v>2025</v>
      </c>
      <c r="K2244" s="71">
        <v>20.5397</v>
      </c>
      <c r="L2244" s="71">
        <v>20.6358</v>
      </c>
      <c r="M2244" s="71">
        <v>20.542999999999999</v>
      </c>
    </row>
    <row r="2245" spans="1:13">
      <c r="A2245" s="57" t="s">
        <v>4790</v>
      </c>
      <c r="B2245" s="58">
        <f t="shared" si="139"/>
        <v>40932</v>
      </c>
      <c r="C2245" s="59">
        <f t="shared" si="140"/>
        <v>2012</v>
      </c>
      <c r="D2245" s="61">
        <v>13.171200000000001</v>
      </c>
      <c r="E2245" s="61">
        <v>13.138299999999999</v>
      </c>
      <c r="F2245" s="61">
        <v>13.224</v>
      </c>
      <c r="H2245" s="62" t="s">
        <v>4791</v>
      </c>
      <c r="I2245" s="58">
        <f t="shared" si="142"/>
        <v>45680</v>
      </c>
      <c r="J2245" s="60">
        <f t="shared" si="141"/>
        <v>2025</v>
      </c>
      <c r="K2245" s="64">
        <v>20.394300000000001</v>
      </c>
      <c r="L2245" s="64">
        <v>20.5397</v>
      </c>
      <c r="M2245" s="64">
        <v>20.6358</v>
      </c>
    </row>
    <row r="2246" spans="1:13">
      <c r="A2246" s="65" t="s">
        <v>4792</v>
      </c>
      <c r="B2246" s="66">
        <f t="shared" si="139"/>
        <v>40933</v>
      </c>
      <c r="C2246" s="67">
        <f t="shared" si="140"/>
        <v>2012</v>
      </c>
      <c r="D2246" s="68">
        <v>13.1319</v>
      </c>
      <c r="E2246" s="68">
        <v>13.171200000000001</v>
      </c>
      <c r="F2246" s="68">
        <v>13.138299999999999</v>
      </c>
      <c r="H2246" s="69" t="s">
        <v>4793</v>
      </c>
      <c r="I2246" s="66">
        <f t="shared" si="142"/>
        <v>45681</v>
      </c>
      <c r="J2246" s="70">
        <f t="shared" si="141"/>
        <v>2025</v>
      </c>
      <c r="K2246" s="71">
        <v>20.2255</v>
      </c>
      <c r="L2246" s="71">
        <v>20.394300000000001</v>
      </c>
      <c r="M2246" s="71">
        <v>20.5397</v>
      </c>
    </row>
    <row r="2247" spans="1:13">
      <c r="A2247" s="57" t="s">
        <v>4794</v>
      </c>
      <c r="B2247" s="58">
        <f t="shared" si="139"/>
        <v>40934</v>
      </c>
      <c r="C2247" s="59">
        <f t="shared" si="140"/>
        <v>2012</v>
      </c>
      <c r="D2247" s="61">
        <v>12.932499999999999</v>
      </c>
      <c r="E2247" s="61">
        <v>13.1319</v>
      </c>
      <c r="F2247" s="61">
        <v>13.171200000000001</v>
      </c>
      <c r="H2247" s="62" t="s">
        <v>4795</v>
      </c>
      <c r="I2247" s="58">
        <f t="shared" si="142"/>
        <v>45682</v>
      </c>
      <c r="J2247" s="60">
        <f t="shared" si="141"/>
        <v>2025</v>
      </c>
      <c r="K2247" s="63" t="s">
        <v>362</v>
      </c>
      <c r="L2247" s="63" t="s">
        <v>362</v>
      </c>
      <c r="M2247" s="64">
        <v>20.394300000000001</v>
      </c>
    </row>
    <row r="2248" spans="1:13">
      <c r="A2248" s="65" t="s">
        <v>4796</v>
      </c>
      <c r="B2248" s="66">
        <f t="shared" si="139"/>
        <v>40935</v>
      </c>
      <c r="C2248" s="67">
        <f t="shared" si="140"/>
        <v>2012</v>
      </c>
      <c r="D2248" s="68">
        <v>12.9504</v>
      </c>
      <c r="E2248" s="68">
        <v>12.932499999999999</v>
      </c>
      <c r="F2248" s="68">
        <v>13.1319</v>
      </c>
      <c r="H2248" s="69" t="s">
        <v>4797</v>
      </c>
      <c r="I2248" s="66">
        <f t="shared" si="142"/>
        <v>45683</v>
      </c>
      <c r="J2248" s="70">
        <f t="shared" si="141"/>
        <v>2025</v>
      </c>
      <c r="K2248" s="72" t="s">
        <v>362</v>
      </c>
      <c r="L2248" s="72" t="s">
        <v>362</v>
      </c>
      <c r="M2248" s="71">
        <v>20.394300000000001</v>
      </c>
    </row>
    <row r="2249" spans="1:13">
      <c r="A2249" s="57" t="s">
        <v>4798</v>
      </c>
      <c r="B2249" s="58">
        <f t="shared" si="139"/>
        <v>40936</v>
      </c>
      <c r="C2249" s="59">
        <f t="shared" si="140"/>
        <v>2012</v>
      </c>
      <c r="D2249" s="60" t="s">
        <v>362</v>
      </c>
      <c r="E2249" s="60" t="s">
        <v>362</v>
      </c>
      <c r="F2249" s="61">
        <v>12.932499999999999</v>
      </c>
      <c r="H2249" s="62" t="s">
        <v>4799</v>
      </c>
      <c r="I2249" s="58">
        <f t="shared" si="142"/>
        <v>45684</v>
      </c>
      <c r="J2249" s="60">
        <f t="shared" si="141"/>
        <v>2025</v>
      </c>
      <c r="K2249" s="64">
        <v>20.700199999999999</v>
      </c>
      <c r="L2249" s="64">
        <v>20.2255</v>
      </c>
      <c r="M2249" s="64">
        <v>20.394300000000001</v>
      </c>
    </row>
    <row r="2250" spans="1:13">
      <c r="A2250" s="65" t="s">
        <v>4800</v>
      </c>
      <c r="B2250" s="66">
        <f t="shared" si="139"/>
        <v>40937</v>
      </c>
      <c r="C2250" s="67">
        <f t="shared" si="140"/>
        <v>2012</v>
      </c>
      <c r="D2250" s="70" t="s">
        <v>362</v>
      </c>
      <c r="E2250" s="70" t="s">
        <v>362</v>
      </c>
      <c r="F2250" s="68">
        <v>12.932499999999999</v>
      </c>
      <c r="H2250" s="69" t="s">
        <v>4801</v>
      </c>
      <c r="I2250" s="66">
        <f t="shared" si="142"/>
        <v>45685</v>
      </c>
      <c r="J2250" s="70">
        <f t="shared" si="141"/>
        <v>2025</v>
      </c>
      <c r="K2250" s="71">
        <v>20.566800000000001</v>
      </c>
      <c r="L2250" s="71">
        <v>20.700199999999999</v>
      </c>
      <c r="M2250" s="71">
        <v>20.2255</v>
      </c>
    </row>
    <row r="2251" spans="1:13">
      <c r="A2251" s="57" t="s">
        <v>4802</v>
      </c>
      <c r="B2251" s="58">
        <f t="shared" si="139"/>
        <v>40938</v>
      </c>
      <c r="C2251" s="59">
        <f t="shared" si="140"/>
        <v>2012</v>
      </c>
      <c r="D2251" s="61">
        <v>13.0063</v>
      </c>
      <c r="E2251" s="61">
        <v>12.9504</v>
      </c>
      <c r="F2251" s="61">
        <v>12.932499999999999</v>
      </c>
      <c r="H2251" s="62" t="s">
        <v>4803</v>
      </c>
      <c r="I2251" s="58">
        <f t="shared" si="142"/>
        <v>45686</v>
      </c>
      <c r="J2251" s="60">
        <f t="shared" si="141"/>
        <v>2025</v>
      </c>
      <c r="K2251" s="64">
        <v>20.567699999999999</v>
      </c>
      <c r="L2251" s="64">
        <v>20.566800000000001</v>
      </c>
      <c r="M2251" s="64">
        <v>20.700199999999999</v>
      </c>
    </row>
    <row r="2252" spans="1:13">
      <c r="A2252" s="65" t="s">
        <v>4804</v>
      </c>
      <c r="B2252" s="66">
        <f t="shared" si="139"/>
        <v>40939</v>
      </c>
      <c r="C2252" s="67">
        <f t="shared" si="140"/>
        <v>2012</v>
      </c>
      <c r="D2252" s="68">
        <v>13.0077</v>
      </c>
      <c r="E2252" s="68">
        <v>13.0063</v>
      </c>
      <c r="F2252" s="68">
        <v>12.9504</v>
      </c>
      <c r="H2252" s="69" t="s">
        <v>4805</v>
      </c>
      <c r="I2252" s="66">
        <f t="shared" si="142"/>
        <v>45687</v>
      </c>
      <c r="J2252" s="70">
        <f t="shared" si="141"/>
        <v>2025</v>
      </c>
      <c r="K2252" s="71">
        <v>20.4497</v>
      </c>
      <c r="L2252" s="71">
        <v>20.567699999999999</v>
      </c>
      <c r="M2252" s="71">
        <v>20.566800000000001</v>
      </c>
    </row>
    <row r="2253" spans="1:13">
      <c r="A2253" s="57" t="s">
        <v>4806</v>
      </c>
      <c r="B2253" s="58">
        <f t="shared" si="139"/>
        <v>40940</v>
      </c>
      <c r="C2253" s="59">
        <f t="shared" si="140"/>
        <v>2012</v>
      </c>
      <c r="D2253" s="61">
        <v>12.89</v>
      </c>
      <c r="E2253" s="61">
        <v>13.0077</v>
      </c>
      <c r="F2253" s="61">
        <v>13.0063</v>
      </c>
      <c r="H2253" s="62" t="s">
        <v>4807</v>
      </c>
      <c r="I2253" s="58">
        <f t="shared" si="142"/>
        <v>45688</v>
      </c>
      <c r="J2253" s="60">
        <f t="shared" si="141"/>
        <v>2025</v>
      </c>
      <c r="K2253" s="64">
        <v>20.6068</v>
      </c>
      <c r="L2253" s="64">
        <v>20.4497</v>
      </c>
      <c r="M2253" s="64">
        <v>20.567699999999999</v>
      </c>
    </row>
    <row r="2254" spans="1:13">
      <c r="A2254" s="65" t="s">
        <v>4808</v>
      </c>
      <c r="B2254" s="66">
        <f t="shared" si="139"/>
        <v>40941</v>
      </c>
      <c r="C2254" s="67">
        <f t="shared" si="140"/>
        <v>2012</v>
      </c>
      <c r="D2254" s="68">
        <v>12.803800000000001</v>
      </c>
      <c r="E2254" s="68">
        <v>12.89</v>
      </c>
      <c r="F2254" s="68">
        <v>13.0077</v>
      </c>
      <c r="H2254" s="69" t="s">
        <v>4809</v>
      </c>
      <c r="I2254" s="66">
        <f t="shared" si="142"/>
        <v>45689</v>
      </c>
      <c r="J2254" s="70">
        <f t="shared" si="141"/>
        <v>2025</v>
      </c>
      <c r="K2254" s="72" t="s">
        <v>362</v>
      </c>
      <c r="L2254" s="72" t="s">
        <v>362</v>
      </c>
      <c r="M2254" s="71">
        <v>20.4497</v>
      </c>
    </row>
    <row r="2255" spans="1:13">
      <c r="A2255" s="57" t="s">
        <v>4810</v>
      </c>
      <c r="B2255" s="58">
        <f t="shared" si="139"/>
        <v>40942</v>
      </c>
      <c r="C2255" s="59">
        <f t="shared" si="140"/>
        <v>2012</v>
      </c>
      <c r="D2255" s="61">
        <v>12.712</v>
      </c>
      <c r="E2255" s="61">
        <v>12.803800000000001</v>
      </c>
      <c r="F2255" s="61">
        <v>12.89</v>
      </c>
      <c r="H2255" s="62" t="s">
        <v>4811</v>
      </c>
      <c r="I2255" s="58">
        <f t="shared" si="142"/>
        <v>45690</v>
      </c>
      <c r="J2255" s="60">
        <f t="shared" si="141"/>
        <v>2025</v>
      </c>
      <c r="K2255" s="63" t="s">
        <v>362</v>
      </c>
      <c r="L2255" s="63" t="s">
        <v>362</v>
      </c>
      <c r="M2255" s="64">
        <v>20.4497</v>
      </c>
    </row>
    <row r="2256" spans="1:13">
      <c r="A2256" s="65" t="s">
        <v>4812</v>
      </c>
      <c r="B2256" s="66">
        <f t="shared" si="139"/>
        <v>40943</v>
      </c>
      <c r="C2256" s="67">
        <f t="shared" si="140"/>
        <v>2012</v>
      </c>
      <c r="D2256" s="70" t="s">
        <v>362</v>
      </c>
      <c r="E2256" s="70" t="s">
        <v>362</v>
      </c>
      <c r="F2256" s="68">
        <v>12.803800000000001</v>
      </c>
      <c r="H2256" s="69" t="s">
        <v>4813</v>
      </c>
      <c r="I2256" s="66">
        <f t="shared" si="142"/>
        <v>45691</v>
      </c>
      <c r="J2256" s="70">
        <f t="shared" si="141"/>
        <v>2025</v>
      </c>
      <c r="K2256" s="72" t="s">
        <v>362</v>
      </c>
      <c r="L2256" s="72" t="s">
        <v>362</v>
      </c>
      <c r="M2256" s="71">
        <v>20.4497</v>
      </c>
    </row>
    <row r="2257" spans="1:13">
      <c r="A2257" s="57" t="s">
        <v>4814</v>
      </c>
      <c r="B2257" s="58">
        <f t="shared" si="139"/>
        <v>40944</v>
      </c>
      <c r="C2257" s="59">
        <f t="shared" si="140"/>
        <v>2012</v>
      </c>
      <c r="D2257" s="60" t="s">
        <v>362</v>
      </c>
      <c r="E2257" s="60" t="s">
        <v>362</v>
      </c>
      <c r="F2257" s="61">
        <v>12.803800000000001</v>
      </c>
      <c r="H2257" s="62" t="s">
        <v>4815</v>
      </c>
      <c r="I2257" s="58">
        <f t="shared" si="142"/>
        <v>45692</v>
      </c>
      <c r="J2257" s="60">
        <f t="shared" si="141"/>
        <v>2025</v>
      </c>
      <c r="K2257" s="64">
        <v>20.4268</v>
      </c>
      <c r="L2257" s="64">
        <v>20.6068</v>
      </c>
      <c r="M2257" s="64">
        <v>20.4497</v>
      </c>
    </row>
    <row r="2258" spans="1:13">
      <c r="A2258" s="65" t="s">
        <v>4816</v>
      </c>
      <c r="B2258" s="66">
        <f t="shared" si="139"/>
        <v>40945</v>
      </c>
      <c r="C2258" s="67">
        <f t="shared" si="140"/>
        <v>2012</v>
      </c>
      <c r="D2258" s="70" t="s">
        <v>362</v>
      </c>
      <c r="E2258" s="70" t="s">
        <v>362</v>
      </c>
      <c r="F2258" s="68">
        <v>12.803800000000001</v>
      </c>
      <c r="H2258" s="69" t="s">
        <v>4817</v>
      </c>
      <c r="I2258" s="66">
        <f t="shared" si="142"/>
        <v>45693</v>
      </c>
      <c r="J2258" s="70">
        <f t="shared" si="141"/>
        <v>2025</v>
      </c>
      <c r="K2258" s="71">
        <v>20.636299999999999</v>
      </c>
      <c r="L2258" s="71">
        <v>20.4268</v>
      </c>
      <c r="M2258" s="71">
        <v>20.6068</v>
      </c>
    </row>
    <row r="2259" spans="1:13">
      <c r="A2259" s="57" t="s">
        <v>4818</v>
      </c>
      <c r="B2259" s="58">
        <f t="shared" si="139"/>
        <v>40946</v>
      </c>
      <c r="C2259" s="59">
        <f t="shared" si="140"/>
        <v>2012</v>
      </c>
      <c r="D2259" s="61">
        <v>12.6472</v>
      </c>
      <c r="E2259" s="61">
        <v>12.712</v>
      </c>
      <c r="F2259" s="61">
        <v>12.803800000000001</v>
      </c>
      <c r="H2259" s="62" t="s">
        <v>4819</v>
      </c>
      <c r="I2259" s="58">
        <f t="shared" si="142"/>
        <v>45694</v>
      </c>
      <c r="J2259" s="60">
        <f t="shared" si="141"/>
        <v>2025</v>
      </c>
      <c r="K2259" s="64">
        <v>20.512499999999999</v>
      </c>
      <c r="L2259" s="64">
        <v>20.636299999999999</v>
      </c>
      <c r="M2259" s="64">
        <v>20.4268</v>
      </c>
    </row>
    <row r="2260" spans="1:13">
      <c r="A2260" s="65" t="s">
        <v>4820</v>
      </c>
      <c r="B2260" s="66">
        <f t="shared" si="139"/>
        <v>40947</v>
      </c>
      <c r="C2260" s="67">
        <f t="shared" si="140"/>
        <v>2012</v>
      </c>
      <c r="D2260" s="68">
        <v>12.683299999999999</v>
      </c>
      <c r="E2260" s="68">
        <v>12.6472</v>
      </c>
      <c r="F2260" s="68">
        <v>12.712</v>
      </c>
      <c r="H2260" s="69" t="s">
        <v>4821</v>
      </c>
      <c r="I2260" s="66">
        <f t="shared" si="142"/>
        <v>45695</v>
      </c>
      <c r="J2260" s="70">
        <f t="shared" si="141"/>
        <v>2025</v>
      </c>
      <c r="K2260" s="71">
        <v>20.551200000000001</v>
      </c>
      <c r="L2260" s="71">
        <v>20.512499999999999</v>
      </c>
      <c r="M2260" s="71">
        <v>20.636299999999999</v>
      </c>
    </row>
    <row r="2261" spans="1:13">
      <c r="A2261" s="57" t="s">
        <v>4822</v>
      </c>
      <c r="B2261" s="58">
        <f t="shared" si="139"/>
        <v>40948</v>
      </c>
      <c r="C2261" s="59">
        <f t="shared" si="140"/>
        <v>2012</v>
      </c>
      <c r="D2261" s="61">
        <v>12.72</v>
      </c>
      <c r="E2261" s="61">
        <v>12.683299999999999</v>
      </c>
      <c r="F2261" s="61">
        <v>12.6472</v>
      </c>
      <c r="H2261" s="62" t="s">
        <v>4823</v>
      </c>
      <c r="I2261" s="58">
        <f t="shared" si="142"/>
        <v>45696</v>
      </c>
      <c r="J2261" s="60">
        <f t="shared" si="141"/>
        <v>2025</v>
      </c>
      <c r="K2261" s="63" t="s">
        <v>362</v>
      </c>
      <c r="L2261" s="63" t="s">
        <v>362</v>
      </c>
      <c r="M2261" s="64">
        <v>20.512499999999999</v>
      </c>
    </row>
    <row r="2262" spans="1:13">
      <c r="A2262" s="65" t="s">
        <v>4824</v>
      </c>
      <c r="B2262" s="66">
        <f t="shared" si="139"/>
        <v>40949</v>
      </c>
      <c r="C2262" s="67">
        <f t="shared" si="140"/>
        <v>2012</v>
      </c>
      <c r="D2262" s="68">
        <v>12.7857</v>
      </c>
      <c r="E2262" s="68">
        <v>12.72</v>
      </c>
      <c r="F2262" s="68">
        <v>12.683299999999999</v>
      </c>
      <c r="H2262" s="69" t="s">
        <v>4825</v>
      </c>
      <c r="I2262" s="66">
        <f t="shared" si="142"/>
        <v>45697</v>
      </c>
      <c r="J2262" s="70">
        <f t="shared" si="141"/>
        <v>2025</v>
      </c>
      <c r="K2262" s="72" t="s">
        <v>362</v>
      </c>
      <c r="L2262" s="72" t="s">
        <v>362</v>
      </c>
      <c r="M2262" s="71">
        <v>20.512499999999999</v>
      </c>
    </row>
    <row r="2263" spans="1:13">
      <c r="A2263" s="57" t="s">
        <v>4826</v>
      </c>
      <c r="B2263" s="58">
        <f t="shared" si="139"/>
        <v>40950</v>
      </c>
      <c r="C2263" s="59">
        <f t="shared" si="140"/>
        <v>2012</v>
      </c>
      <c r="D2263" s="60" t="s">
        <v>362</v>
      </c>
      <c r="E2263" s="60" t="s">
        <v>362</v>
      </c>
      <c r="F2263" s="61">
        <v>12.72</v>
      </c>
      <c r="H2263" s="62" t="s">
        <v>4827</v>
      </c>
      <c r="I2263" s="58">
        <f t="shared" si="142"/>
        <v>45698</v>
      </c>
      <c r="J2263" s="60">
        <f t="shared" si="141"/>
        <v>2025</v>
      </c>
      <c r="K2263" s="64">
        <v>20.6693</v>
      </c>
      <c r="L2263" s="64">
        <v>20.551200000000001</v>
      </c>
      <c r="M2263" s="64">
        <v>20.512499999999999</v>
      </c>
    </row>
    <row r="2264" spans="1:13">
      <c r="A2264" s="65" t="s">
        <v>4828</v>
      </c>
      <c r="B2264" s="66">
        <f t="shared" si="139"/>
        <v>40951</v>
      </c>
      <c r="C2264" s="67">
        <f t="shared" si="140"/>
        <v>2012</v>
      </c>
      <c r="D2264" s="70" t="s">
        <v>362</v>
      </c>
      <c r="E2264" s="70" t="s">
        <v>362</v>
      </c>
      <c r="F2264" s="68">
        <v>12.72</v>
      </c>
      <c r="H2264" s="69" t="s">
        <v>4829</v>
      </c>
      <c r="I2264" s="66">
        <f t="shared" si="142"/>
        <v>45699</v>
      </c>
      <c r="J2264" s="70">
        <f t="shared" si="141"/>
        <v>2025</v>
      </c>
      <c r="K2264" s="71">
        <v>20.568000000000001</v>
      </c>
      <c r="L2264" s="71">
        <v>20.6693</v>
      </c>
      <c r="M2264" s="71">
        <v>20.551200000000001</v>
      </c>
    </row>
    <row r="2265" spans="1:13">
      <c r="A2265" s="57" t="s">
        <v>4830</v>
      </c>
      <c r="B2265" s="58">
        <f t="shared" si="139"/>
        <v>40952</v>
      </c>
      <c r="C2265" s="59">
        <f t="shared" si="140"/>
        <v>2012</v>
      </c>
      <c r="D2265" s="61">
        <v>12.7392</v>
      </c>
      <c r="E2265" s="61">
        <v>12.7857</v>
      </c>
      <c r="F2265" s="61">
        <v>12.72</v>
      </c>
      <c r="H2265" s="62" t="s">
        <v>4831</v>
      </c>
      <c r="I2265" s="58">
        <f t="shared" si="142"/>
        <v>45700</v>
      </c>
      <c r="J2265" s="60">
        <f t="shared" si="141"/>
        <v>2025</v>
      </c>
      <c r="K2265" s="64">
        <v>20.491700000000002</v>
      </c>
      <c r="L2265" s="64">
        <v>20.568000000000001</v>
      </c>
      <c r="M2265" s="64">
        <v>20.6693</v>
      </c>
    </row>
    <row r="2266" spans="1:13">
      <c r="A2266" s="65" t="s">
        <v>4832</v>
      </c>
      <c r="B2266" s="66">
        <f t="shared" si="139"/>
        <v>40953</v>
      </c>
      <c r="C2266" s="67">
        <f t="shared" si="140"/>
        <v>2012</v>
      </c>
      <c r="D2266" s="68">
        <v>12.7753</v>
      </c>
      <c r="E2266" s="68">
        <v>12.7392</v>
      </c>
      <c r="F2266" s="68">
        <v>12.7857</v>
      </c>
      <c r="H2266" s="69" t="s">
        <v>4833</v>
      </c>
      <c r="I2266" s="66">
        <f t="shared" si="142"/>
        <v>45701</v>
      </c>
      <c r="J2266" s="70">
        <f t="shared" si="141"/>
        <v>2025</v>
      </c>
      <c r="K2266" s="71">
        <v>20.497800000000002</v>
      </c>
      <c r="L2266" s="71">
        <v>20.491700000000002</v>
      </c>
      <c r="M2266" s="71">
        <v>20.568000000000001</v>
      </c>
    </row>
    <row r="2267" spans="1:13">
      <c r="A2267" s="57" t="s">
        <v>4834</v>
      </c>
      <c r="B2267" s="58">
        <f t="shared" si="139"/>
        <v>40954</v>
      </c>
      <c r="C2267" s="59">
        <f t="shared" si="140"/>
        <v>2012</v>
      </c>
      <c r="D2267" s="61">
        <v>12.7658</v>
      </c>
      <c r="E2267" s="61">
        <v>12.7753</v>
      </c>
      <c r="F2267" s="61">
        <v>12.7392</v>
      </c>
      <c r="H2267" s="62" t="s">
        <v>4835</v>
      </c>
      <c r="I2267" s="58">
        <f t="shared" si="142"/>
        <v>45702</v>
      </c>
      <c r="J2267" s="60">
        <f t="shared" si="141"/>
        <v>2025</v>
      </c>
      <c r="K2267" s="64">
        <v>20.308199999999999</v>
      </c>
      <c r="L2267" s="64">
        <v>20.497800000000002</v>
      </c>
      <c r="M2267" s="64">
        <v>20.491700000000002</v>
      </c>
    </row>
    <row r="2268" spans="1:13">
      <c r="A2268" s="65" t="s">
        <v>4836</v>
      </c>
      <c r="B2268" s="66">
        <f t="shared" si="139"/>
        <v>40955</v>
      </c>
      <c r="C2268" s="67">
        <f t="shared" si="140"/>
        <v>2012</v>
      </c>
      <c r="D2268" s="68">
        <v>12.882199999999999</v>
      </c>
      <c r="E2268" s="68">
        <v>12.7658</v>
      </c>
      <c r="F2268" s="68">
        <v>12.7753</v>
      </c>
      <c r="H2268" s="69" t="s">
        <v>4837</v>
      </c>
      <c r="I2268" s="66">
        <f t="shared" si="142"/>
        <v>45703</v>
      </c>
      <c r="J2268" s="70">
        <f t="shared" si="141"/>
        <v>2025</v>
      </c>
      <c r="K2268" s="72" t="s">
        <v>362</v>
      </c>
      <c r="L2268" s="72" t="s">
        <v>362</v>
      </c>
      <c r="M2268" s="71">
        <v>20.497800000000002</v>
      </c>
    </row>
    <row r="2269" spans="1:13">
      <c r="A2269" s="57" t="s">
        <v>4838</v>
      </c>
      <c r="B2269" s="58">
        <f t="shared" si="139"/>
        <v>40956</v>
      </c>
      <c r="C2269" s="59">
        <f t="shared" si="140"/>
        <v>2012</v>
      </c>
      <c r="D2269" s="61">
        <v>12.785600000000001</v>
      </c>
      <c r="E2269" s="61">
        <v>12.882199999999999</v>
      </c>
      <c r="F2269" s="61">
        <v>12.7658</v>
      </c>
      <c r="H2269" s="62" t="s">
        <v>4839</v>
      </c>
      <c r="I2269" s="58">
        <f t="shared" si="142"/>
        <v>45704</v>
      </c>
      <c r="J2269" s="60">
        <f t="shared" si="141"/>
        <v>2025</v>
      </c>
      <c r="K2269" s="63" t="s">
        <v>362</v>
      </c>
      <c r="L2269" s="63" t="s">
        <v>362</v>
      </c>
      <c r="M2269" s="64">
        <v>20.497800000000002</v>
      </c>
    </row>
    <row r="2270" spans="1:13">
      <c r="A2270" s="65" t="s">
        <v>4840</v>
      </c>
      <c r="B2270" s="66">
        <f t="shared" si="139"/>
        <v>40957</v>
      </c>
      <c r="C2270" s="67">
        <f t="shared" si="140"/>
        <v>2012</v>
      </c>
      <c r="D2270" s="70" t="s">
        <v>362</v>
      </c>
      <c r="E2270" s="70" t="s">
        <v>362</v>
      </c>
      <c r="F2270" s="68">
        <v>12.882199999999999</v>
      </c>
      <c r="H2270" s="69" t="s">
        <v>4841</v>
      </c>
      <c r="I2270" s="66">
        <f t="shared" si="142"/>
        <v>45705</v>
      </c>
      <c r="J2270" s="70">
        <f t="shared" si="141"/>
        <v>2025</v>
      </c>
      <c r="K2270" s="71">
        <v>20.283000000000001</v>
      </c>
      <c r="L2270" s="71">
        <v>20.308199999999999</v>
      </c>
      <c r="M2270" s="71">
        <v>20.497800000000002</v>
      </c>
    </row>
    <row r="2271" spans="1:13">
      <c r="A2271" s="57" t="s">
        <v>4842</v>
      </c>
      <c r="B2271" s="58">
        <f t="shared" ref="B2271:B2334" si="143">DATE(RIGHT(A2271,4),LEFT(RIGHT(A2271,7),2),LEFT(A2271,2))</f>
        <v>40958</v>
      </c>
      <c r="C2271" s="59">
        <f t="shared" ref="C2271:C2334" si="144">YEAR(B2271)</f>
        <v>2012</v>
      </c>
      <c r="D2271" s="60" t="s">
        <v>362</v>
      </c>
      <c r="E2271" s="60" t="s">
        <v>362</v>
      </c>
      <c r="F2271" s="61">
        <v>12.882199999999999</v>
      </c>
      <c r="H2271" s="62" t="s">
        <v>4843</v>
      </c>
      <c r="I2271" s="58">
        <f t="shared" si="142"/>
        <v>45706</v>
      </c>
      <c r="J2271" s="60">
        <f t="shared" ref="J2271:J2278" si="145">YEAR(I2271)</f>
        <v>2025</v>
      </c>
      <c r="K2271" s="64">
        <v>20.261700000000001</v>
      </c>
      <c r="L2271" s="64">
        <v>20.283000000000001</v>
      </c>
      <c r="M2271" s="64">
        <v>20.308199999999999</v>
      </c>
    </row>
    <row r="2272" spans="1:13">
      <c r="A2272" s="65" t="s">
        <v>4844</v>
      </c>
      <c r="B2272" s="66">
        <f t="shared" si="143"/>
        <v>40959</v>
      </c>
      <c r="C2272" s="67">
        <f t="shared" si="144"/>
        <v>2012</v>
      </c>
      <c r="D2272" s="68">
        <v>12.6793</v>
      </c>
      <c r="E2272" s="68">
        <v>12.785600000000001</v>
      </c>
      <c r="F2272" s="68">
        <v>12.882199999999999</v>
      </c>
      <c r="H2272" s="69" t="s">
        <v>4845</v>
      </c>
      <c r="I2272" s="66">
        <f t="shared" si="142"/>
        <v>45707</v>
      </c>
      <c r="J2272" s="70">
        <f t="shared" si="145"/>
        <v>2025</v>
      </c>
      <c r="K2272" s="71">
        <v>20.4208</v>
      </c>
      <c r="L2272" s="71">
        <v>20.261700000000001</v>
      </c>
      <c r="M2272" s="71">
        <v>20.283000000000001</v>
      </c>
    </row>
    <row r="2273" spans="1:13">
      <c r="A2273" s="57" t="s">
        <v>4846</v>
      </c>
      <c r="B2273" s="58">
        <f t="shared" si="143"/>
        <v>40960</v>
      </c>
      <c r="C2273" s="59">
        <f t="shared" si="144"/>
        <v>2012</v>
      </c>
      <c r="D2273" s="61">
        <v>12.7408</v>
      </c>
      <c r="E2273" s="61">
        <v>12.6793</v>
      </c>
      <c r="F2273" s="61">
        <v>12.785600000000001</v>
      </c>
      <c r="H2273" s="62" t="s">
        <v>4847</v>
      </c>
      <c r="I2273" s="58">
        <f t="shared" si="142"/>
        <v>45708</v>
      </c>
      <c r="J2273" s="60">
        <f t="shared" si="145"/>
        <v>2025</v>
      </c>
      <c r="K2273" s="64">
        <v>20.3733</v>
      </c>
      <c r="L2273" s="64">
        <v>20.4208</v>
      </c>
      <c r="M2273" s="64">
        <v>20.261700000000001</v>
      </c>
    </row>
    <row r="2274" spans="1:13">
      <c r="A2274" s="65" t="s">
        <v>4848</v>
      </c>
      <c r="B2274" s="66">
        <f t="shared" si="143"/>
        <v>40961</v>
      </c>
      <c r="C2274" s="67">
        <f t="shared" si="144"/>
        <v>2012</v>
      </c>
      <c r="D2274" s="68">
        <v>12.829599999999999</v>
      </c>
      <c r="E2274" s="68">
        <v>12.7408</v>
      </c>
      <c r="F2274" s="68">
        <v>12.6793</v>
      </c>
      <c r="H2274" s="69" t="s">
        <v>4849</v>
      </c>
      <c r="I2274" s="66">
        <f t="shared" si="142"/>
        <v>45709</v>
      </c>
      <c r="J2274" s="70">
        <f t="shared" si="145"/>
        <v>2025</v>
      </c>
      <c r="K2274" s="71">
        <v>20.344799999999999</v>
      </c>
      <c r="L2274" s="71">
        <v>20.3733</v>
      </c>
      <c r="M2274" s="71">
        <v>20.4208</v>
      </c>
    </row>
    <row r="2275" spans="1:13">
      <c r="A2275" s="57" t="s">
        <v>4850</v>
      </c>
      <c r="B2275" s="58">
        <f t="shared" si="143"/>
        <v>40962</v>
      </c>
      <c r="C2275" s="59">
        <f t="shared" si="144"/>
        <v>2012</v>
      </c>
      <c r="D2275" s="61">
        <v>12.8294</v>
      </c>
      <c r="E2275" s="61">
        <v>12.829599999999999</v>
      </c>
      <c r="F2275" s="61">
        <v>12.7408</v>
      </c>
      <c r="H2275" s="62" t="s">
        <v>4851</v>
      </c>
      <c r="I2275" s="58">
        <f t="shared" si="142"/>
        <v>45710</v>
      </c>
      <c r="J2275" s="60">
        <f t="shared" si="145"/>
        <v>2025</v>
      </c>
      <c r="K2275" s="63" t="s">
        <v>362</v>
      </c>
      <c r="L2275" s="63" t="s">
        <v>362</v>
      </c>
      <c r="M2275" s="64">
        <v>20.3733</v>
      </c>
    </row>
    <row r="2276" spans="1:13">
      <c r="A2276" s="65" t="s">
        <v>4852</v>
      </c>
      <c r="B2276" s="66">
        <f t="shared" si="143"/>
        <v>40963</v>
      </c>
      <c r="C2276" s="67">
        <f t="shared" si="144"/>
        <v>2012</v>
      </c>
      <c r="D2276" s="68">
        <v>12.8675</v>
      </c>
      <c r="E2276" s="68">
        <v>12.8294</v>
      </c>
      <c r="F2276" s="68">
        <v>12.829599999999999</v>
      </c>
      <c r="H2276" s="69" t="s">
        <v>4853</v>
      </c>
      <c r="I2276" s="66">
        <f t="shared" si="142"/>
        <v>45711</v>
      </c>
      <c r="J2276" s="70">
        <f t="shared" si="145"/>
        <v>2025</v>
      </c>
      <c r="K2276" s="72" t="s">
        <v>362</v>
      </c>
      <c r="L2276" s="72" t="s">
        <v>362</v>
      </c>
      <c r="M2276" s="71">
        <v>20.3733</v>
      </c>
    </row>
    <row r="2277" spans="1:13">
      <c r="A2277" s="57" t="s">
        <v>4854</v>
      </c>
      <c r="B2277" s="58">
        <f t="shared" si="143"/>
        <v>40964</v>
      </c>
      <c r="C2277" s="59">
        <f t="shared" si="144"/>
        <v>2012</v>
      </c>
      <c r="D2277" s="60" t="s">
        <v>362</v>
      </c>
      <c r="E2277" s="60" t="s">
        <v>362</v>
      </c>
      <c r="F2277" s="61">
        <v>12.8294</v>
      </c>
      <c r="H2277" s="62" t="s">
        <v>4855</v>
      </c>
      <c r="I2277" s="58">
        <f t="shared" si="142"/>
        <v>45712</v>
      </c>
      <c r="J2277" s="60">
        <f t="shared" si="145"/>
        <v>2025</v>
      </c>
      <c r="K2277" s="64">
        <v>20.463999999999999</v>
      </c>
      <c r="L2277" s="64">
        <v>20.344799999999999</v>
      </c>
      <c r="M2277" s="64">
        <v>20.3733</v>
      </c>
    </row>
    <row r="2278" spans="1:13">
      <c r="A2278" s="65" t="s">
        <v>4856</v>
      </c>
      <c r="B2278" s="66">
        <f t="shared" si="143"/>
        <v>40965</v>
      </c>
      <c r="C2278" s="67">
        <f t="shared" si="144"/>
        <v>2012</v>
      </c>
      <c r="D2278" s="70" t="s">
        <v>362</v>
      </c>
      <c r="E2278" s="70" t="s">
        <v>362</v>
      </c>
      <c r="F2278" s="68">
        <v>12.8294</v>
      </c>
      <c r="H2278" s="69" t="s">
        <v>4857</v>
      </c>
      <c r="I2278" s="66">
        <f t="shared" si="142"/>
        <v>45713</v>
      </c>
      <c r="J2278" s="70">
        <f t="shared" si="145"/>
        <v>2025</v>
      </c>
      <c r="K2278" s="71">
        <v>20.468299999999999</v>
      </c>
      <c r="L2278" s="71">
        <v>20.463999999999999</v>
      </c>
      <c r="M2278" s="71">
        <v>20.344799999999999</v>
      </c>
    </row>
    <row r="2279" spans="1:13">
      <c r="A2279" s="57" t="s">
        <v>4858</v>
      </c>
      <c r="B2279" s="58">
        <f t="shared" si="143"/>
        <v>40966</v>
      </c>
      <c r="C2279" s="59">
        <f t="shared" si="144"/>
        <v>2012</v>
      </c>
      <c r="D2279" s="61">
        <v>12.8779</v>
      </c>
      <c r="E2279" s="61">
        <v>12.8675</v>
      </c>
      <c r="F2279" s="61">
        <v>12.8294</v>
      </c>
    </row>
    <row r="2280" spans="1:13">
      <c r="A2280" s="65" t="s">
        <v>4859</v>
      </c>
      <c r="B2280" s="66">
        <f t="shared" si="143"/>
        <v>40967</v>
      </c>
      <c r="C2280" s="67">
        <f t="shared" si="144"/>
        <v>2012</v>
      </c>
      <c r="D2280" s="68">
        <v>12.8575</v>
      </c>
      <c r="E2280" s="68">
        <v>12.8779</v>
      </c>
      <c r="F2280" s="68">
        <v>12.8675</v>
      </c>
    </row>
    <row r="2281" spans="1:13">
      <c r="A2281" s="57" t="s">
        <v>4860</v>
      </c>
      <c r="B2281" s="58">
        <f t="shared" si="143"/>
        <v>40968</v>
      </c>
      <c r="C2281" s="59">
        <f t="shared" si="144"/>
        <v>2012</v>
      </c>
      <c r="D2281" s="61">
        <v>12.789099999999999</v>
      </c>
      <c r="E2281" s="61">
        <v>12.8575</v>
      </c>
      <c r="F2281" s="61">
        <v>12.8779</v>
      </c>
    </row>
    <row r="2282" spans="1:13">
      <c r="A2282" s="65" t="s">
        <v>4861</v>
      </c>
      <c r="B2282" s="66">
        <f t="shared" si="143"/>
        <v>40969</v>
      </c>
      <c r="C2282" s="67">
        <f t="shared" si="144"/>
        <v>2012</v>
      </c>
      <c r="D2282" s="68">
        <v>12.776400000000001</v>
      </c>
      <c r="E2282" s="68">
        <v>12.789099999999999</v>
      </c>
      <c r="F2282" s="68">
        <v>12.8575</v>
      </c>
    </row>
    <row r="2283" spans="1:13">
      <c r="A2283" s="57" t="s">
        <v>4862</v>
      </c>
      <c r="B2283" s="58">
        <f t="shared" si="143"/>
        <v>40970</v>
      </c>
      <c r="C2283" s="59">
        <f t="shared" si="144"/>
        <v>2012</v>
      </c>
      <c r="D2283" s="61">
        <v>12.7723</v>
      </c>
      <c r="E2283" s="61">
        <v>12.776400000000001</v>
      </c>
      <c r="F2283" s="61">
        <v>12.789099999999999</v>
      </c>
    </row>
    <row r="2284" spans="1:13">
      <c r="A2284" s="65" t="s">
        <v>4863</v>
      </c>
      <c r="B2284" s="66">
        <f t="shared" si="143"/>
        <v>40971</v>
      </c>
      <c r="C2284" s="67">
        <f t="shared" si="144"/>
        <v>2012</v>
      </c>
      <c r="D2284" s="70" t="s">
        <v>362</v>
      </c>
      <c r="E2284" s="70" t="s">
        <v>362</v>
      </c>
      <c r="F2284" s="68">
        <v>12.776400000000001</v>
      </c>
    </row>
    <row r="2285" spans="1:13">
      <c r="A2285" s="57" t="s">
        <v>4864</v>
      </c>
      <c r="B2285" s="58">
        <f t="shared" si="143"/>
        <v>40972</v>
      </c>
      <c r="C2285" s="59">
        <f t="shared" si="144"/>
        <v>2012</v>
      </c>
      <c r="D2285" s="60" t="s">
        <v>362</v>
      </c>
      <c r="E2285" s="60" t="s">
        <v>362</v>
      </c>
      <c r="F2285" s="61">
        <v>12.776400000000001</v>
      </c>
    </row>
    <row r="2286" spans="1:13">
      <c r="A2286" s="65" t="s">
        <v>4865</v>
      </c>
      <c r="B2286" s="66">
        <f t="shared" si="143"/>
        <v>40973</v>
      </c>
      <c r="C2286" s="67">
        <f t="shared" si="144"/>
        <v>2012</v>
      </c>
      <c r="D2286" s="68">
        <v>12.8339</v>
      </c>
      <c r="E2286" s="68">
        <v>12.7723</v>
      </c>
      <c r="F2286" s="68">
        <v>12.776400000000001</v>
      </c>
    </row>
    <row r="2287" spans="1:13">
      <c r="A2287" s="57" t="s">
        <v>4866</v>
      </c>
      <c r="B2287" s="58">
        <f t="shared" si="143"/>
        <v>40974</v>
      </c>
      <c r="C2287" s="59">
        <f t="shared" si="144"/>
        <v>2012</v>
      </c>
      <c r="D2287" s="61">
        <v>12.9777</v>
      </c>
      <c r="E2287" s="61">
        <v>12.8339</v>
      </c>
      <c r="F2287" s="61">
        <v>12.7723</v>
      </c>
    </row>
    <row r="2288" spans="1:13">
      <c r="A2288" s="65" t="s">
        <v>4867</v>
      </c>
      <c r="B2288" s="66">
        <f t="shared" si="143"/>
        <v>40975</v>
      </c>
      <c r="C2288" s="67">
        <f t="shared" si="144"/>
        <v>2012</v>
      </c>
      <c r="D2288" s="68">
        <v>12.946899999999999</v>
      </c>
      <c r="E2288" s="68">
        <v>12.9777</v>
      </c>
      <c r="F2288" s="68">
        <v>12.8339</v>
      </c>
    </row>
    <row r="2289" spans="1:6">
      <c r="A2289" s="57" t="s">
        <v>4868</v>
      </c>
      <c r="B2289" s="58">
        <f t="shared" si="143"/>
        <v>40976</v>
      </c>
      <c r="C2289" s="59">
        <f t="shared" si="144"/>
        <v>2012</v>
      </c>
      <c r="D2289" s="61">
        <v>12.784000000000001</v>
      </c>
      <c r="E2289" s="61">
        <v>12.946899999999999</v>
      </c>
      <c r="F2289" s="61">
        <v>12.9777</v>
      </c>
    </row>
    <row r="2290" spans="1:6">
      <c r="A2290" s="65" t="s">
        <v>4869</v>
      </c>
      <c r="B2290" s="66">
        <f t="shared" si="143"/>
        <v>40977</v>
      </c>
      <c r="C2290" s="67">
        <f t="shared" si="144"/>
        <v>2012</v>
      </c>
      <c r="D2290" s="68">
        <v>12.629899999999999</v>
      </c>
      <c r="E2290" s="68">
        <v>12.784000000000001</v>
      </c>
      <c r="F2290" s="68">
        <v>12.946899999999999</v>
      </c>
    </row>
    <row r="2291" spans="1:6">
      <c r="A2291" s="57" t="s">
        <v>4870</v>
      </c>
      <c r="B2291" s="58">
        <f t="shared" si="143"/>
        <v>40978</v>
      </c>
      <c r="C2291" s="59">
        <f t="shared" si="144"/>
        <v>2012</v>
      </c>
      <c r="D2291" s="60" t="s">
        <v>362</v>
      </c>
      <c r="E2291" s="60" t="s">
        <v>362</v>
      </c>
      <c r="F2291" s="61">
        <v>12.784000000000001</v>
      </c>
    </row>
    <row r="2292" spans="1:6">
      <c r="A2292" s="65" t="s">
        <v>4871</v>
      </c>
      <c r="B2292" s="66">
        <f t="shared" si="143"/>
        <v>40979</v>
      </c>
      <c r="C2292" s="67">
        <f t="shared" si="144"/>
        <v>2012</v>
      </c>
      <c r="D2292" s="70" t="s">
        <v>362</v>
      </c>
      <c r="E2292" s="70" t="s">
        <v>362</v>
      </c>
      <c r="F2292" s="68">
        <v>12.784000000000001</v>
      </c>
    </row>
    <row r="2293" spans="1:6">
      <c r="A2293" s="57" t="s">
        <v>4872</v>
      </c>
      <c r="B2293" s="58">
        <f t="shared" si="143"/>
        <v>40980</v>
      </c>
      <c r="C2293" s="59">
        <f t="shared" si="144"/>
        <v>2012</v>
      </c>
      <c r="D2293" s="61">
        <v>12.715</v>
      </c>
      <c r="E2293" s="61">
        <v>12.629899999999999</v>
      </c>
      <c r="F2293" s="61">
        <v>12.784000000000001</v>
      </c>
    </row>
    <row r="2294" spans="1:6">
      <c r="A2294" s="65" t="s">
        <v>4873</v>
      </c>
      <c r="B2294" s="66">
        <f t="shared" si="143"/>
        <v>40981</v>
      </c>
      <c r="C2294" s="67">
        <f t="shared" si="144"/>
        <v>2012</v>
      </c>
      <c r="D2294" s="68">
        <v>12.633599999999999</v>
      </c>
      <c r="E2294" s="68">
        <v>12.715</v>
      </c>
      <c r="F2294" s="68">
        <v>12.629899999999999</v>
      </c>
    </row>
    <row r="2295" spans="1:6">
      <c r="A2295" s="57" t="s">
        <v>4874</v>
      </c>
      <c r="B2295" s="58">
        <f t="shared" si="143"/>
        <v>40982</v>
      </c>
      <c r="C2295" s="59">
        <f t="shared" si="144"/>
        <v>2012</v>
      </c>
      <c r="D2295" s="61">
        <v>12.671900000000001</v>
      </c>
      <c r="E2295" s="61">
        <v>12.633599999999999</v>
      </c>
      <c r="F2295" s="61">
        <v>12.715</v>
      </c>
    </row>
    <row r="2296" spans="1:6">
      <c r="A2296" s="65" t="s">
        <v>4875</v>
      </c>
      <c r="B2296" s="66">
        <f t="shared" si="143"/>
        <v>40983</v>
      </c>
      <c r="C2296" s="67">
        <f t="shared" si="144"/>
        <v>2012</v>
      </c>
      <c r="D2296" s="68">
        <v>12.6591</v>
      </c>
      <c r="E2296" s="68">
        <v>12.671900000000001</v>
      </c>
      <c r="F2296" s="68">
        <v>12.633599999999999</v>
      </c>
    </row>
    <row r="2297" spans="1:6">
      <c r="A2297" s="57" t="s">
        <v>4876</v>
      </c>
      <c r="B2297" s="58">
        <f t="shared" si="143"/>
        <v>40984</v>
      </c>
      <c r="C2297" s="59">
        <f t="shared" si="144"/>
        <v>2012</v>
      </c>
      <c r="D2297" s="61">
        <v>12.6645</v>
      </c>
      <c r="E2297" s="61">
        <v>12.6591</v>
      </c>
      <c r="F2297" s="61">
        <v>12.671900000000001</v>
      </c>
    </row>
    <row r="2298" spans="1:6">
      <c r="A2298" s="65" t="s">
        <v>4877</v>
      </c>
      <c r="B2298" s="66">
        <f t="shared" si="143"/>
        <v>40985</v>
      </c>
      <c r="C2298" s="67">
        <f t="shared" si="144"/>
        <v>2012</v>
      </c>
      <c r="D2298" s="70" t="s">
        <v>362</v>
      </c>
      <c r="E2298" s="70" t="s">
        <v>362</v>
      </c>
      <c r="F2298" s="68">
        <v>12.6591</v>
      </c>
    </row>
    <row r="2299" spans="1:6">
      <c r="A2299" s="57" t="s">
        <v>4878</v>
      </c>
      <c r="B2299" s="58">
        <f t="shared" si="143"/>
        <v>40986</v>
      </c>
      <c r="C2299" s="59">
        <f t="shared" si="144"/>
        <v>2012</v>
      </c>
      <c r="D2299" s="60" t="s">
        <v>362</v>
      </c>
      <c r="E2299" s="60" t="s">
        <v>362</v>
      </c>
      <c r="F2299" s="61">
        <v>12.6591</v>
      </c>
    </row>
    <row r="2300" spans="1:6">
      <c r="A2300" s="65" t="s">
        <v>4879</v>
      </c>
      <c r="B2300" s="66">
        <f t="shared" si="143"/>
        <v>40987</v>
      </c>
      <c r="C2300" s="67">
        <f t="shared" si="144"/>
        <v>2012</v>
      </c>
      <c r="D2300" s="70" t="s">
        <v>362</v>
      </c>
      <c r="E2300" s="70" t="s">
        <v>362</v>
      </c>
      <c r="F2300" s="68">
        <v>12.6591</v>
      </c>
    </row>
    <row r="2301" spans="1:6">
      <c r="A2301" s="57" t="s">
        <v>4880</v>
      </c>
      <c r="B2301" s="58">
        <f t="shared" si="143"/>
        <v>40988</v>
      </c>
      <c r="C2301" s="59">
        <f t="shared" si="144"/>
        <v>2012</v>
      </c>
      <c r="D2301" s="61">
        <v>12.6935</v>
      </c>
      <c r="E2301" s="61">
        <v>12.6645</v>
      </c>
      <c r="F2301" s="61">
        <v>12.6591</v>
      </c>
    </row>
    <row r="2302" spans="1:6">
      <c r="A2302" s="65" t="s">
        <v>4881</v>
      </c>
      <c r="B2302" s="66">
        <f t="shared" si="143"/>
        <v>40989</v>
      </c>
      <c r="C2302" s="67">
        <f t="shared" si="144"/>
        <v>2012</v>
      </c>
      <c r="D2302" s="68">
        <v>12.683299999999999</v>
      </c>
      <c r="E2302" s="68">
        <v>12.6935</v>
      </c>
      <c r="F2302" s="68">
        <v>12.6645</v>
      </c>
    </row>
    <row r="2303" spans="1:6">
      <c r="A2303" s="57" t="s">
        <v>4882</v>
      </c>
      <c r="B2303" s="58">
        <f t="shared" si="143"/>
        <v>40990</v>
      </c>
      <c r="C2303" s="59">
        <f t="shared" si="144"/>
        <v>2012</v>
      </c>
      <c r="D2303" s="61">
        <v>12.833</v>
      </c>
      <c r="E2303" s="61">
        <v>12.683299999999999</v>
      </c>
      <c r="F2303" s="61">
        <v>12.6935</v>
      </c>
    </row>
    <row r="2304" spans="1:6">
      <c r="A2304" s="65" t="s">
        <v>4883</v>
      </c>
      <c r="B2304" s="66">
        <f t="shared" si="143"/>
        <v>40991</v>
      </c>
      <c r="C2304" s="67">
        <f t="shared" si="144"/>
        <v>2012</v>
      </c>
      <c r="D2304" s="68">
        <v>12.8035</v>
      </c>
      <c r="E2304" s="68">
        <v>12.833</v>
      </c>
      <c r="F2304" s="68">
        <v>12.683299999999999</v>
      </c>
    </row>
    <row r="2305" spans="1:6">
      <c r="A2305" s="57" t="s">
        <v>4884</v>
      </c>
      <c r="B2305" s="58">
        <f t="shared" si="143"/>
        <v>40992</v>
      </c>
      <c r="C2305" s="59">
        <f t="shared" si="144"/>
        <v>2012</v>
      </c>
      <c r="D2305" s="60" t="s">
        <v>362</v>
      </c>
      <c r="E2305" s="60" t="s">
        <v>362</v>
      </c>
      <c r="F2305" s="61">
        <v>12.833</v>
      </c>
    </row>
    <row r="2306" spans="1:6">
      <c r="A2306" s="65" t="s">
        <v>4885</v>
      </c>
      <c r="B2306" s="66">
        <f t="shared" si="143"/>
        <v>40993</v>
      </c>
      <c r="C2306" s="67">
        <f t="shared" si="144"/>
        <v>2012</v>
      </c>
      <c r="D2306" s="70" t="s">
        <v>362</v>
      </c>
      <c r="E2306" s="70" t="s">
        <v>362</v>
      </c>
      <c r="F2306" s="68">
        <v>12.833</v>
      </c>
    </row>
    <row r="2307" spans="1:6">
      <c r="A2307" s="57" t="s">
        <v>4886</v>
      </c>
      <c r="B2307" s="58">
        <f t="shared" si="143"/>
        <v>40994</v>
      </c>
      <c r="C2307" s="59">
        <f t="shared" si="144"/>
        <v>2012</v>
      </c>
      <c r="D2307" s="61">
        <v>12.679500000000001</v>
      </c>
      <c r="E2307" s="61">
        <v>12.8035</v>
      </c>
      <c r="F2307" s="61">
        <v>12.833</v>
      </c>
    </row>
    <row r="2308" spans="1:6">
      <c r="A2308" s="65" t="s">
        <v>4887</v>
      </c>
      <c r="B2308" s="66">
        <f t="shared" si="143"/>
        <v>40995</v>
      </c>
      <c r="C2308" s="67">
        <f t="shared" si="144"/>
        <v>2012</v>
      </c>
      <c r="D2308" s="68">
        <v>12.6706</v>
      </c>
      <c r="E2308" s="68">
        <v>12.679500000000001</v>
      </c>
      <c r="F2308" s="68">
        <v>12.8035</v>
      </c>
    </row>
    <row r="2309" spans="1:6">
      <c r="A2309" s="57" t="s">
        <v>4888</v>
      </c>
      <c r="B2309" s="58">
        <f t="shared" si="143"/>
        <v>40996</v>
      </c>
      <c r="C2309" s="59">
        <f t="shared" si="144"/>
        <v>2012</v>
      </c>
      <c r="D2309" s="61">
        <v>12.803900000000001</v>
      </c>
      <c r="E2309" s="61">
        <v>12.6706</v>
      </c>
      <c r="F2309" s="61">
        <v>12.679500000000001</v>
      </c>
    </row>
    <row r="2310" spans="1:6">
      <c r="A2310" s="65" t="s">
        <v>4889</v>
      </c>
      <c r="B2310" s="66">
        <f t="shared" si="143"/>
        <v>40997</v>
      </c>
      <c r="C2310" s="67">
        <f t="shared" si="144"/>
        <v>2012</v>
      </c>
      <c r="D2310" s="68">
        <v>12.8489</v>
      </c>
      <c r="E2310" s="68">
        <v>12.803900000000001</v>
      </c>
      <c r="F2310" s="68">
        <v>12.6706</v>
      </c>
    </row>
    <row r="2311" spans="1:6">
      <c r="A2311" s="57" t="s">
        <v>4890</v>
      </c>
      <c r="B2311" s="58">
        <f t="shared" si="143"/>
        <v>40998</v>
      </c>
      <c r="C2311" s="59">
        <f t="shared" si="144"/>
        <v>2012</v>
      </c>
      <c r="D2311" s="61">
        <v>12.8093</v>
      </c>
      <c r="E2311" s="61">
        <v>12.8489</v>
      </c>
      <c r="F2311" s="61">
        <v>12.803900000000001</v>
      </c>
    </row>
    <row r="2312" spans="1:6">
      <c r="A2312" s="65" t="s">
        <v>4891</v>
      </c>
      <c r="B2312" s="66">
        <f t="shared" si="143"/>
        <v>40999</v>
      </c>
      <c r="C2312" s="67">
        <f t="shared" si="144"/>
        <v>2012</v>
      </c>
      <c r="D2312" s="70" t="s">
        <v>362</v>
      </c>
      <c r="E2312" s="70" t="s">
        <v>362</v>
      </c>
      <c r="F2312" s="68">
        <v>12.8489</v>
      </c>
    </row>
    <row r="2313" spans="1:6">
      <c r="A2313" s="57" t="s">
        <v>4892</v>
      </c>
      <c r="B2313" s="58">
        <f t="shared" si="143"/>
        <v>41000</v>
      </c>
      <c r="C2313" s="59">
        <f t="shared" si="144"/>
        <v>2012</v>
      </c>
      <c r="D2313" s="60" t="s">
        <v>362</v>
      </c>
      <c r="E2313" s="60" t="s">
        <v>362</v>
      </c>
      <c r="F2313" s="61">
        <v>12.8489</v>
      </c>
    </row>
    <row r="2314" spans="1:6">
      <c r="A2314" s="65" t="s">
        <v>4893</v>
      </c>
      <c r="B2314" s="66">
        <f t="shared" si="143"/>
        <v>41001</v>
      </c>
      <c r="C2314" s="67">
        <f t="shared" si="144"/>
        <v>2012</v>
      </c>
      <c r="D2314" s="68">
        <v>12.7691</v>
      </c>
      <c r="E2314" s="68">
        <v>12.8093</v>
      </c>
      <c r="F2314" s="68">
        <v>12.8489</v>
      </c>
    </row>
    <row r="2315" spans="1:6">
      <c r="A2315" s="57" t="s">
        <v>4894</v>
      </c>
      <c r="B2315" s="58">
        <f t="shared" si="143"/>
        <v>41002</v>
      </c>
      <c r="C2315" s="59">
        <f t="shared" si="144"/>
        <v>2012</v>
      </c>
      <c r="D2315" s="61">
        <v>12.7317</v>
      </c>
      <c r="E2315" s="61">
        <v>12.7691</v>
      </c>
      <c r="F2315" s="61">
        <v>12.8093</v>
      </c>
    </row>
    <row r="2316" spans="1:6">
      <c r="A2316" s="65" t="s">
        <v>4895</v>
      </c>
      <c r="B2316" s="66">
        <f t="shared" si="143"/>
        <v>41003</v>
      </c>
      <c r="C2316" s="67">
        <f t="shared" si="144"/>
        <v>2012</v>
      </c>
      <c r="D2316" s="68">
        <v>12.8155</v>
      </c>
      <c r="E2316" s="68">
        <v>12.7317</v>
      </c>
      <c r="F2316" s="68">
        <v>12.7691</v>
      </c>
    </row>
    <row r="2317" spans="1:6">
      <c r="A2317" s="57" t="s">
        <v>4896</v>
      </c>
      <c r="B2317" s="58">
        <f t="shared" si="143"/>
        <v>41004</v>
      </c>
      <c r="C2317" s="59">
        <f t="shared" si="144"/>
        <v>2012</v>
      </c>
      <c r="D2317" s="60" t="s">
        <v>362</v>
      </c>
      <c r="E2317" s="60" t="s">
        <v>362</v>
      </c>
      <c r="F2317" s="61">
        <v>12.7317</v>
      </c>
    </row>
    <row r="2318" spans="1:6">
      <c r="A2318" s="65" t="s">
        <v>4897</v>
      </c>
      <c r="B2318" s="66">
        <f t="shared" si="143"/>
        <v>41005</v>
      </c>
      <c r="C2318" s="67">
        <f t="shared" si="144"/>
        <v>2012</v>
      </c>
      <c r="D2318" s="70" t="s">
        <v>362</v>
      </c>
      <c r="E2318" s="70" t="s">
        <v>362</v>
      </c>
      <c r="F2318" s="68">
        <v>12.7317</v>
      </c>
    </row>
    <row r="2319" spans="1:6">
      <c r="A2319" s="57" t="s">
        <v>4898</v>
      </c>
      <c r="B2319" s="58">
        <f t="shared" si="143"/>
        <v>41006</v>
      </c>
      <c r="C2319" s="59">
        <f t="shared" si="144"/>
        <v>2012</v>
      </c>
      <c r="D2319" s="60" t="s">
        <v>362</v>
      </c>
      <c r="E2319" s="60" t="s">
        <v>362</v>
      </c>
      <c r="F2319" s="61">
        <v>12.7317</v>
      </c>
    </row>
    <row r="2320" spans="1:6">
      <c r="A2320" s="65" t="s">
        <v>4899</v>
      </c>
      <c r="B2320" s="66">
        <f t="shared" si="143"/>
        <v>41007</v>
      </c>
      <c r="C2320" s="67">
        <f t="shared" si="144"/>
        <v>2012</v>
      </c>
      <c r="D2320" s="70" t="s">
        <v>362</v>
      </c>
      <c r="E2320" s="70" t="s">
        <v>362</v>
      </c>
      <c r="F2320" s="68">
        <v>12.7317</v>
      </c>
    </row>
    <row r="2321" spans="1:6">
      <c r="A2321" s="57" t="s">
        <v>4900</v>
      </c>
      <c r="B2321" s="58">
        <f t="shared" si="143"/>
        <v>41008</v>
      </c>
      <c r="C2321" s="59">
        <f t="shared" si="144"/>
        <v>2012</v>
      </c>
      <c r="D2321" s="61">
        <v>12.9902</v>
      </c>
      <c r="E2321" s="61">
        <v>12.8155</v>
      </c>
      <c r="F2321" s="61">
        <v>12.7317</v>
      </c>
    </row>
    <row r="2322" spans="1:6">
      <c r="A2322" s="65" t="s">
        <v>4901</v>
      </c>
      <c r="B2322" s="66">
        <f t="shared" si="143"/>
        <v>41009</v>
      </c>
      <c r="C2322" s="67">
        <f t="shared" si="144"/>
        <v>2012</v>
      </c>
      <c r="D2322" s="68">
        <v>13.1568</v>
      </c>
      <c r="E2322" s="68">
        <v>12.9902</v>
      </c>
      <c r="F2322" s="68">
        <v>12.8155</v>
      </c>
    </row>
    <row r="2323" spans="1:6">
      <c r="A2323" s="57" t="s">
        <v>4902</v>
      </c>
      <c r="B2323" s="58">
        <f t="shared" si="143"/>
        <v>41010</v>
      </c>
      <c r="C2323" s="59">
        <f t="shared" si="144"/>
        <v>2012</v>
      </c>
      <c r="D2323" s="61">
        <v>13.132400000000001</v>
      </c>
      <c r="E2323" s="61">
        <v>13.1568</v>
      </c>
      <c r="F2323" s="61">
        <v>12.9902</v>
      </c>
    </row>
    <row r="2324" spans="1:6">
      <c r="A2324" s="65" t="s">
        <v>4903</v>
      </c>
      <c r="B2324" s="66">
        <f t="shared" si="143"/>
        <v>41011</v>
      </c>
      <c r="C2324" s="67">
        <f t="shared" si="144"/>
        <v>2012</v>
      </c>
      <c r="D2324" s="68">
        <v>13.073600000000001</v>
      </c>
      <c r="E2324" s="68">
        <v>13.132400000000001</v>
      </c>
      <c r="F2324" s="68">
        <v>13.1568</v>
      </c>
    </row>
    <row r="2325" spans="1:6">
      <c r="A2325" s="57" t="s">
        <v>4904</v>
      </c>
      <c r="B2325" s="58">
        <f t="shared" si="143"/>
        <v>41012</v>
      </c>
      <c r="C2325" s="59">
        <f t="shared" si="144"/>
        <v>2012</v>
      </c>
      <c r="D2325" s="61">
        <v>13.145799999999999</v>
      </c>
      <c r="E2325" s="61">
        <v>13.073600000000001</v>
      </c>
      <c r="F2325" s="61">
        <v>13.132400000000001</v>
      </c>
    </row>
    <row r="2326" spans="1:6">
      <c r="A2326" s="65" t="s">
        <v>4905</v>
      </c>
      <c r="B2326" s="66">
        <f t="shared" si="143"/>
        <v>41013</v>
      </c>
      <c r="C2326" s="67">
        <f t="shared" si="144"/>
        <v>2012</v>
      </c>
      <c r="D2326" s="70" t="s">
        <v>362</v>
      </c>
      <c r="E2326" s="70" t="s">
        <v>362</v>
      </c>
      <c r="F2326" s="68">
        <v>13.073600000000001</v>
      </c>
    </row>
    <row r="2327" spans="1:6">
      <c r="A2327" s="57" t="s">
        <v>4906</v>
      </c>
      <c r="B2327" s="58">
        <f t="shared" si="143"/>
        <v>41014</v>
      </c>
      <c r="C2327" s="59">
        <f t="shared" si="144"/>
        <v>2012</v>
      </c>
      <c r="D2327" s="60" t="s">
        <v>362</v>
      </c>
      <c r="E2327" s="60" t="s">
        <v>362</v>
      </c>
      <c r="F2327" s="61">
        <v>13.073600000000001</v>
      </c>
    </row>
    <row r="2328" spans="1:6">
      <c r="A2328" s="65" t="s">
        <v>4907</v>
      </c>
      <c r="B2328" s="66">
        <f t="shared" si="143"/>
        <v>41015</v>
      </c>
      <c r="C2328" s="67">
        <f t="shared" si="144"/>
        <v>2012</v>
      </c>
      <c r="D2328" s="68">
        <v>13.216799999999999</v>
      </c>
      <c r="E2328" s="68">
        <v>13.145799999999999</v>
      </c>
      <c r="F2328" s="68">
        <v>13.073600000000001</v>
      </c>
    </row>
    <row r="2329" spans="1:6">
      <c r="A2329" s="57" t="s">
        <v>4908</v>
      </c>
      <c r="B2329" s="58">
        <f t="shared" si="143"/>
        <v>41016</v>
      </c>
      <c r="C2329" s="59">
        <f t="shared" si="144"/>
        <v>2012</v>
      </c>
      <c r="D2329" s="61">
        <v>13.0816</v>
      </c>
      <c r="E2329" s="61">
        <v>13.216799999999999</v>
      </c>
      <c r="F2329" s="61">
        <v>13.145799999999999</v>
      </c>
    </row>
    <row r="2330" spans="1:6">
      <c r="A2330" s="65" t="s">
        <v>4909</v>
      </c>
      <c r="B2330" s="66">
        <f t="shared" si="143"/>
        <v>41017</v>
      </c>
      <c r="C2330" s="67">
        <f t="shared" si="144"/>
        <v>2012</v>
      </c>
      <c r="D2330" s="68">
        <v>13.132199999999999</v>
      </c>
      <c r="E2330" s="68">
        <v>13.0816</v>
      </c>
      <c r="F2330" s="68">
        <v>13.216799999999999</v>
      </c>
    </row>
    <row r="2331" spans="1:6">
      <c r="A2331" s="57" t="s">
        <v>4910</v>
      </c>
      <c r="B2331" s="58">
        <f t="shared" si="143"/>
        <v>41018</v>
      </c>
      <c r="C2331" s="59">
        <f t="shared" si="144"/>
        <v>2012</v>
      </c>
      <c r="D2331" s="61">
        <v>13.2288</v>
      </c>
      <c r="E2331" s="61">
        <v>13.132199999999999</v>
      </c>
      <c r="F2331" s="61">
        <v>13.0816</v>
      </c>
    </row>
    <row r="2332" spans="1:6">
      <c r="A2332" s="65" t="s">
        <v>4911</v>
      </c>
      <c r="B2332" s="66">
        <f t="shared" si="143"/>
        <v>41019</v>
      </c>
      <c r="C2332" s="67">
        <f t="shared" si="144"/>
        <v>2012</v>
      </c>
      <c r="D2332" s="68">
        <v>13.117100000000001</v>
      </c>
      <c r="E2332" s="68">
        <v>13.2288</v>
      </c>
      <c r="F2332" s="68">
        <v>13.132199999999999</v>
      </c>
    </row>
    <row r="2333" spans="1:6">
      <c r="A2333" s="57" t="s">
        <v>4912</v>
      </c>
      <c r="B2333" s="58">
        <f t="shared" si="143"/>
        <v>41020</v>
      </c>
      <c r="C2333" s="59">
        <f t="shared" si="144"/>
        <v>2012</v>
      </c>
      <c r="D2333" s="60" t="s">
        <v>362</v>
      </c>
      <c r="E2333" s="60" t="s">
        <v>362</v>
      </c>
      <c r="F2333" s="61">
        <v>13.2288</v>
      </c>
    </row>
    <row r="2334" spans="1:6">
      <c r="A2334" s="65" t="s">
        <v>4913</v>
      </c>
      <c r="B2334" s="66">
        <f t="shared" si="143"/>
        <v>41021</v>
      </c>
      <c r="C2334" s="67">
        <f t="shared" si="144"/>
        <v>2012</v>
      </c>
      <c r="D2334" s="70" t="s">
        <v>362</v>
      </c>
      <c r="E2334" s="70" t="s">
        <v>362</v>
      </c>
      <c r="F2334" s="68">
        <v>13.2288</v>
      </c>
    </row>
    <row r="2335" spans="1:6">
      <c r="A2335" s="57" t="s">
        <v>4914</v>
      </c>
      <c r="B2335" s="58">
        <f t="shared" ref="B2335:B2398" si="146">DATE(RIGHT(A2335,4),LEFT(RIGHT(A2335,7),2),LEFT(A2335,2))</f>
        <v>41022</v>
      </c>
      <c r="C2335" s="59">
        <f t="shared" ref="C2335:C2398" si="147">YEAR(B2335)</f>
        <v>2012</v>
      </c>
      <c r="D2335" s="61">
        <v>13.2087</v>
      </c>
      <c r="E2335" s="61">
        <v>13.117100000000001</v>
      </c>
      <c r="F2335" s="61">
        <v>13.2288</v>
      </c>
    </row>
    <row r="2336" spans="1:6">
      <c r="A2336" s="65" t="s">
        <v>4915</v>
      </c>
      <c r="B2336" s="66">
        <f t="shared" si="146"/>
        <v>41023</v>
      </c>
      <c r="C2336" s="67">
        <f t="shared" si="147"/>
        <v>2012</v>
      </c>
      <c r="D2336" s="68">
        <v>13.139200000000001</v>
      </c>
      <c r="E2336" s="68">
        <v>13.2087</v>
      </c>
      <c r="F2336" s="68">
        <v>13.117100000000001</v>
      </c>
    </row>
    <row r="2337" spans="1:6">
      <c r="A2337" s="57" t="s">
        <v>4916</v>
      </c>
      <c r="B2337" s="58">
        <f t="shared" si="146"/>
        <v>41024</v>
      </c>
      <c r="C2337" s="59">
        <f t="shared" si="147"/>
        <v>2012</v>
      </c>
      <c r="D2337" s="61">
        <v>13.166700000000001</v>
      </c>
      <c r="E2337" s="61">
        <v>13.139200000000001</v>
      </c>
      <c r="F2337" s="61">
        <v>13.2087</v>
      </c>
    </row>
    <row r="2338" spans="1:6">
      <c r="A2338" s="65" t="s">
        <v>4917</v>
      </c>
      <c r="B2338" s="66">
        <f t="shared" si="146"/>
        <v>41025</v>
      </c>
      <c r="C2338" s="67">
        <f t="shared" si="147"/>
        <v>2012</v>
      </c>
      <c r="D2338" s="68">
        <v>13.209300000000001</v>
      </c>
      <c r="E2338" s="68">
        <v>13.166700000000001</v>
      </c>
      <c r="F2338" s="68">
        <v>13.139200000000001</v>
      </c>
    </row>
    <row r="2339" spans="1:6">
      <c r="A2339" s="57" t="s">
        <v>4918</v>
      </c>
      <c r="B2339" s="58">
        <f t="shared" si="146"/>
        <v>41026</v>
      </c>
      <c r="C2339" s="59">
        <f t="shared" si="147"/>
        <v>2012</v>
      </c>
      <c r="D2339" s="61">
        <v>13.014099999999999</v>
      </c>
      <c r="E2339" s="61">
        <v>13.209300000000001</v>
      </c>
      <c r="F2339" s="61">
        <v>13.166700000000001</v>
      </c>
    </row>
    <row r="2340" spans="1:6">
      <c r="A2340" s="65" t="s">
        <v>4919</v>
      </c>
      <c r="B2340" s="66">
        <f t="shared" si="146"/>
        <v>41027</v>
      </c>
      <c r="C2340" s="67">
        <f t="shared" si="147"/>
        <v>2012</v>
      </c>
      <c r="D2340" s="70" t="s">
        <v>362</v>
      </c>
      <c r="E2340" s="70" t="s">
        <v>362</v>
      </c>
      <c r="F2340" s="68">
        <v>13.209300000000001</v>
      </c>
    </row>
    <row r="2341" spans="1:6">
      <c r="A2341" s="57" t="s">
        <v>4920</v>
      </c>
      <c r="B2341" s="58">
        <f t="shared" si="146"/>
        <v>41028</v>
      </c>
      <c r="C2341" s="59">
        <f t="shared" si="147"/>
        <v>2012</v>
      </c>
      <c r="D2341" s="60" t="s">
        <v>362</v>
      </c>
      <c r="E2341" s="60" t="s">
        <v>362</v>
      </c>
      <c r="F2341" s="61">
        <v>13.209300000000001</v>
      </c>
    </row>
    <row r="2342" spans="1:6">
      <c r="A2342" s="65" t="s">
        <v>4921</v>
      </c>
      <c r="B2342" s="66">
        <f t="shared" si="146"/>
        <v>41029</v>
      </c>
      <c r="C2342" s="67">
        <f t="shared" si="147"/>
        <v>2012</v>
      </c>
      <c r="D2342" s="68">
        <v>12.994199999999999</v>
      </c>
      <c r="E2342" s="68">
        <v>13.014099999999999</v>
      </c>
      <c r="F2342" s="68">
        <v>13.209300000000001</v>
      </c>
    </row>
    <row r="2343" spans="1:6">
      <c r="A2343" s="57" t="s">
        <v>4922</v>
      </c>
      <c r="B2343" s="58">
        <f t="shared" si="146"/>
        <v>41030</v>
      </c>
      <c r="C2343" s="59">
        <f t="shared" si="147"/>
        <v>2012</v>
      </c>
      <c r="D2343" s="60" t="s">
        <v>362</v>
      </c>
      <c r="E2343" s="60" t="s">
        <v>362</v>
      </c>
      <c r="F2343" s="61">
        <v>13.014099999999999</v>
      </c>
    </row>
    <row r="2344" spans="1:6">
      <c r="A2344" s="65" t="s">
        <v>4923</v>
      </c>
      <c r="B2344" s="66">
        <f t="shared" si="146"/>
        <v>41031</v>
      </c>
      <c r="C2344" s="67">
        <f t="shared" si="147"/>
        <v>2012</v>
      </c>
      <c r="D2344" s="68">
        <v>12.962899999999999</v>
      </c>
      <c r="E2344" s="68">
        <v>12.994199999999999</v>
      </c>
      <c r="F2344" s="68">
        <v>13.014099999999999</v>
      </c>
    </row>
    <row r="2345" spans="1:6">
      <c r="A2345" s="57" t="s">
        <v>4924</v>
      </c>
      <c r="B2345" s="58">
        <f t="shared" si="146"/>
        <v>41032</v>
      </c>
      <c r="C2345" s="59">
        <f t="shared" si="147"/>
        <v>2012</v>
      </c>
      <c r="D2345" s="61">
        <v>12.9725</v>
      </c>
      <c r="E2345" s="61">
        <v>12.962899999999999</v>
      </c>
      <c r="F2345" s="61">
        <v>12.994199999999999</v>
      </c>
    </row>
    <row r="2346" spans="1:6">
      <c r="A2346" s="65" t="s">
        <v>4925</v>
      </c>
      <c r="B2346" s="66">
        <f t="shared" si="146"/>
        <v>41033</v>
      </c>
      <c r="C2346" s="67">
        <f t="shared" si="147"/>
        <v>2012</v>
      </c>
      <c r="D2346" s="68">
        <v>13.134399999999999</v>
      </c>
      <c r="E2346" s="68">
        <v>12.9725</v>
      </c>
      <c r="F2346" s="68">
        <v>12.962899999999999</v>
      </c>
    </row>
    <row r="2347" spans="1:6">
      <c r="A2347" s="57" t="s">
        <v>4926</v>
      </c>
      <c r="B2347" s="58">
        <f t="shared" si="146"/>
        <v>41034</v>
      </c>
      <c r="C2347" s="59">
        <f t="shared" si="147"/>
        <v>2012</v>
      </c>
      <c r="D2347" s="60" t="s">
        <v>362</v>
      </c>
      <c r="E2347" s="60" t="s">
        <v>362</v>
      </c>
      <c r="F2347" s="61">
        <v>12.9725</v>
      </c>
    </row>
    <row r="2348" spans="1:6">
      <c r="A2348" s="65" t="s">
        <v>4927</v>
      </c>
      <c r="B2348" s="66">
        <f t="shared" si="146"/>
        <v>41035</v>
      </c>
      <c r="C2348" s="67">
        <f t="shared" si="147"/>
        <v>2012</v>
      </c>
      <c r="D2348" s="70" t="s">
        <v>362</v>
      </c>
      <c r="E2348" s="70" t="s">
        <v>362</v>
      </c>
      <c r="F2348" s="68">
        <v>12.9725</v>
      </c>
    </row>
    <row r="2349" spans="1:6">
      <c r="A2349" s="57" t="s">
        <v>4928</v>
      </c>
      <c r="B2349" s="58">
        <f t="shared" si="146"/>
        <v>41036</v>
      </c>
      <c r="C2349" s="59">
        <f t="shared" si="147"/>
        <v>2012</v>
      </c>
      <c r="D2349" s="61">
        <v>13.165900000000001</v>
      </c>
      <c r="E2349" s="61">
        <v>13.134399999999999</v>
      </c>
      <c r="F2349" s="61">
        <v>12.9725</v>
      </c>
    </row>
    <row r="2350" spans="1:6">
      <c r="A2350" s="65" t="s">
        <v>4929</v>
      </c>
      <c r="B2350" s="66">
        <f t="shared" si="146"/>
        <v>41037</v>
      </c>
      <c r="C2350" s="67">
        <f t="shared" si="147"/>
        <v>2012</v>
      </c>
      <c r="D2350" s="68">
        <v>13.337400000000001</v>
      </c>
      <c r="E2350" s="68">
        <v>13.165900000000001</v>
      </c>
      <c r="F2350" s="68">
        <v>13.134399999999999</v>
      </c>
    </row>
    <row r="2351" spans="1:6">
      <c r="A2351" s="57" t="s">
        <v>4930</v>
      </c>
      <c r="B2351" s="58">
        <f t="shared" si="146"/>
        <v>41038</v>
      </c>
      <c r="C2351" s="59">
        <f t="shared" si="147"/>
        <v>2012</v>
      </c>
      <c r="D2351" s="61">
        <v>13.515000000000001</v>
      </c>
      <c r="E2351" s="61">
        <v>13.337400000000001</v>
      </c>
      <c r="F2351" s="61">
        <v>13.165900000000001</v>
      </c>
    </row>
    <row r="2352" spans="1:6">
      <c r="A2352" s="65" t="s">
        <v>4931</v>
      </c>
      <c r="B2352" s="66">
        <f t="shared" si="146"/>
        <v>41039</v>
      </c>
      <c r="C2352" s="67">
        <f t="shared" si="147"/>
        <v>2012</v>
      </c>
      <c r="D2352" s="68">
        <v>13.446999999999999</v>
      </c>
      <c r="E2352" s="68">
        <v>13.515000000000001</v>
      </c>
      <c r="F2352" s="68">
        <v>13.337400000000001</v>
      </c>
    </row>
    <row r="2353" spans="1:6">
      <c r="A2353" s="57" t="s">
        <v>4932</v>
      </c>
      <c r="B2353" s="58">
        <f t="shared" si="146"/>
        <v>41040</v>
      </c>
      <c r="C2353" s="59">
        <f t="shared" si="147"/>
        <v>2012</v>
      </c>
      <c r="D2353" s="61">
        <v>13.492900000000001</v>
      </c>
      <c r="E2353" s="61">
        <v>13.446999999999999</v>
      </c>
      <c r="F2353" s="61">
        <v>13.515000000000001</v>
      </c>
    </row>
    <row r="2354" spans="1:6">
      <c r="A2354" s="65" t="s">
        <v>4933</v>
      </c>
      <c r="B2354" s="66">
        <f t="shared" si="146"/>
        <v>41041</v>
      </c>
      <c r="C2354" s="67">
        <f t="shared" si="147"/>
        <v>2012</v>
      </c>
      <c r="D2354" s="70" t="s">
        <v>362</v>
      </c>
      <c r="E2354" s="70" t="s">
        <v>362</v>
      </c>
      <c r="F2354" s="68">
        <v>13.446999999999999</v>
      </c>
    </row>
    <row r="2355" spans="1:6">
      <c r="A2355" s="57" t="s">
        <v>4934</v>
      </c>
      <c r="B2355" s="58">
        <f t="shared" si="146"/>
        <v>41042</v>
      </c>
      <c r="C2355" s="59">
        <f t="shared" si="147"/>
        <v>2012</v>
      </c>
      <c r="D2355" s="60" t="s">
        <v>362</v>
      </c>
      <c r="E2355" s="60" t="s">
        <v>362</v>
      </c>
      <c r="F2355" s="61">
        <v>13.446999999999999</v>
      </c>
    </row>
    <row r="2356" spans="1:6">
      <c r="A2356" s="65" t="s">
        <v>4935</v>
      </c>
      <c r="B2356" s="66">
        <f t="shared" si="146"/>
        <v>41043</v>
      </c>
      <c r="C2356" s="67">
        <f t="shared" si="147"/>
        <v>2012</v>
      </c>
      <c r="D2356" s="68">
        <v>13.6739</v>
      </c>
      <c r="E2356" s="68">
        <v>13.492900000000001</v>
      </c>
      <c r="F2356" s="68">
        <v>13.446999999999999</v>
      </c>
    </row>
    <row r="2357" spans="1:6">
      <c r="A2357" s="57" t="s">
        <v>4936</v>
      </c>
      <c r="B2357" s="58">
        <f t="shared" si="146"/>
        <v>41044</v>
      </c>
      <c r="C2357" s="59">
        <f t="shared" si="147"/>
        <v>2012</v>
      </c>
      <c r="D2357" s="61">
        <v>13.7302</v>
      </c>
      <c r="E2357" s="61">
        <v>13.6739</v>
      </c>
      <c r="F2357" s="61">
        <v>13.492900000000001</v>
      </c>
    </row>
    <row r="2358" spans="1:6">
      <c r="A2358" s="65" t="s">
        <v>4937</v>
      </c>
      <c r="B2358" s="66">
        <f t="shared" si="146"/>
        <v>41045</v>
      </c>
      <c r="C2358" s="67">
        <f t="shared" si="147"/>
        <v>2012</v>
      </c>
      <c r="D2358" s="68">
        <v>13.774699999999999</v>
      </c>
      <c r="E2358" s="68">
        <v>13.7302</v>
      </c>
      <c r="F2358" s="68">
        <v>13.6739</v>
      </c>
    </row>
    <row r="2359" spans="1:6">
      <c r="A2359" s="57" t="s">
        <v>4938</v>
      </c>
      <c r="B2359" s="58">
        <f t="shared" si="146"/>
        <v>41046</v>
      </c>
      <c r="C2359" s="59">
        <f t="shared" si="147"/>
        <v>2012</v>
      </c>
      <c r="D2359" s="61">
        <v>13.7994</v>
      </c>
      <c r="E2359" s="61">
        <v>13.774699999999999</v>
      </c>
      <c r="F2359" s="61">
        <v>13.7302</v>
      </c>
    </row>
    <row r="2360" spans="1:6">
      <c r="A2360" s="65" t="s">
        <v>4939</v>
      </c>
      <c r="B2360" s="66">
        <f t="shared" si="146"/>
        <v>41047</v>
      </c>
      <c r="C2360" s="67">
        <f t="shared" si="147"/>
        <v>2012</v>
      </c>
      <c r="D2360" s="68">
        <v>13.780900000000001</v>
      </c>
      <c r="E2360" s="68">
        <v>13.7994</v>
      </c>
      <c r="F2360" s="68">
        <v>13.774699999999999</v>
      </c>
    </row>
    <row r="2361" spans="1:6">
      <c r="A2361" s="57" t="s">
        <v>4940</v>
      </c>
      <c r="B2361" s="58">
        <f t="shared" si="146"/>
        <v>41048</v>
      </c>
      <c r="C2361" s="59">
        <f t="shared" si="147"/>
        <v>2012</v>
      </c>
      <c r="D2361" s="60" t="s">
        <v>362</v>
      </c>
      <c r="E2361" s="60" t="s">
        <v>362</v>
      </c>
      <c r="F2361" s="61">
        <v>13.7994</v>
      </c>
    </row>
    <row r="2362" spans="1:6">
      <c r="A2362" s="65" t="s">
        <v>4941</v>
      </c>
      <c r="B2362" s="66">
        <f t="shared" si="146"/>
        <v>41049</v>
      </c>
      <c r="C2362" s="67">
        <f t="shared" si="147"/>
        <v>2012</v>
      </c>
      <c r="D2362" s="70" t="s">
        <v>362</v>
      </c>
      <c r="E2362" s="70" t="s">
        <v>362</v>
      </c>
      <c r="F2362" s="68">
        <v>13.7994</v>
      </c>
    </row>
    <row r="2363" spans="1:6">
      <c r="A2363" s="57" t="s">
        <v>4942</v>
      </c>
      <c r="B2363" s="58">
        <f t="shared" si="146"/>
        <v>41050</v>
      </c>
      <c r="C2363" s="59">
        <f t="shared" si="147"/>
        <v>2012</v>
      </c>
      <c r="D2363" s="61">
        <v>13.7935</v>
      </c>
      <c r="E2363" s="61">
        <v>13.780900000000001</v>
      </c>
      <c r="F2363" s="61">
        <v>13.7994</v>
      </c>
    </row>
    <row r="2364" spans="1:6">
      <c r="A2364" s="65" t="s">
        <v>4943</v>
      </c>
      <c r="B2364" s="66">
        <f t="shared" si="146"/>
        <v>41051</v>
      </c>
      <c r="C2364" s="67">
        <f t="shared" si="147"/>
        <v>2012</v>
      </c>
      <c r="D2364" s="68">
        <v>13.7203</v>
      </c>
      <c r="E2364" s="68">
        <v>13.7935</v>
      </c>
      <c r="F2364" s="68">
        <v>13.780900000000001</v>
      </c>
    </row>
    <row r="2365" spans="1:6">
      <c r="A2365" s="57" t="s">
        <v>4944</v>
      </c>
      <c r="B2365" s="58">
        <f t="shared" si="146"/>
        <v>41052</v>
      </c>
      <c r="C2365" s="59">
        <f t="shared" si="147"/>
        <v>2012</v>
      </c>
      <c r="D2365" s="61">
        <v>14.0335</v>
      </c>
      <c r="E2365" s="61">
        <v>13.7203</v>
      </c>
      <c r="F2365" s="61">
        <v>13.7935</v>
      </c>
    </row>
    <row r="2366" spans="1:6">
      <c r="A2366" s="65" t="s">
        <v>4945</v>
      </c>
      <c r="B2366" s="66">
        <f t="shared" si="146"/>
        <v>41053</v>
      </c>
      <c r="C2366" s="67">
        <f t="shared" si="147"/>
        <v>2012</v>
      </c>
      <c r="D2366" s="68">
        <v>14.004</v>
      </c>
      <c r="E2366" s="68">
        <v>14.0335</v>
      </c>
      <c r="F2366" s="68">
        <v>13.7203</v>
      </c>
    </row>
    <row r="2367" spans="1:6">
      <c r="A2367" s="57" t="s">
        <v>4946</v>
      </c>
      <c r="B2367" s="58">
        <f t="shared" si="146"/>
        <v>41054</v>
      </c>
      <c r="C2367" s="59">
        <f t="shared" si="147"/>
        <v>2012</v>
      </c>
      <c r="D2367" s="61">
        <v>14.015599999999999</v>
      </c>
      <c r="E2367" s="61">
        <v>14.004</v>
      </c>
      <c r="F2367" s="61">
        <v>14.0335</v>
      </c>
    </row>
    <row r="2368" spans="1:6">
      <c r="A2368" s="65" t="s">
        <v>4947</v>
      </c>
      <c r="B2368" s="66">
        <f t="shared" si="146"/>
        <v>41055</v>
      </c>
      <c r="C2368" s="67">
        <f t="shared" si="147"/>
        <v>2012</v>
      </c>
      <c r="D2368" s="70" t="s">
        <v>362</v>
      </c>
      <c r="E2368" s="70" t="s">
        <v>362</v>
      </c>
      <c r="F2368" s="68">
        <v>14.004</v>
      </c>
    </row>
    <row r="2369" spans="1:6">
      <c r="A2369" s="57" t="s">
        <v>4948</v>
      </c>
      <c r="B2369" s="58">
        <f t="shared" si="146"/>
        <v>41056</v>
      </c>
      <c r="C2369" s="59">
        <f t="shared" si="147"/>
        <v>2012</v>
      </c>
      <c r="D2369" s="60" t="s">
        <v>362</v>
      </c>
      <c r="E2369" s="60" t="s">
        <v>362</v>
      </c>
      <c r="F2369" s="61">
        <v>14.004</v>
      </c>
    </row>
    <row r="2370" spans="1:6">
      <c r="A2370" s="65" t="s">
        <v>4949</v>
      </c>
      <c r="B2370" s="66">
        <f t="shared" si="146"/>
        <v>41057</v>
      </c>
      <c r="C2370" s="67">
        <f t="shared" si="147"/>
        <v>2012</v>
      </c>
      <c r="D2370" s="68">
        <v>13.943899999999999</v>
      </c>
      <c r="E2370" s="68">
        <v>14.015599999999999</v>
      </c>
      <c r="F2370" s="68">
        <v>14.004</v>
      </c>
    </row>
    <row r="2371" spans="1:6">
      <c r="A2371" s="57" t="s">
        <v>4950</v>
      </c>
      <c r="B2371" s="58">
        <f t="shared" si="146"/>
        <v>41058</v>
      </c>
      <c r="C2371" s="59">
        <f t="shared" si="147"/>
        <v>2012</v>
      </c>
      <c r="D2371" s="61">
        <v>13.9169</v>
      </c>
      <c r="E2371" s="61">
        <v>13.943899999999999</v>
      </c>
      <c r="F2371" s="61">
        <v>14.015599999999999</v>
      </c>
    </row>
    <row r="2372" spans="1:6">
      <c r="A2372" s="65" t="s">
        <v>4951</v>
      </c>
      <c r="B2372" s="66">
        <f t="shared" si="146"/>
        <v>41059</v>
      </c>
      <c r="C2372" s="67">
        <f t="shared" si="147"/>
        <v>2012</v>
      </c>
      <c r="D2372" s="68">
        <v>14.0749</v>
      </c>
      <c r="E2372" s="68">
        <v>13.9169</v>
      </c>
      <c r="F2372" s="68">
        <v>13.943899999999999</v>
      </c>
    </row>
    <row r="2373" spans="1:6">
      <c r="A2373" s="57" t="s">
        <v>4952</v>
      </c>
      <c r="B2373" s="58">
        <f t="shared" si="146"/>
        <v>41060</v>
      </c>
      <c r="C2373" s="59">
        <f t="shared" si="147"/>
        <v>2012</v>
      </c>
      <c r="D2373" s="61">
        <v>14.3047</v>
      </c>
      <c r="E2373" s="61">
        <v>14.0749</v>
      </c>
      <c r="F2373" s="61">
        <v>13.9169</v>
      </c>
    </row>
    <row r="2374" spans="1:6">
      <c r="A2374" s="65" t="s">
        <v>4953</v>
      </c>
      <c r="B2374" s="66">
        <f t="shared" si="146"/>
        <v>41061</v>
      </c>
      <c r="C2374" s="67">
        <f t="shared" si="147"/>
        <v>2012</v>
      </c>
      <c r="D2374" s="68">
        <v>14.3949</v>
      </c>
      <c r="E2374" s="68">
        <v>14.3047</v>
      </c>
      <c r="F2374" s="68">
        <v>14.0749</v>
      </c>
    </row>
    <row r="2375" spans="1:6">
      <c r="A2375" s="57" t="s">
        <v>4954</v>
      </c>
      <c r="B2375" s="58">
        <f t="shared" si="146"/>
        <v>41062</v>
      </c>
      <c r="C2375" s="59">
        <f t="shared" si="147"/>
        <v>2012</v>
      </c>
      <c r="D2375" s="60" t="s">
        <v>362</v>
      </c>
      <c r="E2375" s="60" t="s">
        <v>362</v>
      </c>
      <c r="F2375" s="61">
        <v>14.3047</v>
      </c>
    </row>
    <row r="2376" spans="1:6">
      <c r="A2376" s="65" t="s">
        <v>4955</v>
      </c>
      <c r="B2376" s="66">
        <f t="shared" si="146"/>
        <v>41063</v>
      </c>
      <c r="C2376" s="67">
        <f t="shared" si="147"/>
        <v>2012</v>
      </c>
      <c r="D2376" s="70" t="s">
        <v>362</v>
      </c>
      <c r="E2376" s="70" t="s">
        <v>362</v>
      </c>
      <c r="F2376" s="68">
        <v>14.3047</v>
      </c>
    </row>
    <row r="2377" spans="1:6">
      <c r="A2377" s="57" t="s">
        <v>4956</v>
      </c>
      <c r="B2377" s="58">
        <f t="shared" si="146"/>
        <v>41064</v>
      </c>
      <c r="C2377" s="59">
        <f t="shared" si="147"/>
        <v>2012</v>
      </c>
      <c r="D2377" s="61">
        <v>14.244300000000001</v>
      </c>
      <c r="E2377" s="61">
        <v>14.3949</v>
      </c>
      <c r="F2377" s="61">
        <v>14.3047</v>
      </c>
    </row>
    <row r="2378" spans="1:6">
      <c r="A2378" s="65" t="s">
        <v>4957</v>
      </c>
      <c r="B2378" s="66">
        <f t="shared" si="146"/>
        <v>41065</v>
      </c>
      <c r="C2378" s="67">
        <f t="shared" si="147"/>
        <v>2012</v>
      </c>
      <c r="D2378" s="68">
        <v>14.2319</v>
      </c>
      <c r="E2378" s="68">
        <v>14.244300000000001</v>
      </c>
      <c r="F2378" s="68">
        <v>14.3949</v>
      </c>
    </row>
    <row r="2379" spans="1:6">
      <c r="A2379" s="57" t="s">
        <v>4958</v>
      </c>
      <c r="B2379" s="58">
        <f t="shared" si="146"/>
        <v>41066</v>
      </c>
      <c r="C2379" s="59">
        <f t="shared" si="147"/>
        <v>2012</v>
      </c>
      <c r="D2379" s="61">
        <v>14.111599999999999</v>
      </c>
      <c r="E2379" s="61">
        <v>14.2319</v>
      </c>
      <c r="F2379" s="61">
        <v>14.244300000000001</v>
      </c>
    </row>
    <row r="2380" spans="1:6">
      <c r="A2380" s="65" t="s">
        <v>4959</v>
      </c>
      <c r="B2380" s="66">
        <f t="shared" si="146"/>
        <v>41067</v>
      </c>
      <c r="C2380" s="67">
        <f t="shared" si="147"/>
        <v>2012</v>
      </c>
      <c r="D2380" s="68">
        <v>13.935499999999999</v>
      </c>
      <c r="E2380" s="68">
        <v>14.111599999999999</v>
      </c>
      <c r="F2380" s="68">
        <v>14.2319</v>
      </c>
    </row>
    <row r="2381" spans="1:6">
      <c r="A2381" s="57" t="s">
        <v>4960</v>
      </c>
      <c r="B2381" s="58">
        <f t="shared" si="146"/>
        <v>41068</v>
      </c>
      <c r="C2381" s="59">
        <f t="shared" si="147"/>
        <v>2012</v>
      </c>
      <c r="D2381" s="61">
        <v>14.0351</v>
      </c>
      <c r="E2381" s="61">
        <v>13.935499999999999</v>
      </c>
      <c r="F2381" s="61">
        <v>14.111599999999999</v>
      </c>
    </row>
    <row r="2382" spans="1:6">
      <c r="A2382" s="65" t="s">
        <v>4961</v>
      </c>
      <c r="B2382" s="66">
        <f t="shared" si="146"/>
        <v>41069</v>
      </c>
      <c r="C2382" s="67">
        <f t="shared" si="147"/>
        <v>2012</v>
      </c>
      <c r="D2382" s="70" t="s">
        <v>362</v>
      </c>
      <c r="E2382" s="70" t="s">
        <v>362</v>
      </c>
      <c r="F2382" s="68">
        <v>13.935499999999999</v>
      </c>
    </row>
    <row r="2383" spans="1:6">
      <c r="A2383" s="57" t="s">
        <v>4962</v>
      </c>
      <c r="B2383" s="58">
        <f t="shared" si="146"/>
        <v>41070</v>
      </c>
      <c r="C2383" s="59">
        <f t="shared" si="147"/>
        <v>2012</v>
      </c>
      <c r="D2383" s="60" t="s">
        <v>362</v>
      </c>
      <c r="E2383" s="60" t="s">
        <v>362</v>
      </c>
      <c r="F2383" s="61">
        <v>13.935499999999999</v>
      </c>
    </row>
    <row r="2384" spans="1:6">
      <c r="A2384" s="65" t="s">
        <v>4963</v>
      </c>
      <c r="B2384" s="66">
        <f t="shared" si="146"/>
        <v>41071</v>
      </c>
      <c r="C2384" s="67">
        <f t="shared" si="147"/>
        <v>2012</v>
      </c>
      <c r="D2384" s="68">
        <v>13.9625</v>
      </c>
      <c r="E2384" s="68">
        <v>14.0351</v>
      </c>
      <c r="F2384" s="68">
        <v>13.935499999999999</v>
      </c>
    </row>
    <row r="2385" spans="1:6">
      <c r="A2385" s="57" t="s">
        <v>4964</v>
      </c>
      <c r="B2385" s="58">
        <f t="shared" si="146"/>
        <v>41072</v>
      </c>
      <c r="C2385" s="59">
        <f t="shared" si="147"/>
        <v>2012</v>
      </c>
      <c r="D2385" s="61">
        <v>14.006</v>
      </c>
      <c r="E2385" s="61">
        <v>13.9625</v>
      </c>
      <c r="F2385" s="61">
        <v>14.0351</v>
      </c>
    </row>
    <row r="2386" spans="1:6">
      <c r="A2386" s="65" t="s">
        <v>4965</v>
      </c>
      <c r="B2386" s="66">
        <f t="shared" si="146"/>
        <v>41073</v>
      </c>
      <c r="C2386" s="67">
        <f t="shared" si="147"/>
        <v>2012</v>
      </c>
      <c r="D2386" s="68">
        <v>13.97</v>
      </c>
      <c r="E2386" s="68">
        <v>14.006</v>
      </c>
      <c r="F2386" s="68">
        <v>13.9625</v>
      </c>
    </row>
    <row r="2387" spans="1:6">
      <c r="A2387" s="57" t="s">
        <v>4966</v>
      </c>
      <c r="B2387" s="58">
        <f t="shared" si="146"/>
        <v>41074</v>
      </c>
      <c r="C2387" s="59">
        <f t="shared" si="147"/>
        <v>2012</v>
      </c>
      <c r="D2387" s="61">
        <v>13.997400000000001</v>
      </c>
      <c r="E2387" s="61">
        <v>13.97</v>
      </c>
      <c r="F2387" s="61">
        <v>14.006</v>
      </c>
    </row>
    <row r="2388" spans="1:6">
      <c r="A2388" s="65" t="s">
        <v>4967</v>
      </c>
      <c r="B2388" s="66">
        <f t="shared" si="146"/>
        <v>41075</v>
      </c>
      <c r="C2388" s="67">
        <f t="shared" si="147"/>
        <v>2012</v>
      </c>
      <c r="D2388" s="68">
        <v>13.9115</v>
      </c>
      <c r="E2388" s="68">
        <v>13.997400000000001</v>
      </c>
      <c r="F2388" s="68">
        <v>13.97</v>
      </c>
    </row>
    <row r="2389" spans="1:6">
      <c r="A2389" s="57" t="s">
        <v>4968</v>
      </c>
      <c r="B2389" s="58">
        <f t="shared" si="146"/>
        <v>41076</v>
      </c>
      <c r="C2389" s="59">
        <f t="shared" si="147"/>
        <v>2012</v>
      </c>
      <c r="D2389" s="60" t="s">
        <v>362</v>
      </c>
      <c r="E2389" s="60" t="s">
        <v>362</v>
      </c>
      <c r="F2389" s="61">
        <v>13.997400000000001</v>
      </c>
    </row>
    <row r="2390" spans="1:6">
      <c r="A2390" s="65" t="s">
        <v>4969</v>
      </c>
      <c r="B2390" s="66">
        <f t="shared" si="146"/>
        <v>41077</v>
      </c>
      <c r="C2390" s="67">
        <f t="shared" si="147"/>
        <v>2012</v>
      </c>
      <c r="D2390" s="70" t="s">
        <v>362</v>
      </c>
      <c r="E2390" s="70" t="s">
        <v>362</v>
      </c>
      <c r="F2390" s="68">
        <v>13.997400000000001</v>
      </c>
    </row>
    <row r="2391" spans="1:6">
      <c r="A2391" s="57" t="s">
        <v>4970</v>
      </c>
      <c r="B2391" s="58">
        <f t="shared" si="146"/>
        <v>41078</v>
      </c>
      <c r="C2391" s="59">
        <f t="shared" si="147"/>
        <v>2012</v>
      </c>
      <c r="D2391" s="61">
        <v>13.9154</v>
      </c>
      <c r="E2391" s="61">
        <v>13.9115</v>
      </c>
      <c r="F2391" s="61">
        <v>13.997400000000001</v>
      </c>
    </row>
    <row r="2392" spans="1:6">
      <c r="A2392" s="65" t="s">
        <v>4971</v>
      </c>
      <c r="B2392" s="66">
        <f t="shared" si="146"/>
        <v>41079</v>
      </c>
      <c r="C2392" s="67">
        <f t="shared" si="147"/>
        <v>2012</v>
      </c>
      <c r="D2392" s="68">
        <v>13.7033</v>
      </c>
      <c r="E2392" s="68">
        <v>13.9154</v>
      </c>
      <c r="F2392" s="68">
        <v>13.9115</v>
      </c>
    </row>
    <row r="2393" spans="1:6">
      <c r="A2393" s="57" t="s">
        <v>4972</v>
      </c>
      <c r="B2393" s="58">
        <f t="shared" si="146"/>
        <v>41080</v>
      </c>
      <c r="C2393" s="59">
        <f t="shared" si="147"/>
        <v>2012</v>
      </c>
      <c r="D2393" s="61">
        <v>13.7257</v>
      </c>
      <c r="E2393" s="61">
        <v>13.7033</v>
      </c>
      <c r="F2393" s="61">
        <v>13.9154</v>
      </c>
    </row>
    <row r="2394" spans="1:6">
      <c r="A2394" s="65" t="s">
        <v>4973</v>
      </c>
      <c r="B2394" s="66">
        <f t="shared" si="146"/>
        <v>41081</v>
      </c>
      <c r="C2394" s="67">
        <f t="shared" si="147"/>
        <v>2012</v>
      </c>
      <c r="D2394" s="68">
        <v>13.7668</v>
      </c>
      <c r="E2394" s="68">
        <v>13.7257</v>
      </c>
      <c r="F2394" s="68">
        <v>13.7033</v>
      </c>
    </row>
    <row r="2395" spans="1:6">
      <c r="A2395" s="57" t="s">
        <v>4974</v>
      </c>
      <c r="B2395" s="58">
        <f t="shared" si="146"/>
        <v>41082</v>
      </c>
      <c r="C2395" s="59">
        <f t="shared" si="147"/>
        <v>2012</v>
      </c>
      <c r="D2395" s="61">
        <v>13.849</v>
      </c>
      <c r="E2395" s="61">
        <v>13.7668</v>
      </c>
      <c r="F2395" s="61">
        <v>13.7257</v>
      </c>
    </row>
    <row r="2396" spans="1:6">
      <c r="A2396" s="65" t="s">
        <v>4975</v>
      </c>
      <c r="B2396" s="66">
        <f t="shared" si="146"/>
        <v>41083</v>
      </c>
      <c r="C2396" s="67">
        <f t="shared" si="147"/>
        <v>2012</v>
      </c>
      <c r="D2396" s="70" t="s">
        <v>362</v>
      </c>
      <c r="E2396" s="70" t="s">
        <v>362</v>
      </c>
      <c r="F2396" s="68">
        <v>13.7668</v>
      </c>
    </row>
    <row r="2397" spans="1:6">
      <c r="A2397" s="57" t="s">
        <v>4976</v>
      </c>
      <c r="B2397" s="58">
        <f t="shared" si="146"/>
        <v>41084</v>
      </c>
      <c r="C2397" s="59">
        <f t="shared" si="147"/>
        <v>2012</v>
      </c>
      <c r="D2397" s="60" t="s">
        <v>362</v>
      </c>
      <c r="E2397" s="60" t="s">
        <v>362</v>
      </c>
      <c r="F2397" s="61">
        <v>13.7668</v>
      </c>
    </row>
    <row r="2398" spans="1:6">
      <c r="A2398" s="65" t="s">
        <v>4977</v>
      </c>
      <c r="B2398" s="66">
        <f t="shared" si="146"/>
        <v>41085</v>
      </c>
      <c r="C2398" s="67">
        <f t="shared" si="147"/>
        <v>2012</v>
      </c>
      <c r="D2398" s="68">
        <v>13.9542</v>
      </c>
      <c r="E2398" s="68">
        <v>13.849</v>
      </c>
      <c r="F2398" s="68">
        <v>13.7668</v>
      </c>
    </row>
    <row r="2399" spans="1:6">
      <c r="A2399" s="57" t="s">
        <v>4978</v>
      </c>
      <c r="B2399" s="58">
        <f t="shared" ref="B2399:B2462" si="148">DATE(RIGHT(A2399,4),LEFT(RIGHT(A2399,7),2),LEFT(A2399,2))</f>
        <v>41086</v>
      </c>
      <c r="C2399" s="59">
        <f t="shared" ref="C2399:C2462" si="149">YEAR(B2399)</f>
        <v>2012</v>
      </c>
      <c r="D2399" s="61">
        <v>13.861599999999999</v>
      </c>
      <c r="E2399" s="61">
        <v>13.9542</v>
      </c>
      <c r="F2399" s="61">
        <v>13.849</v>
      </c>
    </row>
    <row r="2400" spans="1:6">
      <c r="A2400" s="65" t="s">
        <v>4979</v>
      </c>
      <c r="B2400" s="66">
        <f t="shared" si="148"/>
        <v>41087</v>
      </c>
      <c r="C2400" s="67">
        <f t="shared" si="149"/>
        <v>2012</v>
      </c>
      <c r="D2400" s="68">
        <v>13.6652</v>
      </c>
      <c r="E2400" s="68">
        <v>13.861599999999999</v>
      </c>
      <c r="F2400" s="68">
        <v>13.9542</v>
      </c>
    </row>
    <row r="2401" spans="1:6">
      <c r="A2401" s="57" t="s">
        <v>4980</v>
      </c>
      <c r="B2401" s="58">
        <f t="shared" si="148"/>
        <v>41088</v>
      </c>
      <c r="C2401" s="59">
        <f t="shared" si="149"/>
        <v>2012</v>
      </c>
      <c r="D2401" s="61">
        <v>13.653</v>
      </c>
      <c r="E2401" s="61">
        <v>13.6652</v>
      </c>
      <c r="F2401" s="61">
        <v>13.861599999999999</v>
      </c>
    </row>
    <row r="2402" spans="1:6">
      <c r="A2402" s="65" t="s">
        <v>4981</v>
      </c>
      <c r="B2402" s="66">
        <f t="shared" si="148"/>
        <v>41089</v>
      </c>
      <c r="C2402" s="67">
        <f t="shared" si="149"/>
        <v>2012</v>
      </c>
      <c r="D2402" s="68">
        <v>13.4084</v>
      </c>
      <c r="E2402" s="68">
        <v>13.653</v>
      </c>
      <c r="F2402" s="68">
        <v>13.6652</v>
      </c>
    </row>
    <row r="2403" spans="1:6">
      <c r="A2403" s="57" t="s">
        <v>4982</v>
      </c>
      <c r="B2403" s="58">
        <f t="shared" si="148"/>
        <v>41090</v>
      </c>
      <c r="C2403" s="59">
        <f t="shared" si="149"/>
        <v>2012</v>
      </c>
      <c r="D2403" s="60" t="s">
        <v>362</v>
      </c>
      <c r="E2403" s="60" t="s">
        <v>362</v>
      </c>
      <c r="F2403" s="61">
        <v>13.653</v>
      </c>
    </row>
    <row r="2404" spans="1:6">
      <c r="A2404" s="65" t="s">
        <v>4983</v>
      </c>
      <c r="B2404" s="66">
        <f t="shared" si="148"/>
        <v>41091</v>
      </c>
      <c r="C2404" s="67">
        <f t="shared" si="149"/>
        <v>2012</v>
      </c>
      <c r="D2404" s="70" t="s">
        <v>362</v>
      </c>
      <c r="E2404" s="70" t="s">
        <v>362</v>
      </c>
      <c r="F2404" s="68">
        <v>13.653</v>
      </c>
    </row>
    <row r="2405" spans="1:6">
      <c r="A2405" s="57" t="s">
        <v>4984</v>
      </c>
      <c r="B2405" s="58">
        <f t="shared" si="148"/>
        <v>41092</v>
      </c>
      <c r="C2405" s="59">
        <f t="shared" si="149"/>
        <v>2012</v>
      </c>
      <c r="D2405" s="61">
        <v>13.397</v>
      </c>
      <c r="E2405" s="61">
        <v>13.4084</v>
      </c>
      <c r="F2405" s="61">
        <v>13.653</v>
      </c>
    </row>
    <row r="2406" spans="1:6">
      <c r="A2406" s="65" t="s">
        <v>4985</v>
      </c>
      <c r="B2406" s="66">
        <f t="shared" si="148"/>
        <v>41093</v>
      </c>
      <c r="C2406" s="67">
        <f t="shared" si="149"/>
        <v>2012</v>
      </c>
      <c r="D2406" s="68">
        <v>13.317399999999999</v>
      </c>
      <c r="E2406" s="68">
        <v>13.397</v>
      </c>
      <c r="F2406" s="68">
        <v>13.4084</v>
      </c>
    </row>
    <row r="2407" spans="1:6">
      <c r="A2407" s="57" t="s">
        <v>4986</v>
      </c>
      <c r="B2407" s="58">
        <f t="shared" si="148"/>
        <v>41094</v>
      </c>
      <c r="C2407" s="59">
        <f t="shared" si="149"/>
        <v>2012</v>
      </c>
      <c r="D2407" s="61">
        <v>13.361700000000001</v>
      </c>
      <c r="E2407" s="61">
        <v>13.317399999999999</v>
      </c>
      <c r="F2407" s="61">
        <v>13.397</v>
      </c>
    </row>
    <row r="2408" spans="1:6">
      <c r="A2408" s="65" t="s">
        <v>4987</v>
      </c>
      <c r="B2408" s="66">
        <f t="shared" si="148"/>
        <v>41095</v>
      </c>
      <c r="C2408" s="67">
        <f t="shared" si="149"/>
        <v>2012</v>
      </c>
      <c r="D2408" s="68">
        <v>13.3508</v>
      </c>
      <c r="E2408" s="68">
        <v>13.361700000000001</v>
      </c>
      <c r="F2408" s="68">
        <v>13.317399999999999</v>
      </c>
    </row>
    <row r="2409" spans="1:6">
      <c r="A2409" s="57" t="s">
        <v>4988</v>
      </c>
      <c r="B2409" s="58">
        <f t="shared" si="148"/>
        <v>41096</v>
      </c>
      <c r="C2409" s="59">
        <f t="shared" si="149"/>
        <v>2012</v>
      </c>
      <c r="D2409" s="61">
        <v>13.4925</v>
      </c>
      <c r="E2409" s="61">
        <v>13.3508</v>
      </c>
      <c r="F2409" s="61">
        <v>13.361700000000001</v>
      </c>
    </row>
    <row r="2410" spans="1:6">
      <c r="A2410" s="65" t="s">
        <v>4989</v>
      </c>
      <c r="B2410" s="66">
        <f t="shared" si="148"/>
        <v>41097</v>
      </c>
      <c r="C2410" s="67">
        <f t="shared" si="149"/>
        <v>2012</v>
      </c>
      <c r="D2410" s="70" t="s">
        <v>362</v>
      </c>
      <c r="E2410" s="70" t="s">
        <v>362</v>
      </c>
      <c r="F2410" s="68">
        <v>13.3508</v>
      </c>
    </row>
    <row r="2411" spans="1:6">
      <c r="A2411" s="57" t="s">
        <v>4990</v>
      </c>
      <c r="B2411" s="58">
        <f t="shared" si="148"/>
        <v>41098</v>
      </c>
      <c r="C2411" s="59">
        <f t="shared" si="149"/>
        <v>2012</v>
      </c>
      <c r="D2411" s="60" t="s">
        <v>362</v>
      </c>
      <c r="E2411" s="60" t="s">
        <v>362</v>
      </c>
      <c r="F2411" s="61">
        <v>13.3508</v>
      </c>
    </row>
    <row r="2412" spans="1:6">
      <c r="A2412" s="65" t="s">
        <v>4991</v>
      </c>
      <c r="B2412" s="66">
        <f t="shared" si="148"/>
        <v>41099</v>
      </c>
      <c r="C2412" s="67">
        <f t="shared" si="149"/>
        <v>2012</v>
      </c>
      <c r="D2412" s="68">
        <v>13.4533</v>
      </c>
      <c r="E2412" s="68">
        <v>13.4925</v>
      </c>
      <c r="F2412" s="68">
        <v>13.3508</v>
      </c>
    </row>
    <row r="2413" spans="1:6">
      <c r="A2413" s="57" t="s">
        <v>4992</v>
      </c>
      <c r="B2413" s="58">
        <f t="shared" si="148"/>
        <v>41100</v>
      </c>
      <c r="C2413" s="59">
        <f t="shared" si="149"/>
        <v>2012</v>
      </c>
      <c r="D2413" s="61">
        <v>13.292400000000001</v>
      </c>
      <c r="E2413" s="61">
        <v>13.4533</v>
      </c>
      <c r="F2413" s="61">
        <v>13.4925</v>
      </c>
    </row>
    <row r="2414" spans="1:6">
      <c r="A2414" s="65" t="s">
        <v>4993</v>
      </c>
      <c r="B2414" s="66">
        <f t="shared" si="148"/>
        <v>41101</v>
      </c>
      <c r="C2414" s="67">
        <f t="shared" si="149"/>
        <v>2012</v>
      </c>
      <c r="D2414" s="68">
        <v>13.3241</v>
      </c>
      <c r="E2414" s="68">
        <v>13.292400000000001</v>
      </c>
      <c r="F2414" s="68">
        <v>13.4533</v>
      </c>
    </row>
    <row r="2415" spans="1:6">
      <c r="A2415" s="57" t="s">
        <v>4994</v>
      </c>
      <c r="B2415" s="58">
        <f t="shared" si="148"/>
        <v>41102</v>
      </c>
      <c r="C2415" s="59">
        <f t="shared" si="149"/>
        <v>2012</v>
      </c>
      <c r="D2415" s="61">
        <v>13.4795</v>
      </c>
      <c r="E2415" s="61">
        <v>13.3241</v>
      </c>
      <c r="F2415" s="61">
        <v>13.292400000000001</v>
      </c>
    </row>
    <row r="2416" spans="1:6">
      <c r="A2416" s="65" t="s">
        <v>4995</v>
      </c>
      <c r="B2416" s="66">
        <f t="shared" si="148"/>
        <v>41103</v>
      </c>
      <c r="C2416" s="67">
        <f t="shared" si="149"/>
        <v>2012</v>
      </c>
      <c r="D2416" s="68">
        <v>13.344900000000001</v>
      </c>
      <c r="E2416" s="68">
        <v>13.4795</v>
      </c>
      <c r="F2416" s="68">
        <v>13.3241</v>
      </c>
    </row>
    <row r="2417" spans="1:6">
      <c r="A2417" s="57" t="s">
        <v>4996</v>
      </c>
      <c r="B2417" s="58">
        <f t="shared" si="148"/>
        <v>41104</v>
      </c>
      <c r="C2417" s="59">
        <f t="shared" si="149"/>
        <v>2012</v>
      </c>
      <c r="D2417" s="60" t="s">
        <v>362</v>
      </c>
      <c r="E2417" s="60" t="s">
        <v>362</v>
      </c>
      <c r="F2417" s="61">
        <v>13.4795</v>
      </c>
    </row>
    <row r="2418" spans="1:6">
      <c r="A2418" s="65" t="s">
        <v>4997</v>
      </c>
      <c r="B2418" s="66">
        <f t="shared" si="148"/>
        <v>41105</v>
      </c>
      <c r="C2418" s="67">
        <f t="shared" si="149"/>
        <v>2012</v>
      </c>
      <c r="D2418" s="70" t="s">
        <v>362</v>
      </c>
      <c r="E2418" s="70" t="s">
        <v>362</v>
      </c>
      <c r="F2418" s="68">
        <v>13.4795</v>
      </c>
    </row>
    <row r="2419" spans="1:6">
      <c r="A2419" s="57" t="s">
        <v>4998</v>
      </c>
      <c r="B2419" s="58">
        <f t="shared" si="148"/>
        <v>41106</v>
      </c>
      <c r="C2419" s="59">
        <f t="shared" si="149"/>
        <v>2012</v>
      </c>
      <c r="D2419" s="61">
        <v>13.283200000000001</v>
      </c>
      <c r="E2419" s="61">
        <v>13.344900000000001</v>
      </c>
      <c r="F2419" s="61">
        <v>13.4795</v>
      </c>
    </row>
    <row r="2420" spans="1:6">
      <c r="A2420" s="65" t="s">
        <v>4999</v>
      </c>
      <c r="B2420" s="66">
        <f t="shared" si="148"/>
        <v>41107</v>
      </c>
      <c r="C2420" s="67">
        <f t="shared" si="149"/>
        <v>2012</v>
      </c>
      <c r="D2420" s="68">
        <v>13.2226</v>
      </c>
      <c r="E2420" s="68">
        <v>13.283200000000001</v>
      </c>
      <c r="F2420" s="68">
        <v>13.344900000000001</v>
      </c>
    </row>
    <row r="2421" spans="1:6">
      <c r="A2421" s="57" t="s">
        <v>5000</v>
      </c>
      <c r="B2421" s="58">
        <f t="shared" si="148"/>
        <v>41108</v>
      </c>
      <c r="C2421" s="59">
        <f t="shared" si="149"/>
        <v>2012</v>
      </c>
      <c r="D2421" s="61">
        <v>13.120100000000001</v>
      </c>
      <c r="E2421" s="61">
        <v>13.2226</v>
      </c>
      <c r="F2421" s="61">
        <v>13.283200000000001</v>
      </c>
    </row>
    <row r="2422" spans="1:6">
      <c r="A2422" s="65" t="s">
        <v>5001</v>
      </c>
      <c r="B2422" s="66">
        <f t="shared" si="148"/>
        <v>41109</v>
      </c>
      <c r="C2422" s="67">
        <f t="shared" si="149"/>
        <v>2012</v>
      </c>
      <c r="D2422" s="68">
        <v>13.1921</v>
      </c>
      <c r="E2422" s="68">
        <v>13.120100000000001</v>
      </c>
      <c r="F2422" s="68">
        <v>13.2226</v>
      </c>
    </row>
    <row r="2423" spans="1:6">
      <c r="A2423" s="57" t="s">
        <v>5002</v>
      </c>
      <c r="B2423" s="58">
        <f t="shared" si="148"/>
        <v>41110</v>
      </c>
      <c r="C2423" s="59">
        <f t="shared" si="149"/>
        <v>2012</v>
      </c>
      <c r="D2423" s="61">
        <v>13.2928</v>
      </c>
      <c r="E2423" s="61">
        <v>13.1921</v>
      </c>
      <c r="F2423" s="61">
        <v>13.120100000000001</v>
      </c>
    </row>
    <row r="2424" spans="1:6">
      <c r="A2424" s="65" t="s">
        <v>5003</v>
      </c>
      <c r="B2424" s="66">
        <f t="shared" si="148"/>
        <v>41111</v>
      </c>
      <c r="C2424" s="67">
        <f t="shared" si="149"/>
        <v>2012</v>
      </c>
      <c r="D2424" s="70" t="s">
        <v>362</v>
      </c>
      <c r="E2424" s="70" t="s">
        <v>362</v>
      </c>
      <c r="F2424" s="68">
        <v>13.1921</v>
      </c>
    </row>
    <row r="2425" spans="1:6">
      <c r="A2425" s="57" t="s">
        <v>5004</v>
      </c>
      <c r="B2425" s="58">
        <f t="shared" si="148"/>
        <v>41112</v>
      </c>
      <c r="C2425" s="59">
        <f t="shared" si="149"/>
        <v>2012</v>
      </c>
      <c r="D2425" s="60" t="s">
        <v>362</v>
      </c>
      <c r="E2425" s="60" t="s">
        <v>362</v>
      </c>
      <c r="F2425" s="61">
        <v>13.1921</v>
      </c>
    </row>
    <row r="2426" spans="1:6">
      <c r="A2426" s="65" t="s">
        <v>5005</v>
      </c>
      <c r="B2426" s="66">
        <f t="shared" si="148"/>
        <v>41113</v>
      </c>
      <c r="C2426" s="67">
        <f t="shared" si="149"/>
        <v>2012</v>
      </c>
      <c r="D2426" s="68">
        <v>13.521800000000001</v>
      </c>
      <c r="E2426" s="68">
        <v>13.2928</v>
      </c>
      <c r="F2426" s="68">
        <v>13.1921</v>
      </c>
    </row>
    <row r="2427" spans="1:6">
      <c r="A2427" s="57" t="s">
        <v>5006</v>
      </c>
      <c r="B2427" s="58">
        <f t="shared" si="148"/>
        <v>41114</v>
      </c>
      <c r="C2427" s="59">
        <f t="shared" si="149"/>
        <v>2012</v>
      </c>
      <c r="D2427" s="61">
        <v>13.679600000000001</v>
      </c>
      <c r="E2427" s="61">
        <v>13.521800000000001</v>
      </c>
      <c r="F2427" s="61">
        <v>13.2928</v>
      </c>
    </row>
    <row r="2428" spans="1:6">
      <c r="A2428" s="65" t="s">
        <v>5007</v>
      </c>
      <c r="B2428" s="66">
        <f t="shared" si="148"/>
        <v>41115</v>
      </c>
      <c r="C2428" s="67">
        <f t="shared" si="149"/>
        <v>2012</v>
      </c>
      <c r="D2428" s="68">
        <v>13.6541</v>
      </c>
      <c r="E2428" s="68">
        <v>13.679600000000001</v>
      </c>
      <c r="F2428" s="68">
        <v>13.521800000000001</v>
      </c>
    </row>
    <row r="2429" spans="1:6">
      <c r="A2429" s="57" t="s">
        <v>5008</v>
      </c>
      <c r="B2429" s="58">
        <f t="shared" si="148"/>
        <v>41116</v>
      </c>
      <c r="C2429" s="59">
        <f t="shared" si="149"/>
        <v>2012</v>
      </c>
      <c r="D2429" s="61">
        <v>13.442500000000001</v>
      </c>
      <c r="E2429" s="61">
        <v>13.6541</v>
      </c>
      <c r="F2429" s="61">
        <v>13.679600000000001</v>
      </c>
    </row>
    <row r="2430" spans="1:6">
      <c r="A2430" s="65" t="s">
        <v>5009</v>
      </c>
      <c r="B2430" s="66">
        <f t="shared" si="148"/>
        <v>41117</v>
      </c>
      <c r="C2430" s="67">
        <f t="shared" si="149"/>
        <v>2012</v>
      </c>
      <c r="D2430" s="68">
        <v>13.2837</v>
      </c>
      <c r="E2430" s="68">
        <v>13.442500000000001</v>
      </c>
      <c r="F2430" s="68">
        <v>13.6541</v>
      </c>
    </row>
    <row r="2431" spans="1:6">
      <c r="A2431" s="57" t="s">
        <v>5010</v>
      </c>
      <c r="B2431" s="58">
        <f t="shared" si="148"/>
        <v>41118</v>
      </c>
      <c r="C2431" s="59">
        <f t="shared" si="149"/>
        <v>2012</v>
      </c>
      <c r="D2431" s="60" t="s">
        <v>362</v>
      </c>
      <c r="E2431" s="60" t="s">
        <v>362</v>
      </c>
      <c r="F2431" s="61">
        <v>13.442500000000001</v>
      </c>
    </row>
    <row r="2432" spans="1:6">
      <c r="A2432" s="65" t="s">
        <v>5011</v>
      </c>
      <c r="B2432" s="66">
        <f t="shared" si="148"/>
        <v>41119</v>
      </c>
      <c r="C2432" s="67">
        <f t="shared" si="149"/>
        <v>2012</v>
      </c>
      <c r="D2432" s="70" t="s">
        <v>362</v>
      </c>
      <c r="E2432" s="70" t="s">
        <v>362</v>
      </c>
      <c r="F2432" s="68">
        <v>13.442500000000001</v>
      </c>
    </row>
    <row r="2433" spans="1:6">
      <c r="A2433" s="57" t="s">
        <v>5012</v>
      </c>
      <c r="B2433" s="58">
        <f t="shared" si="148"/>
        <v>41120</v>
      </c>
      <c r="C2433" s="59">
        <f t="shared" si="149"/>
        <v>2012</v>
      </c>
      <c r="D2433" s="61">
        <v>13.2644</v>
      </c>
      <c r="E2433" s="61">
        <v>13.2837</v>
      </c>
      <c r="F2433" s="61">
        <v>13.442500000000001</v>
      </c>
    </row>
    <row r="2434" spans="1:6">
      <c r="A2434" s="65" t="s">
        <v>5013</v>
      </c>
      <c r="B2434" s="66">
        <f t="shared" si="148"/>
        <v>41121</v>
      </c>
      <c r="C2434" s="67">
        <f t="shared" si="149"/>
        <v>2012</v>
      </c>
      <c r="D2434" s="68">
        <v>13.283300000000001</v>
      </c>
      <c r="E2434" s="68">
        <v>13.2644</v>
      </c>
      <c r="F2434" s="68">
        <v>13.2837</v>
      </c>
    </row>
    <row r="2435" spans="1:6">
      <c r="A2435" s="57" t="s">
        <v>5014</v>
      </c>
      <c r="B2435" s="58">
        <f t="shared" si="148"/>
        <v>41122</v>
      </c>
      <c r="C2435" s="59">
        <f t="shared" si="149"/>
        <v>2012</v>
      </c>
      <c r="D2435" s="61">
        <v>13.2867</v>
      </c>
      <c r="E2435" s="61">
        <v>13.283300000000001</v>
      </c>
      <c r="F2435" s="61">
        <v>13.2644</v>
      </c>
    </row>
    <row r="2436" spans="1:6">
      <c r="A2436" s="65" t="s">
        <v>5015</v>
      </c>
      <c r="B2436" s="66">
        <f t="shared" si="148"/>
        <v>41123</v>
      </c>
      <c r="C2436" s="67">
        <f t="shared" si="149"/>
        <v>2012</v>
      </c>
      <c r="D2436" s="68">
        <v>13.3927</v>
      </c>
      <c r="E2436" s="68">
        <v>13.2867</v>
      </c>
      <c r="F2436" s="68">
        <v>13.283300000000001</v>
      </c>
    </row>
    <row r="2437" spans="1:6">
      <c r="A2437" s="57" t="s">
        <v>5016</v>
      </c>
      <c r="B2437" s="58">
        <f t="shared" si="148"/>
        <v>41124</v>
      </c>
      <c r="C2437" s="59">
        <f t="shared" si="149"/>
        <v>2012</v>
      </c>
      <c r="D2437" s="61">
        <v>13.1357</v>
      </c>
      <c r="E2437" s="61">
        <v>13.3927</v>
      </c>
      <c r="F2437" s="61">
        <v>13.2867</v>
      </c>
    </row>
    <row r="2438" spans="1:6">
      <c r="A2438" s="65" t="s">
        <v>5017</v>
      </c>
      <c r="B2438" s="66">
        <f t="shared" si="148"/>
        <v>41125</v>
      </c>
      <c r="C2438" s="67">
        <f t="shared" si="149"/>
        <v>2012</v>
      </c>
      <c r="D2438" s="70" t="s">
        <v>362</v>
      </c>
      <c r="E2438" s="70" t="s">
        <v>362</v>
      </c>
      <c r="F2438" s="68">
        <v>13.3927</v>
      </c>
    </row>
    <row r="2439" spans="1:6">
      <c r="A2439" s="57" t="s">
        <v>5018</v>
      </c>
      <c r="B2439" s="58">
        <f t="shared" si="148"/>
        <v>41126</v>
      </c>
      <c r="C2439" s="59">
        <f t="shared" si="149"/>
        <v>2012</v>
      </c>
      <c r="D2439" s="60" t="s">
        <v>362</v>
      </c>
      <c r="E2439" s="60" t="s">
        <v>362</v>
      </c>
      <c r="F2439" s="61">
        <v>13.3927</v>
      </c>
    </row>
    <row r="2440" spans="1:6">
      <c r="A2440" s="65" t="s">
        <v>5019</v>
      </c>
      <c r="B2440" s="66">
        <f t="shared" si="148"/>
        <v>41127</v>
      </c>
      <c r="C2440" s="67">
        <f t="shared" si="149"/>
        <v>2012</v>
      </c>
      <c r="D2440" s="68">
        <v>13.0708</v>
      </c>
      <c r="E2440" s="68">
        <v>13.1357</v>
      </c>
      <c r="F2440" s="68">
        <v>13.3927</v>
      </c>
    </row>
    <row r="2441" spans="1:6">
      <c r="A2441" s="57" t="s">
        <v>5020</v>
      </c>
      <c r="B2441" s="58">
        <f t="shared" si="148"/>
        <v>41128</v>
      </c>
      <c r="C2441" s="59">
        <f t="shared" si="149"/>
        <v>2012</v>
      </c>
      <c r="D2441" s="61">
        <v>13.184900000000001</v>
      </c>
      <c r="E2441" s="61">
        <v>13.0708</v>
      </c>
      <c r="F2441" s="61">
        <v>13.1357</v>
      </c>
    </row>
    <row r="2442" spans="1:6">
      <c r="A2442" s="65" t="s">
        <v>5021</v>
      </c>
      <c r="B2442" s="66">
        <f t="shared" si="148"/>
        <v>41129</v>
      </c>
      <c r="C2442" s="67">
        <f t="shared" si="149"/>
        <v>2012</v>
      </c>
      <c r="D2442" s="68">
        <v>13.1891</v>
      </c>
      <c r="E2442" s="68">
        <v>13.184900000000001</v>
      </c>
      <c r="F2442" s="68">
        <v>13.0708</v>
      </c>
    </row>
    <row r="2443" spans="1:6">
      <c r="A2443" s="57" t="s">
        <v>5022</v>
      </c>
      <c r="B2443" s="58">
        <f t="shared" si="148"/>
        <v>41130</v>
      </c>
      <c r="C2443" s="59">
        <f t="shared" si="149"/>
        <v>2012</v>
      </c>
      <c r="D2443" s="61">
        <v>13.1188</v>
      </c>
      <c r="E2443" s="61">
        <v>13.1891</v>
      </c>
      <c r="F2443" s="61">
        <v>13.184900000000001</v>
      </c>
    </row>
    <row r="2444" spans="1:6">
      <c r="A2444" s="65" t="s">
        <v>5023</v>
      </c>
      <c r="B2444" s="66">
        <f t="shared" si="148"/>
        <v>41131</v>
      </c>
      <c r="C2444" s="67">
        <f t="shared" si="149"/>
        <v>2012</v>
      </c>
      <c r="D2444" s="68">
        <v>13.109400000000001</v>
      </c>
      <c r="E2444" s="68">
        <v>13.1188</v>
      </c>
      <c r="F2444" s="68">
        <v>13.1891</v>
      </c>
    </row>
    <row r="2445" spans="1:6">
      <c r="A2445" s="57" t="s">
        <v>5024</v>
      </c>
      <c r="B2445" s="58">
        <f t="shared" si="148"/>
        <v>41132</v>
      </c>
      <c r="C2445" s="59">
        <f t="shared" si="149"/>
        <v>2012</v>
      </c>
      <c r="D2445" s="60" t="s">
        <v>362</v>
      </c>
      <c r="E2445" s="60" t="s">
        <v>362</v>
      </c>
      <c r="F2445" s="61">
        <v>13.1188</v>
      </c>
    </row>
    <row r="2446" spans="1:6">
      <c r="A2446" s="65" t="s">
        <v>5025</v>
      </c>
      <c r="B2446" s="66">
        <f t="shared" si="148"/>
        <v>41133</v>
      </c>
      <c r="C2446" s="67">
        <f t="shared" si="149"/>
        <v>2012</v>
      </c>
      <c r="D2446" s="70" t="s">
        <v>362</v>
      </c>
      <c r="E2446" s="70" t="s">
        <v>362</v>
      </c>
      <c r="F2446" s="68">
        <v>13.1188</v>
      </c>
    </row>
    <row r="2447" spans="1:6">
      <c r="A2447" s="57" t="s">
        <v>5026</v>
      </c>
      <c r="B2447" s="58">
        <f t="shared" si="148"/>
        <v>41134</v>
      </c>
      <c r="C2447" s="59">
        <f t="shared" si="149"/>
        <v>2012</v>
      </c>
      <c r="D2447" s="61">
        <v>13.147399999999999</v>
      </c>
      <c r="E2447" s="61">
        <v>13.109400000000001</v>
      </c>
      <c r="F2447" s="61">
        <v>13.1188</v>
      </c>
    </row>
    <row r="2448" spans="1:6">
      <c r="A2448" s="65" t="s">
        <v>5027</v>
      </c>
      <c r="B2448" s="66">
        <f t="shared" si="148"/>
        <v>41135</v>
      </c>
      <c r="C2448" s="67">
        <f t="shared" si="149"/>
        <v>2012</v>
      </c>
      <c r="D2448" s="68">
        <v>13.1311</v>
      </c>
      <c r="E2448" s="68">
        <v>13.147399999999999</v>
      </c>
      <c r="F2448" s="68">
        <v>13.109400000000001</v>
      </c>
    </row>
    <row r="2449" spans="1:6">
      <c r="A2449" s="57" t="s">
        <v>5028</v>
      </c>
      <c r="B2449" s="58">
        <f t="shared" si="148"/>
        <v>41136</v>
      </c>
      <c r="C2449" s="59">
        <f t="shared" si="149"/>
        <v>2012</v>
      </c>
      <c r="D2449" s="61">
        <v>13.1639</v>
      </c>
      <c r="E2449" s="61">
        <v>13.1311</v>
      </c>
      <c r="F2449" s="61">
        <v>13.147399999999999</v>
      </c>
    </row>
    <row r="2450" spans="1:6">
      <c r="A2450" s="65" t="s">
        <v>5029</v>
      </c>
      <c r="B2450" s="66">
        <f t="shared" si="148"/>
        <v>41137</v>
      </c>
      <c r="C2450" s="67">
        <f t="shared" si="149"/>
        <v>2012</v>
      </c>
      <c r="D2450" s="68">
        <v>13.143000000000001</v>
      </c>
      <c r="E2450" s="68">
        <v>13.1639</v>
      </c>
      <c r="F2450" s="68">
        <v>13.1311</v>
      </c>
    </row>
    <row r="2451" spans="1:6">
      <c r="A2451" s="57" t="s">
        <v>5030</v>
      </c>
      <c r="B2451" s="58">
        <f t="shared" si="148"/>
        <v>41138</v>
      </c>
      <c r="C2451" s="59">
        <f t="shared" si="149"/>
        <v>2012</v>
      </c>
      <c r="D2451" s="61">
        <v>13.1745</v>
      </c>
      <c r="E2451" s="61">
        <v>13.143000000000001</v>
      </c>
      <c r="F2451" s="61">
        <v>13.1639</v>
      </c>
    </row>
    <row r="2452" spans="1:6">
      <c r="A2452" s="65" t="s">
        <v>5031</v>
      </c>
      <c r="B2452" s="66">
        <f t="shared" si="148"/>
        <v>41139</v>
      </c>
      <c r="C2452" s="67">
        <f t="shared" si="149"/>
        <v>2012</v>
      </c>
      <c r="D2452" s="70" t="s">
        <v>362</v>
      </c>
      <c r="E2452" s="70" t="s">
        <v>362</v>
      </c>
      <c r="F2452" s="68">
        <v>13.143000000000001</v>
      </c>
    </row>
    <row r="2453" spans="1:6">
      <c r="A2453" s="57" t="s">
        <v>5032</v>
      </c>
      <c r="B2453" s="58">
        <f t="shared" si="148"/>
        <v>41140</v>
      </c>
      <c r="C2453" s="59">
        <f t="shared" si="149"/>
        <v>2012</v>
      </c>
      <c r="D2453" s="60" t="s">
        <v>362</v>
      </c>
      <c r="E2453" s="60" t="s">
        <v>362</v>
      </c>
      <c r="F2453" s="61">
        <v>13.143000000000001</v>
      </c>
    </row>
    <row r="2454" spans="1:6">
      <c r="A2454" s="65" t="s">
        <v>5033</v>
      </c>
      <c r="B2454" s="66">
        <f t="shared" si="148"/>
        <v>41141</v>
      </c>
      <c r="C2454" s="67">
        <f t="shared" si="149"/>
        <v>2012</v>
      </c>
      <c r="D2454" s="68">
        <v>13.126099999999999</v>
      </c>
      <c r="E2454" s="68">
        <v>13.1745</v>
      </c>
      <c r="F2454" s="68">
        <v>13.143000000000001</v>
      </c>
    </row>
    <row r="2455" spans="1:6">
      <c r="A2455" s="57" t="s">
        <v>5034</v>
      </c>
      <c r="B2455" s="58">
        <f t="shared" si="148"/>
        <v>41142</v>
      </c>
      <c r="C2455" s="59">
        <f t="shared" si="149"/>
        <v>2012</v>
      </c>
      <c r="D2455" s="61">
        <v>13.0854</v>
      </c>
      <c r="E2455" s="61">
        <v>13.126099999999999</v>
      </c>
      <c r="F2455" s="61">
        <v>13.1745</v>
      </c>
    </row>
    <row r="2456" spans="1:6">
      <c r="A2456" s="65" t="s">
        <v>5035</v>
      </c>
      <c r="B2456" s="66">
        <f t="shared" si="148"/>
        <v>41143</v>
      </c>
      <c r="C2456" s="67">
        <f t="shared" si="149"/>
        <v>2012</v>
      </c>
      <c r="D2456" s="68">
        <v>13.1762</v>
      </c>
      <c r="E2456" s="68">
        <v>13.0854</v>
      </c>
      <c r="F2456" s="68">
        <v>13.126099999999999</v>
      </c>
    </row>
    <row r="2457" spans="1:6">
      <c r="A2457" s="57" t="s">
        <v>5036</v>
      </c>
      <c r="B2457" s="58">
        <f t="shared" si="148"/>
        <v>41144</v>
      </c>
      <c r="C2457" s="59">
        <f t="shared" si="149"/>
        <v>2012</v>
      </c>
      <c r="D2457" s="61">
        <v>13.128399999999999</v>
      </c>
      <c r="E2457" s="61">
        <v>13.1762</v>
      </c>
      <c r="F2457" s="61">
        <v>13.0854</v>
      </c>
    </row>
    <row r="2458" spans="1:6">
      <c r="A2458" s="65" t="s">
        <v>5037</v>
      </c>
      <c r="B2458" s="66">
        <f t="shared" si="148"/>
        <v>41145</v>
      </c>
      <c r="C2458" s="67">
        <f t="shared" si="149"/>
        <v>2012</v>
      </c>
      <c r="D2458" s="68">
        <v>13.176</v>
      </c>
      <c r="E2458" s="68">
        <v>13.128399999999999</v>
      </c>
      <c r="F2458" s="68">
        <v>13.1762</v>
      </c>
    </row>
    <row r="2459" spans="1:6">
      <c r="A2459" s="57" t="s">
        <v>5038</v>
      </c>
      <c r="B2459" s="58">
        <f t="shared" si="148"/>
        <v>41146</v>
      </c>
      <c r="C2459" s="59">
        <f t="shared" si="149"/>
        <v>2012</v>
      </c>
      <c r="D2459" s="60" t="s">
        <v>362</v>
      </c>
      <c r="E2459" s="60" t="s">
        <v>362</v>
      </c>
      <c r="F2459" s="61">
        <v>13.128399999999999</v>
      </c>
    </row>
    <row r="2460" spans="1:6">
      <c r="A2460" s="65" t="s">
        <v>5039</v>
      </c>
      <c r="B2460" s="66">
        <f t="shared" si="148"/>
        <v>41147</v>
      </c>
      <c r="C2460" s="67">
        <f t="shared" si="149"/>
        <v>2012</v>
      </c>
      <c r="D2460" s="70" t="s">
        <v>362</v>
      </c>
      <c r="E2460" s="70" t="s">
        <v>362</v>
      </c>
      <c r="F2460" s="68">
        <v>13.128399999999999</v>
      </c>
    </row>
    <row r="2461" spans="1:6">
      <c r="A2461" s="57" t="s">
        <v>5040</v>
      </c>
      <c r="B2461" s="58">
        <f t="shared" si="148"/>
        <v>41148</v>
      </c>
      <c r="C2461" s="59">
        <f t="shared" si="149"/>
        <v>2012</v>
      </c>
      <c r="D2461" s="61">
        <v>13.170299999999999</v>
      </c>
      <c r="E2461" s="61">
        <v>13.176</v>
      </c>
      <c r="F2461" s="61">
        <v>13.128399999999999</v>
      </c>
    </row>
    <row r="2462" spans="1:6">
      <c r="A2462" s="65" t="s">
        <v>5041</v>
      </c>
      <c r="B2462" s="66">
        <f t="shared" si="148"/>
        <v>41149</v>
      </c>
      <c r="C2462" s="67">
        <f t="shared" si="149"/>
        <v>2012</v>
      </c>
      <c r="D2462" s="68">
        <v>13.184699999999999</v>
      </c>
      <c r="E2462" s="68">
        <v>13.170299999999999</v>
      </c>
      <c r="F2462" s="68">
        <v>13.176</v>
      </c>
    </row>
    <row r="2463" spans="1:6">
      <c r="A2463" s="57" t="s">
        <v>5042</v>
      </c>
      <c r="B2463" s="58">
        <f t="shared" ref="B2463:B2526" si="150">DATE(RIGHT(A2463,4),LEFT(RIGHT(A2463,7),2),LEFT(A2463,2))</f>
        <v>41150</v>
      </c>
      <c r="C2463" s="59">
        <f t="shared" ref="C2463:C2526" si="151">YEAR(B2463)</f>
        <v>2012</v>
      </c>
      <c r="D2463" s="61">
        <v>13.2746</v>
      </c>
      <c r="E2463" s="61">
        <v>13.184699999999999</v>
      </c>
      <c r="F2463" s="61">
        <v>13.170299999999999</v>
      </c>
    </row>
    <row r="2464" spans="1:6">
      <c r="A2464" s="65" t="s">
        <v>5043</v>
      </c>
      <c r="B2464" s="66">
        <f t="shared" si="150"/>
        <v>41151</v>
      </c>
      <c r="C2464" s="67">
        <f t="shared" si="151"/>
        <v>2012</v>
      </c>
      <c r="D2464" s="68">
        <v>13.417199999999999</v>
      </c>
      <c r="E2464" s="68">
        <v>13.2746</v>
      </c>
      <c r="F2464" s="68">
        <v>13.184699999999999</v>
      </c>
    </row>
    <row r="2465" spans="1:6">
      <c r="A2465" s="57" t="s">
        <v>5044</v>
      </c>
      <c r="B2465" s="58">
        <f t="shared" si="150"/>
        <v>41152</v>
      </c>
      <c r="C2465" s="59">
        <f t="shared" si="151"/>
        <v>2012</v>
      </c>
      <c r="D2465" s="61">
        <v>13.257099999999999</v>
      </c>
      <c r="E2465" s="61">
        <v>13.417199999999999</v>
      </c>
      <c r="F2465" s="61">
        <v>13.2746</v>
      </c>
    </row>
    <row r="2466" spans="1:6">
      <c r="A2466" s="65" t="s">
        <v>5045</v>
      </c>
      <c r="B2466" s="66">
        <f t="shared" si="150"/>
        <v>41153</v>
      </c>
      <c r="C2466" s="67">
        <f t="shared" si="151"/>
        <v>2012</v>
      </c>
      <c r="D2466" s="70" t="s">
        <v>362</v>
      </c>
      <c r="E2466" s="70" t="s">
        <v>362</v>
      </c>
      <c r="F2466" s="68">
        <v>13.417199999999999</v>
      </c>
    </row>
    <row r="2467" spans="1:6">
      <c r="A2467" s="57" t="s">
        <v>5046</v>
      </c>
      <c r="B2467" s="58">
        <f t="shared" si="150"/>
        <v>41154</v>
      </c>
      <c r="C2467" s="59">
        <f t="shared" si="151"/>
        <v>2012</v>
      </c>
      <c r="D2467" s="60" t="s">
        <v>362</v>
      </c>
      <c r="E2467" s="60" t="s">
        <v>362</v>
      </c>
      <c r="F2467" s="61">
        <v>13.417199999999999</v>
      </c>
    </row>
    <row r="2468" spans="1:6">
      <c r="A2468" s="65" t="s">
        <v>5047</v>
      </c>
      <c r="B2468" s="66">
        <f t="shared" si="150"/>
        <v>41155</v>
      </c>
      <c r="C2468" s="67">
        <f t="shared" si="151"/>
        <v>2012</v>
      </c>
      <c r="D2468" s="68">
        <v>13.191000000000001</v>
      </c>
      <c r="E2468" s="68">
        <v>13.257099999999999</v>
      </c>
      <c r="F2468" s="68">
        <v>13.417199999999999</v>
      </c>
    </row>
    <row r="2469" spans="1:6">
      <c r="A2469" s="57" t="s">
        <v>5048</v>
      </c>
      <c r="B2469" s="58">
        <f t="shared" si="150"/>
        <v>41156</v>
      </c>
      <c r="C2469" s="59">
        <f t="shared" si="151"/>
        <v>2012</v>
      </c>
      <c r="D2469" s="61">
        <v>13.1793</v>
      </c>
      <c r="E2469" s="61">
        <v>13.191000000000001</v>
      </c>
      <c r="F2469" s="61">
        <v>13.257099999999999</v>
      </c>
    </row>
    <row r="2470" spans="1:6">
      <c r="A2470" s="65" t="s">
        <v>5049</v>
      </c>
      <c r="B2470" s="66">
        <f t="shared" si="150"/>
        <v>41157</v>
      </c>
      <c r="C2470" s="67">
        <f t="shared" si="151"/>
        <v>2012</v>
      </c>
      <c r="D2470" s="68">
        <v>13.1221</v>
      </c>
      <c r="E2470" s="68">
        <v>13.1793</v>
      </c>
      <c r="F2470" s="68">
        <v>13.191000000000001</v>
      </c>
    </row>
    <row r="2471" spans="1:6">
      <c r="A2471" s="57" t="s">
        <v>5050</v>
      </c>
      <c r="B2471" s="58">
        <f t="shared" si="150"/>
        <v>41158</v>
      </c>
      <c r="C2471" s="59">
        <f t="shared" si="151"/>
        <v>2012</v>
      </c>
      <c r="D2471" s="61">
        <v>13.048299999999999</v>
      </c>
      <c r="E2471" s="61">
        <v>13.1221</v>
      </c>
      <c r="F2471" s="61">
        <v>13.1793</v>
      </c>
    </row>
    <row r="2472" spans="1:6">
      <c r="A2472" s="65" t="s">
        <v>5051</v>
      </c>
      <c r="B2472" s="66">
        <f t="shared" si="150"/>
        <v>41159</v>
      </c>
      <c r="C2472" s="67">
        <f t="shared" si="151"/>
        <v>2012</v>
      </c>
      <c r="D2472" s="68">
        <v>12.9976</v>
      </c>
      <c r="E2472" s="68">
        <v>13.048299999999999</v>
      </c>
      <c r="F2472" s="68">
        <v>13.1221</v>
      </c>
    </row>
    <row r="2473" spans="1:6">
      <c r="A2473" s="57" t="s">
        <v>5052</v>
      </c>
      <c r="B2473" s="58">
        <f t="shared" si="150"/>
        <v>41160</v>
      </c>
      <c r="C2473" s="59">
        <f t="shared" si="151"/>
        <v>2012</v>
      </c>
      <c r="D2473" s="60" t="s">
        <v>362</v>
      </c>
      <c r="E2473" s="60" t="s">
        <v>362</v>
      </c>
      <c r="F2473" s="61">
        <v>13.048299999999999</v>
      </c>
    </row>
    <row r="2474" spans="1:6">
      <c r="A2474" s="65" t="s">
        <v>5053</v>
      </c>
      <c r="B2474" s="66">
        <f t="shared" si="150"/>
        <v>41161</v>
      </c>
      <c r="C2474" s="67">
        <f t="shared" si="151"/>
        <v>2012</v>
      </c>
      <c r="D2474" s="70" t="s">
        <v>362</v>
      </c>
      <c r="E2474" s="70" t="s">
        <v>362</v>
      </c>
      <c r="F2474" s="68">
        <v>13.048299999999999</v>
      </c>
    </row>
    <row r="2475" spans="1:6">
      <c r="A2475" s="57" t="s">
        <v>5054</v>
      </c>
      <c r="B2475" s="58">
        <f t="shared" si="150"/>
        <v>41162</v>
      </c>
      <c r="C2475" s="59">
        <f t="shared" si="151"/>
        <v>2012</v>
      </c>
      <c r="D2475" s="61">
        <v>12.992100000000001</v>
      </c>
      <c r="E2475" s="61">
        <v>12.9976</v>
      </c>
      <c r="F2475" s="61">
        <v>13.048299999999999</v>
      </c>
    </row>
    <row r="2476" spans="1:6">
      <c r="A2476" s="65" t="s">
        <v>5055</v>
      </c>
      <c r="B2476" s="66">
        <f t="shared" si="150"/>
        <v>41163</v>
      </c>
      <c r="C2476" s="67">
        <f t="shared" si="151"/>
        <v>2012</v>
      </c>
      <c r="D2476" s="68">
        <v>12.9992</v>
      </c>
      <c r="E2476" s="68">
        <v>12.992100000000001</v>
      </c>
      <c r="F2476" s="68">
        <v>12.9976</v>
      </c>
    </row>
    <row r="2477" spans="1:6">
      <c r="A2477" s="57" t="s">
        <v>5056</v>
      </c>
      <c r="B2477" s="58">
        <f t="shared" si="150"/>
        <v>41164</v>
      </c>
      <c r="C2477" s="59">
        <f t="shared" si="151"/>
        <v>2012</v>
      </c>
      <c r="D2477" s="61">
        <v>13.0305</v>
      </c>
      <c r="E2477" s="61">
        <v>12.9992</v>
      </c>
      <c r="F2477" s="61">
        <v>12.992100000000001</v>
      </c>
    </row>
    <row r="2478" spans="1:6">
      <c r="A2478" s="65" t="s">
        <v>5057</v>
      </c>
      <c r="B2478" s="66">
        <f t="shared" si="150"/>
        <v>41165</v>
      </c>
      <c r="C2478" s="67">
        <f t="shared" si="151"/>
        <v>2012</v>
      </c>
      <c r="D2478" s="68">
        <v>12.9749</v>
      </c>
      <c r="E2478" s="68">
        <v>13.0305</v>
      </c>
      <c r="F2478" s="68">
        <v>12.9992</v>
      </c>
    </row>
    <row r="2479" spans="1:6">
      <c r="A2479" s="57" t="s">
        <v>5058</v>
      </c>
      <c r="B2479" s="58">
        <f t="shared" si="150"/>
        <v>41166</v>
      </c>
      <c r="C2479" s="59">
        <f t="shared" si="151"/>
        <v>2012</v>
      </c>
      <c r="D2479" s="61">
        <v>12.745799999999999</v>
      </c>
      <c r="E2479" s="61">
        <v>12.9749</v>
      </c>
      <c r="F2479" s="61">
        <v>13.0305</v>
      </c>
    </row>
    <row r="2480" spans="1:6">
      <c r="A2480" s="65" t="s">
        <v>5059</v>
      </c>
      <c r="B2480" s="66">
        <f t="shared" si="150"/>
        <v>41167</v>
      </c>
      <c r="C2480" s="67">
        <f t="shared" si="151"/>
        <v>2012</v>
      </c>
      <c r="D2480" s="70" t="s">
        <v>362</v>
      </c>
      <c r="E2480" s="70" t="s">
        <v>362</v>
      </c>
      <c r="F2480" s="68">
        <v>12.9749</v>
      </c>
    </row>
    <row r="2481" spans="1:6">
      <c r="A2481" s="57" t="s">
        <v>5060</v>
      </c>
      <c r="B2481" s="58">
        <f t="shared" si="150"/>
        <v>41168</v>
      </c>
      <c r="C2481" s="59">
        <f t="shared" si="151"/>
        <v>2012</v>
      </c>
      <c r="D2481" s="60" t="s">
        <v>362</v>
      </c>
      <c r="E2481" s="60" t="s">
        <v>362</v>
      </c>
      <c r="F2481" s="61">
        <v>12.9749</v>
      </c>
    </row>
    <row r="2482" spans="1:6">
      <c r="A2482" s="65" t="s">
        <v>5061</v>
      </c>
      <c r="B2482" s="66">
        <f t="shared" si="150"/>
        <v>41169</v>
      </c>
      <c r="C2482" s="67">
        <f t="shared" si="151"/>
        <v>2012</v>
      </c>
      <c r="D2482" s="68">
        <v>12.7492</v>
      </c>
      <c r="E2482" s="68">
        <v>12.745799999999999</v>
      </c>
      <c r="F2482" s="68">
        <v>12.9749</v>
      </c>
    </row>
    <row r="2483" spans="1:6">
      <c r="A2483" s="57" t="s">
        <v>5062</v>
      </c>
      <c r="B2483" s="58">
        <f t="shared" si="150"/>
        <v>41170</v>
      </c>
      <c r="C2483" s="59">
        <f t="shared" si="151"/>
        <v>2012</v>
      </c>
      <c r="D2483" s="61">
        <v>12.8192</v>
      </c>
      <c r="E2483" s="61">
        <v>12.7492</v>
      </c>
      <c r="F2483" s="61">
        <v>12.745799999999999</v>
      </c>
    </row>
    <row r="2484" spans="1:6">
      <c r="A2484" s="65" t="s">
        <v>5063</v>
      </c>
      <c r="B2484" s="66">
        <f t="shared" si="150"/>
        <v>41171</v>
      </c>
      <c r="C2484" s="67">
        <f t="shared" si="151"/>
        <v>2012</v>
      </c>
      <c r="D2484" s="68">
        <v>12.823499999999999</v>
      </c>
      <c r="E2484" s="68">
        <v>12.8192</v>
      </c>
      <c r="F2484" s="68">
        <v>12.7492</v>
      </c>
    </row>
    <row r="2485" spans="1:6">
      <c r="A2485" s="57" t="s">
        <v>5064</v>
      </c>
      <c r="B2485" s="58">
        <f t="shared" si="150"/>
        <v>41172</v>
      </c>
      <c r="C2485" s="59">
        <f t="shared" si="151"/>
        <v>2012</v>
      </c>
      <c r="D2485" s="61">
        <v>12.904199999999999</v>
      </c>
      <c r="E2485" s="61">
        <v>12.823499999999999</v>
      </c>
      <c r="F2485" s="61">
        <v>12.8192</v>
      </c>
    </row>
    <row r="2486" spans="1:6">
      <c r="A2486" s="65" t="s">
        <v>5065</v>
      </c>
      <c r="B2486" s="66">
        <f t="shared" si="150"/>
        <v>41173</v>
      </c>
      <c r="C2486" s="67">
        <f t="shared" si="151"/>
        <v>2012</v>
      </c>
      <c r="D2486" s="68">
        <v>12.8376</v>
      </c>
      <c r="E2486" s="68">
        <v>12.904199999999999</v>
      </c>
      <c r="F2486" s="68">
        <v>12.823499999999999</v>
      </c>
    </row>
    <row r="2487" spans="1:6">
      <c r="A2487" s="57" t="s">
        <v>5066</v>
      </c>
      <c r="B2487" s="58">
        <f t="shared" si="150"/>
        <v>41174</v>
      </c>
      <c r="C2487" s="59">
        <f t="shared" si="151"/>
        <v>2012</v>
      </c>
      <c r="D2487" s="60" t="s">
        <v>362</v>
      </c>
      <c r="E2487" s="60" t="s">
        <v>362</v>
      </c>
      <c r="F2487" s="61">
        <v>12.904199999999999</v>
      </c>
    </row>
    <row r="2488" spans="1:6">
      <c r="A2488" s="65" t="s">
        <v>5067</v>
      </c>
      <c r="B2488" s="66">
        <f t="shared" si="150"/>
        <v>41175</v>
      </c>
      <c r="C2488" s="67">
        <f t="shared" si="151"/>
        <v>2012</v>
      </c>
      <c r="D2488" s="70" t="s">
        <v>362</v>
      </c>
      <c r="E2488" s="70" t="s">
        <v>362</v>
      </c>
      <c r="F2488" s="68">
        <v>12.904199999999999</v>
      </c>
    </row>
    <row r="2489" spans="1:6">
      <c r="A2489" s="57" t="s">
        <v>5068</v>
      </c>
      <c r="B2489" s="58">
        <f t="shared" si="150"/>
        <v>41176</v>
      </c>
      <c r="C2489" s="59">
        <f t="shared" si="151"/>
        <v>2012</v>
      </c>
      <c r="D2489" s="61">
        <v>12.9123</v>
      </c>
      <c r="E2489" s="61">
        <v>12.8376</v>
      </c>
      <c r="F2489" s="61">
        <v>12.904199999999999</v>
      </c>
    </row>
    <row r="2490" spans="1:6">
      <c r="A2490" s="65" t="s">
        <v>5069</v>
      </c>
      <c r="B2490" s="66">
        <f t="shared" si="150"/>
        <v>41177</v>
      </c>
      <c r="C2490" s="67">
        <f t="shared" si="151"/>
        <v>2012</v>
      </c>
      <c r="D2490" s="68">
        <v>12.8233</v>
      </c>
      <c r="E2490" s="68">
        <v>12.9123</v>
      </c>
      <c r="F2490" s="68">
        <v>12.8376</v>
      </c>
    </row>
    <row r="2491" spans="1:6">
      <c r="A2491" s="57" t="s">
        <v>5070</v>
      </c>
      <c r="B2491" s="58">
        <f t="shared" si="150"/>
        <v>41178</v>
      </c>
      <c r="C2491" s="59">
        <f t="shared" si="151"/>
        <v>2012</v>
      </c>
      <c r="D2491" s="61">
        <v>12.917</v>
      </c>
      <c r="E2491" s="61">
        <v>12.8233</v>
      </c>
      <c r="F2491" s="61">
        <v>12.9123</v>
      </c>
    </row>
    <row r="2492" spans="1:6">
      <c r="A2492" s="65" t="s">
        <v>5071</v>
      </c>
      <c r="B2492" s="66">
        <f t="shared" si="150"/>
        <v>41179</v>
      </c>
      <c r="C2492" s="67">
        <f t="shared" si="151"/>
        <v>2012</v>
      </c>
      <c r="D2492" s="68">
        <v>12.8521</v>
      </c>
      <c r="E2492" s="68">
        <v>12.917</v>
      </c>
      <c r="F2492" s="68">
        <v>12.8233</v>
      </c>
    </row>
    <row r="2493" spans="1:6">
      <c r="A2493" s="57" t="s">
        <v>5072</v>
      </c>
      <c r="B2493" s="58">
        <f t="shared" si="150"/>
        <v>41180</v>
      </c>
      <c r="C2493" s="59">
        <f t="shared" si="151"/>
        <v>2012</v>
      </c>
      <c r="D2493" s="61">
        <v>12.8695</v>
      </c>
      <c r="E2493" s="61">
        <v>12.8521</v>
      </c>
      <c r="F2493" s="61">
        <v>12.917</v>
      </c>
    </row>
    <row r="2494" spans="1:6">
      <c r="A2494" s="65" t="s">
        <v>5073</v>
      </c>
      <c r="B2494" s="66">
        <f t="shared" si="150"/>
        <v>41181</v>
      </c>
      <c r="C2494" s="67">
        <f t="shared" si="151"/>
        <v>2012</v>
      </c>
      <c r="D2494" s="70" t="s">
        <v>362</v>
      </c>
      <c r="E2494" s="70" t="s">
        <v>362</v>
      </c>
      <c r="F2494" s="68">
        <v>12.8521</v>
      </c>
    </row>
    <row r="2495" spans="1:6">
      <c r="A2495" s="57" t="s">
        <v>5074</v>
      </c>
      <c r="B2495" s="58">
        <f t="shared" si="150"/>
        <v>41182</v>
      </c>
      <c r="C2495" s="59">
        <f t="shared" si="151"/>
        <v>2012</v>
      </c>
      <c r="D2495" s="60" t="s">
        <v>362</v>
      </c>
      <c r="E2495" s="60" t="s">
        <v>362</v>
      </c>
      <c r="F2495" s="61">
        <v>12.8521</v>
      </c>
    </row>
    <row r="2496" spans="1:6">
      <c r="A2496" s="65" t="s">
        <v>5075</v>
      </c>
      <c r="B2496" s="66">
        <f t="shared" si="150"/>
        <v>41183</v>
      </c>
      <c r="C2496" s="67">
        <f t="shared" si="151"/>
        <v>2012</v>
      </c>
      <c r="D2496" s="68">
        <v>12.8178</v>
      </c>
      <c r="E2496" s="68">
        <v>12.8695</v>
      </c>
      <c r="F2496" s="68">
        <v>12.8521</v>
      </c>
    </row>
    <row r="2497" spans="1:6">
      <c r="A2497" s="57" t="s">
        <v>5076</v>
      </c>
      <c r="B2497" s="58">
        <f t="shared" si="150"/>
        <v>41184</v>
      </c>
      <c r="C2497" s="59">
        <f t="shared" si="151"/>
        <v>2012</v>
      </c>
      <c r="D2497" s="61">
        <v>12.8375</v>
      </c>
      <c r="E2497" s="61">
        <v>12.8178</v>
      </c>
      <c r="F2497" s="61">
        <v>12.8695</v>
      </c>
    </row>
    <row r="2498" spans="1:6">
      <c r="A2498" s="65" t="s">
        <v>5077</v>
      </c>
      <c r="B2498" s="66">
        <f t="shared" si="150"/>
        <v>41185</v>
      </c>
      <c r="C2498" s="67">
        <f t="shared" si="151"/>
        <v>2012</v>
      </c>
      <c r="D2498" s="68">
        <v>12.8528</v>
      </c>
      <c r="E2498" s="68">
        <v>12.8375</v>
      </c>
      <c r="F2498" s="68">
        <v>12.8178</v>
      </c>
    </row>
    <row r="2499" spans="1:6">
      <c r="A2499" s="57" t="s">
        <v>5078</v>
      </c>
      <c r="B2499" s="58">
        <f t="shared" si="150"/>
        <v>41186</v>
      </c>
      <c r="C2499" s="59">
        <f t="shared" si="151"/>
        <v>2012</v>
      </c>
      <c r="D2499" s="61">
        <v>12.758900000000001</v>
      </c>
      <c r="E2499" s="61">
        <v>12.8528</v>
      </c>
      <c r="F2499" s="61">
        <v>12.8375</v>
      </c>
    </row>
    <row r="2500" spans="1:6">
      <c r="A2500" s="65" t="s">
        <v>5079</v>
      </c>
      <c r="B2500" s="66">
        <f t="shared" si="150"/>
        <v>41187</v>
      </c>
      <c r="C2500" s="67">
        <f t="shared" si="151"/>
        <v>2012</v>
      </c>
      <c r="D2500" s="68">
        <v>12.698700000000001</v>
      </c>
      <c r="E2500" s="68">
        <v>12.758900000000001</v>
      </c>
      <c r="F2500" s="68">
        <v>12.8528</v>
      </c>
    </row>
    <row r="2501" spans="1:6">
      <c r="A2501" s="57" t="s">
        <v>5080</v>
      </c>
      <c r="B2501" s="58">
        <f t="shared" si="150"/>
        <v>41188</v>
      </c>
      <c r="C2501" s="59">
        <f t="shared" si="151"/>
        <v>2012</v>
      </c>
      <c r="D2501" s="60" t="s">
        <v>362</v>
      </c>
      <c r="E2501" s="60" t="s">
        <v>362</v>
      </c>
      <c r="F2501" s="61">
        <v>12.758900000000001</v>
      </c>
    </row>
    <row r="2502" spans="1:6">
      <c r="A2502" s="65" t="s">
        <v>5081</v>
      </c>
      <c r="B2502" s="66">
        <f t="shared" si="150"/>
        <v>41189</v>
      </c>
      <c r="C2502" s="67">
        <f t="shared" si="151"/>
        <v>2012</v>
      </c>
      <c r="D2502" s="70" t="s">
        <v>362</v>
      </c>
      <c r="E2502" s="70" t="s">
        <v>362</v>
      </c>
      <c r="F2502" s="68">
        <v>12.758900000000001</v>
      </c>
    </row>
    <row r="2503" spans="1:6">
      <c r="A2503" s="57" t="s">
        <v>5082</v>
      </c>
      <c r="B2503" s="58">
        <f t="shared" si="150"/>
        <v>41190</v>
      </c>
      <c r="C2503" s="59">
        <f t="shared" si="151"/>
        <v>2012</v>
      </c>
      <c r="D2503" s="61">
        <v>12.842599999999999</v>
      </c>
      <c r="E2503" s="61">
        <v>12.698700000000001</v>
      </c>
      <c r="F2503" s="61">
        <v>12.758900000000001</v>
      </c>
    </row>
    <row r="2504" spans="1:6">
      <c r="A2504" s="65" t="s">
        <v>5083</v>
      </c>
      <c r="B2504" s="66">
        <f t="shared" si="150"/>
        <v>41191</v>
      </c>
      <c r="C2504" s="67">
        <f t="shared" si="151"/>
        <v>2012</v>
      </c>
      <c r="D2504" s="68">
        <v>12.868</v>
      </c>
      <c r="E2504" s="68">
        <v>12.842599999999999</v>
      </c>
      <c r="F2504" s="68">
        <v>12.698700000000001</v>
      </c>
    </row>
    <row r="2505" spans="1:6">
      <c r="A2505" s="57" t="s">
        <v>5084</v>
      </c>
      <c r="B2505" s="58">
        <f t="shared" si="150"/>
        <v>41192</v>
      </c>
      <c r="C2505" s="59">
        <f t="shared" si="151"/>
        <v>2012</v>
      </c>
      <c r="D2505" s="61">
        <v>12.911899999999999</v>
      </c>
      <c r="E2505" s="61">
        <v>12.868</v>
      </c>
      <c r="F2505" s="61">
        <v>12.842599999999999</v>
      </c>
    </row>
    <row r="2506" spans="1:6">
      <c r="A2506" s="65" t="s">
        <v>5085</v>
      </c>
      <c r="B2506" s="66">
        <f t="shared" si="150"/>
        <v>41193</v>
      </c>
      <c r="C2506" s="67">
        <f t="shared" si="151"/>
        <v>2012</v>
      </c>
      <c r="D2506" s="68">
        <v>12.879200000000001</v>
      </c>
      <c r="E2506" s="68">
        <v>12.911899999999999</v>
      </c>
      <c r="F2506" s="68">
        <v>12.868</v>
      </c>
    </row>
    <row r="2507" spans="1:6">
      <c r="A2507" s="57" t="s">
        <v>5086</v>
      </c>
      <c r="B2507" s="58">
        <f t="shared" si="150"/>
        <v>41194</v>
      </c>
      <c r="C2507" s="59">
        <f t="shared" si="151"/>
        <v>2012</v>
      </c>
      <c r="D2507" s="61">
        <v>12.8901</v>
      </c>
      <c r="E2507" s="61">
        <v>12.879200000000001</v>
      </c>
      <c r="F2507" s="61">
        <v>12.911899999999999</v>
      </c>
    </row>
    <row r="2508" spans="1:6">
      <c r="A2508" s="65" t="s">
        <v>5087</v>
      </c>
      <c r="B2508" s="66">
        <f t="shared" si="150"/>
        <v>41195</v>
      </c>
      <c r="C2508" s="67">
        <f t="shared" si="151"/>
        <v>2012</v>
      </c>
      <c r="D2508" s="70" t="s">
        <v>362</v>
      </c>
      <c r="E2508" s="70" t="s">
        <v>362</v>
      </c>
      <c r="F2508" s="68">
        <v>12.879200000000001</v>
      </c>
    </row>
    <row r="2509" spans="1:6">
      <c r="A2509" s="57" t="s">
        <v>5088</v>
      </c>
      <c r="B2509" s="58">
        <f t="shared" si="150"/>
        <v>41196</v>
      </c>
      <c r="C2509" s="59">
        <f t="shared" si="151"/>
        <v>2012</v>
      </c>
      <c r="D2509" s="60" t="s">
        <v>362</v>
      </c>
      <c r="E2509" s="60" t="s">
        <v>362</v>
      </c>
      <c r="F2509" s="61">
        <v>12.879200000000001</v>
      </c>
    </row>
    <row r="2510" spans="1:6">
      <c r="A2510" s="65" t="s">
        <v>5089</v>
      </c>
      <c r="B2510" s="66">
        <f t="shared" si="150"/>
        <v>41197</v>
      </c>
      <c r="C2510" s="67">
        <f t="shared" si="151"/>
        <v>2012</v>
      </c>
      <c r="D2510" s="68">
        <v>12.8188</v>
      </c>
      <c r="E2510" s="68">
        <v>12.8901</v>
      </c>
      <c r="F2510" s="68">
        <v>12.879200000000001</v>
      </c>
    </row>
    <row r="2511" spans="1:6">
      <c r="A2511" s="57" t="s">
        <v>5090</v>
      </c>
      <c r="B2511" s="58">
        <f t="shared" si="150"/>
        <v>41198</v>
      </c>
      <c r="C2511" s="59">
        <f t="shared" si="151"/>
        <v>2012</v>
      </c>
      <c r="D2511" s="61">
        <v>12.807700000000001</v>
      </c>
      <c r="E2511" s="61">
        <v>12.8188</v>
      </c>
      <c r="F2511" s="61">
        <v>12.8901</v>
      </c>
    </row>
    <row r="2512" spans="1:6">
      <c r="A2512" s="65" t="s">
        <v>5091</v>
      </c>
      <c r="B2512" s="66">
        <f t="shared" si="150"/>
        <v>41199</v>
      </c>
      <c r="C2512" s="67">
        <f t="shared" si="151"/>
        <v>2012</v>
      </c>
      <c r="D2512" s="68">
        <v>12.7981</v>
      </c>
      <c r="E2512" s="68">
        <v>12.807700000000001</v>
      </c>
      <c r="F2512" s="68">
        <v>12.8188</v>
      </c>
    </row>
    <row r="2513" spans="1:6">
      <c r="A2513" s="57" t="s">
        <v>5092</v>
      </c>
      <c r="B2513" s="58">
        <f t="shared" si="150"/>
        <v>41200</v>
      </c>
      <c r="C2513" s="59">
        <f t="shared" si="151"/>
        <v>2012</v>
      </c>
      <c r="D2513" s="61">
        <v>12.8299</v>
      </c>
      <c r="E2513" s="61">
        <v>12.7981</v>
      </c>
      <c r="F2513" s="61">
        <v>12.807700000000001</v>
      </c>
    </row>
    <row r="2514" spans="1:6">
      <c r="A2514" s="65" t="s">
        <v>5093</v>
      </c>
      <c r="B2514" s="66">
        <f t="shared" si="150"/>
        <v>41201</v>
      </c>
      <c r="C2514" s="67">
        <f t="shared" si="151"/>
        <v>2012</v>
      </c>
      <c r="D2514" s="68">
        <v>12.8551</v>
      </c>
      <c r="E2514" s="68">
        <v>12.8299</v>
      </c>
      <c r="F2514" s="68">
        <v>12.7981</v>
      </c>
    </row>
    <row r="2515" spans="1:6">
      <c r="A2515" s="57" t="s">
        <v>5094</v>
      </c>
      <c r="B2515" s="58">
        <f t="shared" si="150"/>
        <v>41202</v>
      </c>
      <c r="C2515" s="59">
        <f t="shared" si="151"/>
        <v>2012</v>
      </c>
      <c r="D2515" s="60" t="s">
        <v>362</v>
      </c>
      <c r="E2515" s="60" t="s">
        <v>362</v>
      </c>
      <c r="F2515" s="61">
        <v>12.8299</v>
      </c>
    </row>
    <row r="2516" spans="1:6">
      <c r="A2516" s="65" t="s">
        <v>5095</v>
      </c>
      <c r="B2516" s="66">
        <f t="shared" si="150"/>
        <v>41203</v>
      </c>
      <c r="C2516" s="67">
        <f t="shared" si="151"/>
        <v>2012</v>
      </c>
      <c r="D2516" s="70" t="s">
        <v>362</v>
      </c>
      <c r="E2516" s="70" t="s">
        <v>362</v>
      </c>
      <c r="F2516" s="68">
        <v>12.8299</v>
      </c>
    </row>
    <row r="2517" spans="1:6">
      <c r="A2517" s="57" t="s">
        <v>5096</v>
      </c>
      <c r="B2517" s="58">
        <f t="shared" si="150"/>
        <v>41204</v>
      </c>
      <c r="C2517" s="59">
        <f t="shared" si="151"/>
        <v>2012</v>
      </c>
      <c r="D2517" s="61">
        <v>12.857100000000001</v>
      </c>
      <c r="E2517" s="61">
        <v>12.8551</v>
      </c>
      <c r="F2517" s="61">
        <v>12.8299</v>
      </c>
    </row>
    <row r="2518" spans="1:6">
      <c r="A2518" s="65" t="s">
        <v>5097</v>
      </c>
      <c r="B2518" s="66">
        <f t="shared" si="150"/>
        <v>41205</v>
      </c>
      <c r="C2518" s="67">
        <f t="shared" si="151"/>
        <v>2012</v>
      </c>
      <c r="D2518" s="68">
        <v>12.975899999999999</v>
      </c>
      <c r="E2518" s="68">
        <v>12.857100000000001</v>
      </c>
      <c r="F2518" s="68">
        <v>12.8551</v>
      </c>
    </row>
    <row r="2519" spans="1:6">
      <c r="A2519" s="57" t="s">
        <v>5098</v>
      </c>
      <c r="B2519" s="58">
        <f t="shared" si="150"/>
        <v>41206</v>
      </c>
      <c r="C2519" s="59">
        <f t="shared" si="151"/>
        <v>2012</v>
      </c>
      <c r="D2519" s="61">
        <v>12.9839</v>
      </c>
      <c r="E2519" s="61">
        <v>12.975899999999999</v>
      </c>
      <c r="F2519" s="61">
        <v>12.857100000000001</v>
      </c>
    </row>
    <row r="2520" spans="1:6">
      <c r="A2520" s="65" t="s">
        <v>5099</v>
      </c>
      <c r="B2520" s="66">
        <f t="shared" si="150"/>
        <v>41207</v>
      </c>
      <c r="C2520" s="67">
        <f t="shared" si="151"/>
        <v>2012</v>
      </c>
      <c r="D2520" s="68">
        <v>12.966900000000001</v>
      </c>
      <c r="E2520" s="68">
        <v>12.9839</v>
      </c>
      <c r="F2520" s="68">
        <v>12.975899999999999</v>
      </c>
    </row>
    <row r="2521" spans="1:6">
      <c r="A2521" s="57" t="s">
        <v>5100</v>
      </c>
      <c r="B2521" s="58">
        <f t="shared" si="150"/>
        <v>41208</v>
      </c>
      <c r="C2521" s="59">
        <f t="shared" si="151"/>
        <v>2012</v>
      </c>
      <c r="D2521" s="61">
        <v>13.011200000000001</v>
      </c>
      <c r="E2521" s="61">
        <v>12.966900000000001</v>
      </c>
      <c r="F2521" s="61">
        <v>12.9839</v>
      </c>
    </row>
    <row r="2522" spans="1:6">
      <c r="A2522" s="65" t="s">
        <v>5101</v>
      </c>
      <c r="B2522" s="66">
        <f t="shared" si="150"/>
        <v>41209</v>
      </c>
      <c r="C2522" s="67">
        <f t="shared" si="151"/>
        <v>2012</v>
      </c>
      <c r="D2522" s="70" t="s">
        <v>362</v>
      </c>
      <c r="E2522" s="70" t="s">
        <v>362</v>
      </c>
      <c r="F2522" s="68">
        <v>12.966900000000001</v>
      </c>
    </row>
    <row r="2523" spans="1:6">
      <c r="A2523" s="57" t="s">
        <v>5102</v>
      </c>
      <c r="B2523" s="58">
        <f t="shared" si="150"/>
        <v>41210</v>
      </c>
      <c r="C2523" s="59">
        <f t="shared" si="151"/>
        <v>2012</v>
      </c>
      <c r="D2523" s="60" t="s">
        <v>362</v>
      </c>
      <c r="E2523" s="60" t="s">
        <v>362</v>
      </c>
      <c r="F2523" s="61">
        <v>12.966900000000001</v>
      </c>
    </row>
    <row r="2524" spans="1:6">
      <c r="A2524" s="65" t="s">
        <v>5103</v>
      </c>
      <c r="B2524" s="66">
        <f t="shared" si="150"/>
        <v>41211</v>
      </c>
      <c r="C2524" s="67">
        <f t="shared" si="151"/>
        <v>2012</v>
      </c>
      <c r="D2524" s="68">
        <v>13.09</v>
      </c>
      <c r="E2524" s="68">
        <v>13.011200000000001</v>
      </c>
      <c r="F2524" s="68">
        <v>12.966900000000001</v>
      </c>
    </row>
    <row r="2525" spans="1:6">
      <c r="A2525" s="57" t="s">
        <v>5104</v>
      </c>
      <c r="B2525" s="58">
        <f t="shared" si="150"/>
        <v>41212</v>
      </c>
      <c r="C2525" s="59">
        <f t="shared" si="151"/>
        <v>2012</v>
      </c>
      <c r="D2525" s="61">
        <v>13.049799999999999</v>
      </c>
      <c r="E2525" s="61">
        <v>13.09</v>
      </c>
      <c r="F2525" s="61">
        <v>13.011200000000001</v>
      </c>
    </row>
    <row r="2526" spans="1:6">
      <c r="A2526" s="65" t="s">
        <v>5105</v>
      </c>
      <c r="B2526" s="66">
        <f t="shared" si="150"/>
        <v>41213</v>
      </c>
      <c r="C2526" s="67">
        <f t="shared" si="151"/>
        <v>2012</v>
      </c>
      <c r="D2526" s="68">
        <v>13.091100000000001</v>
      </c>
      <c r="E2526" s="68">
        <v>13.049799999999999</v>
      </c>
      <c r="F2526" s="68">
        <v>13.09</v>
      </c>
    </row>
    <row r="2527" spans="1:6">
      <c r="A2527" s="57" t="s">
        <v>5106</v>
      </c>
      <c r="B2527" s="58">
        <f t="shared" ref="B2527:B2590" si="152">DATE(RIGHT(A2527,4),LEFT(RIGHT(A2527,7),2),LEFT(A2527,2))</f>
        <v>41214</v>
      </c>
      <c r="C2527" s="59">
        <f t="shared" ref="C2527:C2590" si="153">YEAR(B2527)</f>
        <v>2012</v>
      </c>
      <c r="D2527" s="61">
        <v>13.0387</v>
      </c>
      <c r="E2527" s="61">
        <v>13.091100000000001</v>
      </c>
      <c r="F2527" s="61">
        <v>13.049799999999999</v>
      </c>
    </row>
    <row r="2528" spans="1:6">
      <c r="A2528" s="65" t="s">
        <v>5107</v>
      </c>
      <c r="B2528" s="66">
        <f t="shared" si="152"/>
        <v>41215</v>
      </c>
      <c r="C2528" s="67">
        <f t="shared" si="153"/>
        <v>2012</v>
      </c>
      <c r="D2528" s="70" t="s">
        <v>362</v>
      </c>
      <c r="E2528" s="70" t="s">
        <v>362</v>
      </c>
      <c r="F2528" s="68">
        <v>13.091100000000001</v>
      </c>
    </row>
    <row r="2529" spans="1:6">
      <c r="A2529" s="57" t="s">
        <v>5108</v>
      </c>
      <c r="B2529" s="58">
        <f t="shared" si="152"/>
        <v>41216</v>
      </c>
      <c r="C2529" s="59">
        <f t="shared" si="153"/>
        <v>2012</v>
      </c>
      <c r="D2529" s="60" t="s">
        <v>362</v>
      </c>
      <c r="E2529" s="60" t="s">
        <v>362</v>
      </c>
      <c r="F2529" s="61">
        <v>13.091100000000001</v>
      </c>
    </row>
    <row r="2530" spans="1:6">
      <c r="A2530" s="65" t="s">
        <v>5109</v>
      </c>
      <c r="B2530" s="66">
        <f t="shared" si="152"/>
        <v>41217</v>
      </c>
      <c r="C2530" s="67">
        <f t="shared" si="153"/>
        <v>2012</v>
      </c>
      <c r="D2530" s="70" t="s">
        <v>362</v>
      </c>
      <c r="E2530" s="70" t="s">
        <v>362</v>
      </c>
      <c r="F2530" s="68">
        <v>13.091100000000001</v>
      </c>
    </row>
    <row r="2531" spans="1:6">
      <c r="A2531" s="57" t="s">
        <v>5110</v>
      </c>
      <c r="B2531" s="58">
        <f t="shared" si="152"/>
        <v>41218</v>
      </c>
      <c r="C2531" s="59">
        <f t="shared" si="153"/>
        <v>2012</v>
      </c>
      <c r="D2531" s="61">
        <v>13.0449</v>
      </c>
      <c r="E2531" s="61">
        <v>13.0387</v>
      </c>
      <c r="F2531" s="61">
        <v>13.091100000000001</v>
      </c>
    </row>
    <row r="2532" spans="1:6">
      <c r="A2532" s="65" t="s">
        <v>5111</v>
      </c>
      <c r="B2532" s="66">
        <f t="shared" si="152"/>
        <v>41219</v>
      </c>
      <c r="C2532" s="67">
        <f t="shared" si="153"/>
        <v>2012</v>
      </c>
      <c r="D2532" s="68">
        <v>12.976900000000001</v>
      </c>
      <c r="E2532" s="68">
        <v>13.0449</v>
      </c>
      <c r="F2532" s="68">
        <v>13.0387</v>
      </c>
    </row>
    <row r="2533" spans="1:6">
      <c r="A2533" s="57" t="s">
        <v>5112</v>
      </c>
      <c r="B2533" s="58">
        <f t="shared" si="152"/>
        <v>41220</v>
      </c>
      <c r="C2533" s="59">
        <f t="shared" si="153"/>
        <v>2012</v>
      </c>
      <c r="D2533" s="61">
        <v>13.043200000000001</v>
      </c>
      <c r="E2533" s="61">
        <v>12.976900000000001</v>
      </c>
      <c r="F2533" s="61">
        <v>13.0449</v>
      </c>
    </row>
    <row r="2534" spans="1:6">
      <c r="A2534" s="65" t="s">
        <v>5113</v>
      </c>
      <c r="B2534" s="66">
        <f t="shared" si="152"/>
        <v>41221</v>
      </c>
      <c r="C2534" s="67">
        <f t="shared" si="153"/>
        <v>2012</v>
      </c>
      <c r="D2534" s="68">
        <v>13.1168</v>
      </c>
      <c r="E2534" s="68">
        <v>13.043200000000001</v>
      </c>
      <c r="F2534" s="68">
        <v>12.976900000000001</v>
      </c>
    </row>
    <row r="2535" spans="1:6">
      <c r="A2535" s="57" t="s">
        <v>5114</v>
      </c>
      <c r="B2535" s="58">
        <f t="shared" si="152"/>
        <v>41222</v>
      </c>
      <c r="C2535" s="59">
        <f t="shared" si="153"/>
        <v>2012</v>
      </c>
      <c r="D2535" s="61">
        <v>13.178900000000001</v>
      </c>
      <c r="E2535" s="61">
        <v>13.1168</v>
      </c>
      <c r="F2535" s="61">
        <v>13.043200000000001</v>
      </c>
    </row>
    <row r="2536" spans="1:6">
      <c r="A2536" s="65" t="s">
        <v>5115</v>
      </c>
      <c r="B2536" s="66">
        <f t="shared" si="152"/>
        <v>41223</v>
      </c>
      <c r="C2536" s="67">
        <f t="shared" si="153"/>
        <v>2012</v>
      </c>
      <c r="D2536" s="70" t="s">
        <v>362</v>
      </c>
      <c r="E2536" s="70" t="s">
        <v>362</v>
      </c>
      <c r="F2536" s="68">
        <v>13.1168</v>
      </c>
    </row>
    <row r="2537" spans="1:6">
      <c r="A2537" s="57" t="s">
        <v>5116</v>
      </c>
      <c r="B2537" s="58">
        <f t="shared" si="152"/>
        <v>41224</v>
      </c>
      <c r="C2537" s="59">
        <f t="shared" si="153"/>
        <v>2012</v>
      </c>
      <c r="D2537" s="60" t="s">
        <v>362</v>
      </c>
      <c r="E2537" s="60" t="s">
        <v>362</v>
      </c>
      <c r="F2537" s="61">
        <v>13.1168</v>
      </c>
    </row>
    <row r="2538" spans="1:6">
      <c r="A2538" s="65" t="s">
        <v>5117</v>
      </c>
      <c r="B2538" s="66">
        <f t="shared" si="152"/>
        <v>41225</v>
      </c>
      <c r="C2538" s="67">
        <f t="shared" si="153"/>
        <v>2012</v>
      </c>
      <c r="D2538" s="68">
        <v>13.1975</v>
      </c>
      <c r="E2538" s="68">
        <v>13.178900000000001</v>
      </c>
      <c r="F2538" s="68">
        <v>13.1168</v>
      </c>
    </row>
    <row r="2539" spans="1:6">
      <c r="A2539" s="57" t="s">
        <v>5118</v>
      </c>
      <c r="B2539" s="58">
        <f t="shared" si="152"/>
        <v>41226</v>
      </c>
      <c r="C2539" s="59">
        <f t="shared" si="153"/>
        <v>2012</v>
      </c>
      <c r="D2539" s="61">
        <v>13.228400000000001</v>
      </c>
      <c r="E2539" s="61">
        <v>13.1975</v>
      </c>
      <c r="F2539" s="61">
        <v>13.178900000000001</v>
      </c>
    </row>
    <row r="2540" spans="1:6">
      <c r="A2540" s="65" t="s">
        <v>5119</v>
      </c>
      <c r="B2540" s="66">
        <f t="shared" si="152"/>
        <v>41227</v>
      </c>
      <c r="C2540" s="67">
        <f t="shared" si="153"/>
        <v>2012</v>
      </c>
      <c r="D2540" s="68">
        <v>13.235300000000001</v>
      </c>
      <c r="E2540" s="68">
        <v>13.228400000000001</v>
      </c>
      <c r="F2540" s="68">
        <v>13.1975</v>
      </c>
    </row>
    <row r="2541" spans="1:6">
      <c r="A2541" s="57" t="s">
        <v>5120</v>
      </c>
      <c r="B2541" s="58">
        <f t="shared" si="152"/>
        <v>41228</v>
      </c>
      <c r="C2541" s="59">
        <f t="shared" si="153"/>
        <v>2012</v>
      </c>
      <c r="D2541" s="61">
        <v>13.2522</v>
      </c>
      <c r="E2541" s="61">
        <v>13.235300000000001</v>
      </c>
      <c r="F2541" s="61">
        <v>13.228400000000001</v>
      </c>
    </row>
    <row r="2542" spans="1:6">
      <c r="A2542" s="65" t="s">
        <v>5121</v>
      </c>
      <c r="B2542" s="66">
        <f t="shared" si="152"/>
        <v>41229</v>
      </c>
      <c r="C2542" s="67">
        <f t="shared" si="153"/>
        <v>2012</v>
      </c>
      <c r="D2542" s="68">
        <v>13.206300000000001</v>
      </c>
      <c r="E2542" s="68">
        <v>13.2522</v>
      </c>
      <c r="F2542" s="68">
        <v>13.235300000000001</v>
      </c>
    </row>
    <row r="2543" spans="1:6">
      <c r="A2543" s="57" t="s">
        <v>5122</v>
      </c>
      <c r="B2543" s="58">
        <f t="shared" si="152"/>
        <v>41230</v>
      </c>
      <c r="C2543" s="59">
        <f t="shared" si="153"/>
        <v>2012</v>
      </c>
      <c r="D2543" s="60" t="s">
        <v>362</v>
      </c>
      <c r="E2543" s="60" t="s">
        <v>362</v>
      </c>
      <c r="F2543" s="61">
        <v>13.2522</v>
      </c>
    </row>
    <row r="2544" spans="1:6">
      <c r="A2544" s="65" t="s">
        <v>5123</v>
      </c>
      <c r="B2544" s="66">
        <f t="shared" si="152"/>
        <v>41231</v>
      </c>
      <c r="C2544" s="67">
        <f t="shared" si="153"/>
        <v>2012</v>
      </c>
      <c r="D2544" s="70" t="s">
        <v>362</v>
      </c>
      <c r="E2544" s="70" t="s">
        <v>362</v>
      </c>
      <c r="F2544" s="68">
        <v>13.2522</v>
      </c>
    </row>
    <row r="2545" spans="1:6">
      <c r="A2545" s="57" t="s">
        <v>5124</v>
      </c>
      <c r="B2545" s="58">
        <f t="shared" si="152"/>
        <v>41232</v>
      </c>
      <c r="C2545" s="59">
        <f t="shared" si="153"/>
        <v>2012</v>
      </c>
      <c r="D2545" s="60" t="s">
        <v>362</v>
      </c>
      <c r="E2545" s="60" t="s">
        <v>362</v>
      </c>
      <c r="F2545" s="61">
        <v>13.2522</v>
      </c>
    </row>
    <row r="2546" spans="1:6">
      <c r="A2546" s="65" t="s">
        <v>5125</v>
      </c>
      <c r="B2546" s="66">
        <f t="shared" si="152"/>
        <v>41233</v>
      </c>
      <c r="C2546" s="67">
        <f t="shared" si="153"/>
        <v>2012</v>
      </c>
      <c r="D2546" s="68">
        <v>13.0245</v>
      </c>
      <c r="E2546" s="68">
        <v>13.206300000000001</v>
      </c>
      <c r="F2546" s="68">
        <v>13.2522</v>
      </c>
    </row>
    <row r="2547" spans="1:6">
      <c r="A2547" s="57" t="s">
        <v>5126</v>
      </c>
      <c r="B2547" s="58">
        <f t="shared" si="152"/>
        <v>41234</v>
      </c>
      <c r="C2547" s="59">
        <f t="shared" si="153"/>
        <v>2012</v>
      </c>
      <c r="D2547" s="61">
        <v>13.0395</v>
      </c>
      <c r="E2547" s="61">
        <v>13.0245</v>
      </c>
      <c r="F2547" s="61">
        <v>13.206300000000001</v>
      </c>
    </row>
    <row r="2548" spans="1:6">
      <c r="A2548" s="65" t="s">
        <v>5127</v>
      </c>
      <c r="B2548" s="66">
        <f t="shared" si="152"/>
        <v>41235</v>
      </c>
      <c r="C2548" s="67">
        <f t="shared" si="153"/>
        <v>2012</v>
      </c>
      <c r="D2548" s="68">
        <v>13.018800000000001</v>
      </c>
      <c r="E2548" s="68">
        <v>13.0395</v>
      </c>
      <c r="F2548" s="68">
        <v>13.0245</v>
      </c>
    </row>
    <row r="2549" spans="1:6">
      <c r="A2549" s="57" t="s">
        <v>5128</v>
      </c>
      <c r="B2549" s="58">
        <f t="shared" si="152"/>
        <v>41236</v>
      </c>
      <c r="C2549" s="59">
        <f t="shared" si="153"/>
        <v>2012</v>
      </c>
      <c r="D2549" s="61">
        <v>12.979900000000001</v>
      </c>
      <c r="E2549" s="61">
        <v>13.018800000000001</v>
      </c>
      <c r="F2549" s="61">
        <v>13.0395</v>
      </c>
    </row>
    <row r="2550" spans="1:6">
      <c r="A2550" s="65" t="s">
        <v>5129</v>
      </c>
      <c r="B2550" s="66">
        <f t="shared" si="152"/>
        <v>41237</v>
      </c>
      <c r="C2550" s="67">
        <f t="shared" si="153"/>
        <v>2012</v>
      </c>
      <c r="D2550" s="70" t="s">
        <v>362</v>
      </c>
      <c r="E2550" s="70" t="s">
        <v>362</v>
      </c>
      <c r="F2550" s="68">
        <v>13.018800000000001</v>
      </c>
    </row>
    <row r="2551" spans="1:6">
      <c r="A2551" s="57" t="s">
        <v>5130</v>
      </c>
      <c r="B2551" s="58">
        <f t="shared" si="152"/>
        <v>41238</v>
      </c>
      <c r="C2551" s="59">
        <f t="shared" si="153"/>
        <v>2012</v>
      </c>
      <c r="D2551" s="60" t="s">
        <v>362</v>
      </c>
      <c r="E2551" s="60" t="s">
        <v>362</v>
      </c>
      <c r="F2551" s="61">
        <v>13.018800000000001</v>
      </c>
    </row>
    <row r="2552" spans="1:6">
      <c r="A2552" s="65" t="s">
        <v>5131</v>
      </c>
      <c r="B2552" s="66">
        <f t="shared" si="152"/>
        <v>41239</v>
      </c>
      <c r="C2552" s="67">
        <f t="shared" si="153"/>
        <v>2012</v>
      </c>
      <c r="D2552" s="68">
        <v>12.9984</v>
      </c>
      <c r="E2552" s="68">
        <v>12.979900000000001</v>
      </c>
      <c r="F2552" s="68">
        <v>13.018800000000001</v>
      </c>
    </row>
    <row r="2553" spans="1:6">
      <c r="A2553" s="57" t="s">
        <v>5132</v>
      </c>
      <c r="B2553" s="58">
        <f t="shared" si="152"/>
        <v>41240</v>
      </c>
      <c r="C2553" s="59">
        <f t="shared" si="153"/>
        <v>2012</v>
      </c>
      <c r="D2553" s="61">
        <v>12.9861</v>
      </c>
      <c r="E2553" s="61">
        <v>12.9984</v>
      </c>
      <c r="F2553" s="61">
        <v>12.979900000000001</v>
      </c>
    </row>
    <row r="2554" spans="1:6">
      <c r="A2554" s="65" t="s">
        <v>5133</v>
      </c>
      <c r="B2554" s="66">
        <f t="shared" si="152"/>
        <v>41241</v>
      </c>
      <c r="C2554" s="67">
        <f t="shared" si="153"/>
        <v>2012</v>
      </c>
      <c r="D2554" s="68">
        <v>13.0372</v>
      </c>
      <c r="E2554" s="68">
        <v>12.9861</v>
      </c>
      <c r="F2554" s="68">
        <v>12.9984</v>
      </c>
    </row>
    <row r="2555" spans="1:6">
      <c r="A2555" s="57" t="s">
        <v>5134</v>
      </c>
      <c r="B2555" s="58">
        <f t="shared" si="152"/>
        <v>41242</v>
      </c>
      <c r="C2555" s="59">
        <f t="shared" si="153"/>
        <v>2012</v>
      </c>
      <c r="D2555" s="61">
        <v>12.9617</v>
      </c>
      <c r="E2555" s="61">
        <v>13.0372</v>
      </c>
      <c r="F2555" s="61">
        <v>12.9861</v>
      </c>
    </row>
    <row r="2556" spans="1:6">
      <c r="A2556" s="65" t="s">
        <v>5135</v>
      </c>
      <c r="B2556" s="66">
        <f t="shared" si="152"/>
        <v>41243</v>
      </c>
      <c r="C2556" s="67">
        <f t="shared" si="153"/>
        <v>2012</v>
      </c>
      <c r="D2556" s="68">
        <v>12.9268</v>
      </c>
      <c r="E2556" s="68">
        <v>12.9617</v>
      </c>
      <c r="F2556" s="68">
        <v>13.0372</v>
      </c>
    </row>
    <row r="2557" spans="1:6">
      <c r="A2557" s="57" t="s">
        <v>5136</v>
      </c>
      <c r="B2557" s="58">
        <f t="shared" si="152"/>
        <v>41244</v>
      </c>
      <c r="C2557" s="59">
        <f t="shared" si="153"/>
        <v>2012</v>
      </c>
      <c r="D2557" s="60" t="s">
        <v>362</v>
      </c>
      <c r="E2557" s="60" t="s">
        <v>362</v>
      </c>
      <c r="F2557" s="61">
        <v>12.9617</v>
      </c>
    </row>
    <row r="2558" spans="1:6">
      <c r="A2558" s="65" t="s">
        <v>5137</v>
      </c>
      <c r="B2558" s="66">
        <f t="shared" si="152"/>
        <v>41245</v>
      </c>
      <c r="C2558" s="67">
        <f t="shared" si="153"/>
        <v>2012</v>
      </c>
      <c r="D2558" s="70" t="s">
        <v>362</v>
      </c>
      <c r="E2558" s="70" t="s">
        <v>362</v>
      </c>
      <c r="F2558" s="68">
        <v>12.9617</v>
      </c>
    </row>
    <row r="2559" spans="1:6">
      <c r="A2559" s="57" t="s">
        <v>5138</v>
      </c>
      <c r="B2559" s="58">
        <f t="shared" si="152"/>
        <v>41246</v>
      </c>
      <c r="C2559" s="59">
        <f t="shared" si="153"/>
        <v>2012</v>
      </c>
      <c r="D2559" s="61">
        <v>12.9335</v>
      </c>
      <c r="E2559" s="61">
        <v>12.9268</v>
      </c>
      <c r="F2559" s="61">
        <v>12.9617</v>
      </c>
    </row>
    <row r="2560" spans="1:6">
      <c r="A2560" s="65" t="s">
        <v>5139</v>
      </c>
      <c r="B2560" s="66">
        <f t="shared" si="152"/>
        <v>41247</v>
      </c>
      <c r="C2560" s="67">
        <f t="shared" si="153"/>
        <v>2012</v>
      </c>
      <c r="D2560" s="68">
        <v>12.96</v>
      </c>
      <c r="E2560" s="68">
        <v>12.9335</v>
      </c>
      <c r="F2560" s="68">
        <v>12.9268</v>
      </c>
    </row>
    <row r="2561" spans="1:6">
      <c r="A2561" s="57" t="s">
        <v>5140</v>
      </c>
      <c r="B2561" s="58">
        <f t="shared" si="152"/>
        <v>41248</v>
      </c>
      <c r="C2561" s="59">
        <f t="shared" si="153"/>
        <v>2012</v>
      </c>
      <c r="D2561" s="61">
        <v>12.9284</v>
      </c>
      <c r="E2561" s="61">
        <v>12.96</v>
      </c>
      <c r="F2561" s="61">
        <v>12.9335</v>
      </c>
    </row>
    <row r="2562" spans="1:6">
      <c r="A2562" s="65" t="s">
        <v>5141</v>
      </c>
      <c r="B2562" s="66">
        <f t="shared" si="152"/>
        <v>41249</v>
      </c>
      <c r="C2562" s="67">
        <f t="shared" si="153"/>
        <v>2012</v>
      </c>
      <c r="D2562" s="68">
        <v>12.9102</v>
      </c>
      <c r="E2562" s="68">
        <v>12.9284</v>
      </c>
      <c r="F2562" s="68">
        <v>12.96</v>
      </c>
    </row>
    <row r="2563" spans="1:6">
      <c r="A2563" s="57" t="s">
        <v>5142</v>
      </c>
      <c r="B2563" s="58">
        <f t="shared" si="152"/>
        <v>41250</v>
      </c>
      <c r="C2563" s="59">
        <f t="shared" si="153"/>
        <v>2012</v>
      </c>
      <c r="D2563" s="61">
        <v>12.8469</v>
      </c>
      <c r="E2563" s="61">
        <v>12.9102</v>
      </c>
      <c r="F2563" s="61">
        <v>12.9284</v>
      </c>
    </row>
    <row r="2564" spans="1:6">
      <c r="A2564" s="65" t="s">
        <v>5143</v>
      </c>
      <c r="B2564" s="66">
        <f t="shared" si="152"/>
        <v>41251</v>
      </c>
      <c r="C2564" s="67">
        <f t="shared" si="153"/>
        <v>2012</v>
      </c>
      <c r="D2564" s="70" t="s">
        <v>362</v>
      </c>
      <c r="E2564" s="70" t="s">
        <v>362</v>
      </c>
      <c r="F2564" s="68">
        <v>12.9102</v>
      </c>
    </row>
    <row r="2565" spans="1:6">
      <c r="A2565" s="57" t="s">
        <v>5144</v>
      </c>
      <c r="B2565" s="58">
        <f t="shared" si="152"/>
        <v>41252</v>
      </c>
      <c r="C2565" s="59">
        <f t="shared" si="153"/>
        <v>2012</v>
      </c>
      <c r="D2565" s="60" t="s">
        <v>362</v>
      </c>
      <c r="E2565" s="60" t="s">
        <v>362</v>
      </c>
      <c r="F2565" s="61">
        <v>12.9102</v>
      </c>
    </row>
    <row r="2566" spans="1:6">
      <c r="A2566" s="65" t="s">
        <v>5145</v>
      </c>
      <c r="B2566" s="66">
        <f t="shared" si="152"/>
        <v>41253</v>
      </c>
      <c r="C2566" s="67">
        <f t="shared" si="153"/>
        <v>2012</v>
      </c>
      <c r="D2566" s="68">
        <v>12.7964</v>
      </c>
      <c r="E2566" s="68">
        <v>12.8469</v>
      </c>
      <c r="F2566" s="68">
        <v>12.9102</v>
      </c>
    </row>
    <row r="2567" spans="1:6">
      <c r="A2567" s="57" t="s">
        <v>5146</v>
      </c>
      <c r="B2567" s="58">
        <f t="shared" si="152"/>
        <v>41254</v>
      </c>
      <c r="C2567" s="59">
        <f t="shared" si="153"/>
        <v>2012</v>
      </c>
      <c r="D2567" s="61">
        <v>12.7584</v>
      </c>
      <c r="E2567" s="61">
        <v>12.7964</v>
      </c>
      <c r="F2567" s="61">
        <v>12.8469</v>
      </c>
    </row>
    <row r="2568" spans="1:6">
      <c r="A2568" s="65" t="s">
        <v>5147</v>
      </c>
      <c r="B2568" s="66">
        <f t="shared" si="152"/>
        <v>41255</v>
      </c>
      <c r="C2568" s="67">
        <f t="shared" si="153"/>
        <v>2012</v>
      </c>
      <c r="D2568" s="70" t="s">
        <v>362</v>
      </c>
      <c r="E2568" s="70" t="s">
        <v>362</v>
      </c>
      <c r="F2568" s="68">
        <v>12.7964</v>
      </c>
    </row>
    <row r="2569" spans="1:6">
      <c r="A2569" s="57" t="s">
        <v>5148</v>
      </c>
      <c r="B2569" s="58">
        <f t="shared" si="152"/>
        <v>41256</v>
      </c>
      <c r="C2569" s="59">
        <f t="shared" si="153"/>
        <v>2012</v>
      </c>
      <c r="D2569" s="61">
        <v>12.786899999999999</v>
      </c>
      <c r="E2569" s="61">
        <v>12.7584</v>
      </c>
      <c r="F2569" s="61">
        <v>12.7964</v>
      </c>
    </row>
    <row r="2570" spans="1:6">
      <c r="A2570" s="65" t="s">
        <v>5149</v>
      </c>
      <c r="B2570" s="66">
        <f t="shared" si="152"/>
        <v>41257</v>
      </c>
      <c r="C2570" s="67">
        <f t="shared" si="153"/>
        <v>2012</v>
      </c>
      <c r="D2570" s="68">
        <v>12.7768</v>
      </c>
      <c r="E2570" s="68">
        <v>12.786899999999999</v>
      </c>
      <c r="F2570" s="68">
        <v>12.7584</v>
      </c>
    </row>
    <row r="2571" spans="1:6">
      <c r="A2571" s="57" t="s">
        <v>5150</v>
      </c>
      <c r="B2571" s="58">
        <f t="shared" si="152"/>
        <v>41258</v>
      </c>
      <c r="C2571" s="59">
        <f t="shared" si="153"/>
        <v>2012</v>
      </c>
      <c r="D2571" s="60" t="s">
        <v>362</v>
      </c>
      <c r="E2571" s="60" t="s">
        <v>362</v>
      </c>
      <c r="F2571" s="61">
        <v>12.786899999999999</v>
      </c>
    </row>
    <row r="2572" spans="1:6">
      <c r="A2572" s="65" t="s">
        <v>5151</v>
      </c>
      <c r="B2572" s="66">
        <f t="shared" si="152"/>
        <v>41259</v>
      </c>
      <c r="C2572" s="67">
        <f t="shared" si="153"/>
        <v>2012</v>
      </c>
      <c r="D2572" s="70" t="s">
        <v>362</v>
      </c>
      <c r="E2572" s="70" t="s">
        <v>362</v>
      </c>
      <c r="F2572" s="68">
        <v>12.786899999999999</v>
      </c>
    </row>
    <row r="2573" spans="1:6">
      <c r="A2573" s="57" t="s">
        <v>5152</v>
      </c>
      <c r="B2573" s="58">
        <f t="shared" si="152"/>
        <v>41260</v>
      </c>
      <c r="C2573" s="59">
        <f t="shared" si="153"/>
        <v>2012</v>
      </c>
      <c r="D2573" s="61">
        <v>12.7624</v>
      </c>
      <c r="E2573" s="61">
        <v>12.7768</v>
      </c>
      <c r="F2573" s="61">
        <v>12.786899999999999</v>
      </c>
    </row>
    <row r="2574" spans="1:6">
      <c r="A2574" s="65" t="s">
        <v>5153</v>
      </c>
      <c r="B2574" s="66">
        <f t="shared" si="152"/>
        <v>41261</v>
      </c>
      <c r="C2574" s="67">
        <f t="shared" si="153"/>
        <v>2012</v>
      </c>
      <c r="D2574" s="68">
        <v>12.723599999999999</v>
      </c>
      <c r="E2574" s="68">
        <v>12.7624</v>
      </c>
      <c r="F2574" s="68">
        <v>12.7768</v>
      </c>
    </row>
    <row r="2575" spans="1:6">
      <c r="A2575" s="57" t="s">
        <v>5154</v>
      </c>
      <c r="B2575" s="58">
        <f t="shared" si="152"/>
        <v>41262</v>
      </c>
      <c r="C2575" s="59">
        <f t="shared" si="153"/>
        <v>2012</v>
      </c>
      <c r="D2575" s="61">
        <v>12.732699999999999</v>
      </c>
      <c r="E2575" s="61">
        <v>12.723599999999999</v>
      </c>
      <c r="F2575" s="61">
        <v>12.7624</v>
      </c>
    </row>
    <row r="2576" spans="1:6">
      <c r="A2576" s="65" t="s">
        <v>5155</v>
      </c>
      <c r="B2576" s="66">
        <f t="shared" si="152"/>
        <v>41263</v>
      </c>
      <c r="C2576" s="67">
        <f t="shared" si="153"/>
        <v>2012</v>
      </c>
      <c r="D2576" s="68">
        <v>12.777699999999999</v>
      </c>
      <c r="E2576" s="68">
        <v>12.732699999999999</v>
      </c>
      <c r="F2576" s="68">
        <v>12.723599999999999</v>
      </c>
    </row>
    <row r="2577" spans="1:6">
      <c r="A2577" s="57" t="s">
        <v>5156</v>
      </c>
      <c r="B2577" s="58">
        <f t="shared" si="152"/>
        <v>41264</v>
      </c>
      <c r="C2577" s="59">
        <f t="shared" si="153"/>
        <v>2012</v>
      </c>
      <c r="D2577" s="61">
        <v>12.899100000000001</v>
      </c>
      <c r="E2577" s="61">
        <v>12.777699999999999</v>
      </c>
      <c r="F2577" s="61">
        <v>12.732699999999999</v>
      </c>
    </row>
    <row r="2578" spans="1:6">
      <c r="A2578" s="65" t="s">
        <v>5157</v>
      </c>
      <c r="B2578" s="66">
        <f t="shared" si="152"/>
        <v>41265</v>
      </c>
      <c r="C2578" s="67">
        <f t="shared" si="153"/>
        <v>2012</v>
      </c>
      <c r="D2578" s="70" t="s">
        <v>362</v>
      </c>
      <c r="E2578" s="70" t="s">
        <v>362</v>
      </c>
      <c r="F2578" s="68">
        <v>12.777699999999999</v>
      </c>
    </row>
    <row r="2579" spans="1:6">
      <c r="A2579" s="57" t="s">
        <v>5158</v>
      </c>
      <c r="B2579" s="58">
        <f t="shared" si="152"/>
        <v>41266</v>
      </c>
      <c r="C2579" s="59">
        <f t="shared" si="153"/>
        <v>2012</v>
      </c>
      <c r="D2579" s="60" t="s">
        <v>362</v>
      </c>
      <c r="E2579" s="60" t="s">
        <v>362</v>
      </c>
      <c r="F2579" s="61">
        <v>12.777699999999999</v>
      </c>
    </row>
    <row r="2580" spans="1:6">
      <c r="A2580" s="65" t="s">
        <v>5159</v>
      </c>
      <c r="B2580" s="66">
        <f t="shared" si="152"/>
        <v>41267</v>
      </c>
      <c r="C2580" s="67">
        <f t="shared" si="153"/>
        <v>2012</v>
      </c>
      <c r="D2580" s="68">
        <v>12.9764</v>
      </c>
      <c r="E2580" s="68">
        <v>12.899100000000001</v>
      </c>
      <c r="F2580" s="68">
        <v>12.777699999999999</v>
      </c>
    </row>
    <row r="2581" spans="1:6">
      <c r="A2581" s="57" t="s">
        <v>5160</v>
      </c>
      <c r="B2581" s="58">
        <f t="shared" si="152"/>
        <v>41268</v>
      </c>
      <c r="C2581" s="59">
        <f t="shared" si="153"/>
        <v>2012</v>
      </c>
      <c r="D2581" s="60" t="s">
        <v>362</v>
      </c>
      <c r="E2581" s="60" t="s">
        <v>362</v>
      </c>
      <c r="F2581" s="61">
        <v>12.899100000000001</v>
      </c>
    </row>
    <row r="2582" spans="1:6">
      <c r="A2582" s="65" t="s">
        <v>5161</v>
      </c>
      <c r="B2582" s="66">
        <f t="shared" si="152"/>
        <v>41269</v>
      </c>
      <c r="C2582" s="67">
        <f t="shared" si="153"/>
        <v>2012</v>
      </c>
      <c r="D2582" s="68">
        <v>13.005800000000001</v>
      </c>
      <c r="E2582" s="68">
        <v>12.9764</v>
      </c>
      <c r="F2582" s="68">
        <v>12.899100000000001</v>
      </c>
    </row>
    <row r="2583" spans="1:6">
      <c r="A2583" s="57" t="s">
        <v>5162</v>
      </c>
      <c r="B2583" s="58">
        <f t="shared" si="152"/>
        <v>41270</v>
      </c>
      <c r="C2583" s="59">
        <f t="shared" si="153"/>
        <v>2012</v>
      </c>
      <c r="D2583" s="61">
        <v>13.0101</v>
      </c>
      <c r="E2583" s="61">
        <v>13.005800000000001</v>
      </c>
      <c r="F2583" s="61">
        <v>12.9764</v>
      </c>
    </row>
    <row r="2584" spans="1:6">
      <c r="A2584" s="65" t="s">
        <v>5163</v>
      </c>
      <c r="B2584" s="66">
        <f t="shared" si="152"/>
        <v>41271</v>
      </c>
      <c r="C2584" s="67">
        <f t="shared" si="153"/>
        <v>2012</v>
      </c>
      <c r="D2584" s="68">
        <v>12.988</v>
      </c>
      <c r="E2584" s="68">
        <v>13.0101</v>
      </c>
      <c r="F2584" s="68">
        <v>13.005800000000001</v>
      </c>
    </row>
    <row r="2585" spans="1:6">
      <c r="A2585" s="57" t="s">
        <v>5164</v>
      </c>
      <c r="B2585" s="58">
        <f t="shared" si="152"/>
        <v>41272</v>
      </c>
      <c r="C2585" s="59">
        <f t="shared" si="153"/>
        <v>2012</v>
      </c>
      <c r="D2585" s="60" t="s">
        <v>362</v>
      </c>
      <c r="E2585" s="60" t="s">
        <v>362</v>
      </c>
      <c r="F2585" s="61">
        <v>13.0101</v>
      </c>
    </row>
    <row r="2586" spans="1:6">
      <c r="A2586" s="65" t="s">
        <v>5165</v>
      </c>
      <c r="B2586" s="66">
        <f t="shared" si="152"/>
        <v>41273</v>
      </c>
      <c r="C2586" s="67">
        <f t="shared" si="153"/>
        <v>2012</v>
      </c>
      <c r="D2586" s="70" t="s">
        <v>362</v>
      </c>
      <c r="E2586" s="70" t="s">
        <v>362</v>
      </c>
      <c r="F2586" s="68">
        <v>13.0101</v>
      </c>
    </row>
    <row r="2587" spans="1:6">
      <c r="A2587" s="57" t="s">
        <v>5166</v>
      </c>
      <c r="B2587" s="58">
        <f t="shared" si="152"/>
        <v>41274</v>
      </c>
      <c r="C2587" s="59">
        <f t="shared" si="153"/>
        <v>2012</v>
      </c>
      <c r="D2587" s="61">
        <v>12.9658</v>
      </c>
      <c r="E2587" s="61">
        <v>12.988</v>
      </c>
      <c r="F2587" s="61">
        <v>13.0101</v>
      </c>
    </row>
    <row r="2588" spans="1:6">
      <c r="A2588" s="65" t="s">
        <v>5167</v>
      </c>
      <c r="B2588" s="66">
        <f t="shared" si="152"/>
        <v>41275</v>
      </c>
      <c r="C2588" s="67">
        <f t="shared" si="153"/>
        <v>2013</v>
      </c>
      <c r="D2588" s="70" t="s">
        <v>362</v>
      </c>
      <c r="E2588" s="70" t="s">
        <v>362</v>
      </c>
      <c r="F2588" s="68">
        <v>12.988</v>
      </c>
    </row>
    <row r="2589" spans="1:6">
      <c r="A2589" s="57" t="s">
        <v>5168</v>
      </c>
      <c r="B2589" s="58">
        <f t="shared" si="152"/>
        <v>41276</v>
      </c>
      <c r="C2589" s="59">
        <f t="shared" si="153"/>
        <v>2013</v>
      </c>
      <c r="D2589" s="61">
        <v>12.748799999999999</v>
      </c>
      <c r="E2589" s="61">
        <v>12.9658</v>
      </c>
      <c r="F2589" s="61">
        <v>12.988</v>
      </c>
    </row>
    <row r="2590" spans="1:6">
      <c r="A2590" s="65" t="s">
        <v>5169</v>
      </c>
      <c r="B2590" s="66">
        <f t="shared" si="152"/>
        <v>41277</v>
      </c>
      <c r="C2590" s="67">
        <f t="shared" si="153"/>
        <v>2013</v>
      </c>
      <c r="D2590" s="68">
        <v>12.743</v>
      </c>
      <c r="E2590" s="68">
        <v>12.748799999999999</v>
      </c>
      <c r="F2590" s="68">
        <v>12.9658</v>
      </c>
    </row>
    <row r="2591" spans="1:6">
      <c r="A2591" s="57" t="s">
        <v>5170</v>
      </c>
      <c r="B2591" s="58">
        <f t="shared" ref="B2591:B2654" si="154">DATE(RIGHT(A2591,4),LEFT(RIGHT(A2591,7),2),LEFT(A2591,2))</f>
        <v>41278</v>
      </c>
      <c r="C2591" s="59">
        <f t="shared" ref="C2591:C2654" si="155">YEAR(B2591)</f>
        <v>2013</v>
      </c>
      <c r="D2591" s="61">
        <v>12.7597</v>
      </c>
      <c r="E2591" s="61">
        <v>12.743</v>
      </c>
      <c r="F2591" s="61">
        <v>12.748799999999999</v>
      </c>
    </row>
    <row r="2592" spans="1:6">
      <c r="A2592" s="65" t="s">
        <v>5171</v>
      </c>
      <c r="B2592" s="66">
        <f t="shared" si="154"/>
        <v>41279</v>
      </c>
      <c r="C2592" s="67">
        <f t="shared" si="155"/>
        <v>2013</v>
      </c>
      <c r="D2592" s="70" t="s">
        <v>362</v>
      </c>
      <c r="E2592" s="70" t="s">
        <v>362</v>
      </c>
      <c r="F2592" s="68">
        <v>12.743</v>
      </c>
    </row>
    <row r="2593" spans="1:6">
      <c r="A2593" s="57" t="s">
        <v>5172</v>
      </c>
      <c r="B2593" s="58">
        <f t="shared" si="154"/>
        <v>41280</v>
      </c>
      <c r="C2593" s="59">
        <f t="shared" si="155"/>
        <v>2013</v>
      </c>
      <c r="D2593" s="60" t="s">
        <v>362</v>
      </c>
      <c r="E2593" s="60" t="s">
        <v>362</v>
      </c>
      <c r="F2593" s="61">
        <v>12.743</v>
      </c>
    </row>
    <row r="2594" spans="1:6">
      <c r="A2594" s="65" t="s">
        <v>5173</v>
      </c>
      <c r="B2594" s="66">
        <f t="shared" si="154"/>
        <v>41281</v>
      </c>
      <c r="C2594" s="67">
        <f t="shared" si="155"/>
        <v>2013</v>
      </c>
      <c r="D2594" s="68">
        <v>12.767899999999999</v>
      </c>
      <c r="E2594" s="68">
        <v>12.7597</v>
      </c>
      <c r="F2594" s="68">
        <v>12.743</v>
      </c>
    </row>
    <row r="2595" spans="1:6">
      <c r="A2595" s="57" t="s">
        <v>5174</v>
      </c>
      <c r="B2595" s="58">
        <f t="shared" si="154"/>
        <v>41282</v>
      </c>
      <c r="C2595" s="59">
        <f t="shared" si="155"/>
        <v>2013</v>
      </c>
      <c r="D2595" s="61">
        <v>12.801500000000001</v>
      </c>
      <c r="E2595" s="61">
        <v>12.767899999999999</v>
      </c>
      <c r="F2595" s="61">
        <v>12.7597</v>
      </c>
    </row>
    <row r="2596" spans="1:6">
      <c r="A2596" s="65" t="s">
        <v>5175</v>
      </c>
      <c r="B2596" s="66">
        <f t="shared" si="154"/>
        <v>41283</v>
      </c>
      <c r="C2596" s="67">
        <f t="shared" si="155"/>
        <v>2013</v>
      </c>
      <c r="D2596" s="68">
        <v>12.750299999999999</v>
      </c>
      <c r="E2596" s="68">
        <v>12.801500000000001</v>
      </c>
      <c r="F2596" s="68">
        <v>12.767899999999999</v>
      </c>
    </row>
    <row r="2597" spans="1:6">
      <c r="A2597" s="57" t="s">
        <v>5176</v>
      </c>
      <c r="B2597" s="58">
        <f t="shared" si="154"/>
        <v>41284</v>
      </c>
      <c r="C2597" s="59">
        <f t="shared" si="155"/>
        <v>2013</v>
      </c>
      <c r="D2597" s="61">
        <v>12.6555</v>
      </c>
      <c r="E2597" s="61">
        <v>12.750299999999999</v>
      </c>
      <c r="F2597" s="61">
        <v>12.801500000000001</v>
      </c>
    </row>
    <row r="2598" spans="1:6">
      <c r="A2598" s="65" t="s">
        <v>5177</v>
      </c>
      <c r="B2598" s="66">
        <f t="shared" si="154"/>
        <v>41285</v>
      </c>
      <c r="C2598" s="67">
        <f t="shared" si="155"/>
        <v>2013</v>
      </c>
      <c r="D2598" s="68">
        <v>12.6478</v>
      </c>
      <c r="E2598" s="68">
        <v>12.6555</v>
      </c>
      <c r="F2598" s="68">
        <v>12.750299999999999</v>
      </c>
    </row>
    <row r="2599" spans="1:6">
      <c r="A2599" s="57" t="s">
        <v>5178</v>
      </c>
      <c r="B2599" s="58">
        <f t="shared" si="154"/>
        <v>41286</v>
      </c>
      <c r="C2599" s="59">
        <f t="shared" si="155"/>
        <v>2013</v>
      </c>
      <c r="D2599" s="60" t="s">
        <v>362</v>
      </c>
      <c r="E2599" s="60" t="s">
        <v>362</v>
      </c>
      <c r="F2599" s="61">
        <v>12.6555</v>
      </c>
    </row>
    <row r="2600" spans="1:6">
      <c r="A2600" s="65" t="s">
        <v>5179</v>
      </c>
      <c r="B2600" s="66">
        <f t="shared" si="154"/>
        <v>41287</v>
      </c>
      <c r="C2600" s="67">
        <f t="shared" si="155"/>
        <v>2013</v>
      </c>
      <c r="D2600" s="70" t="s">
        <v>362</v>
      </c>
      <c r="E2600" s="70" t="s">
        <v>362</v>
      </c>
      <c r="F2600" s="68">
        <v>12.6555</v>
      </c>
    </row>
    <row r="2601" spans="1:6">
      <c r="A2601" s="57" t="s">
        <v>5180</v>
      </c>
      <c r="B2601" s="58">
        <f t="shared" si="154"/>
        <v>41288</v>
      </c>
      <c r="C2601" s="59">
        <f t="shared" si="155"/>
        <v>2013</v>
      </c>
      <c r="D2601" s="61">
        <v>12.6533</v>
      </c>
      <c r="E2601" s="61">
        <v>12.6478</v>
      </c>
      <c r="F2601" s="61">
        <v>12.6555</v>
      </c>
    </row>
    <row r="2602" spans="1:6">
      <c r="A2602" s="65" t="s">
        <v>5181</v>
      </c>
      <c r="B2602" s="66">
        <f t="shared" si="154"/>
        <v>41289</v>
      </c>
      <c r="C2602" s="67">
        <f t="shared" si="155"/>
        <v>2013</v>
      </c>
      <c r="D2602" s="68">
        <v>12.6526</v>
      </c>
      <c r="E2602" s="68">
        <v>12.6533</v>
      </c>
      <c r="F2602" s="68">
        <v>12.6478</v>
      </c>
    </row>
    <row r="2603" spans="1:6">
      <c r="A2603" s="57" t="s">
        <v>5182</v>
      </c>
      <c r="B2603" s="58">
        <f t="shared" si="154"/>
        <v>41290</v>
      </c>
      <c r="C2603" s="59">
        <f t="shared" si="155"/>
        <v>2013</v>
      </c>
      <c r="D2603" s="61">
        <v>12.6305</v>
      </c>
      <c r="E2603" s="61">
        <v>12.6526</v>
      </c>
      <c r="F2603" s="61">
        <v>12.6533</v>
      </c>
    </row>
    <row r="2604" spans="1:6">
      <c r="A2604" s="65" t="s">
        <v>5183</v>
      </c>
      <c r="B2604" s="66">
        <f t="shared" si="154"/>
        <v>41291</v>
      </c>
      <c r="C2604" s="67">
        <f t="shared" si="155"/>
        <v>2013</v>
      </c>
      <c r="D2604" s="68">
        <v>12.5868</v>
      </c>
      <c r="E2604" s="68">
        <v>12.6305</v>
      </c>
      <c r="F2604" s="68">
        <v>12.6526</v>
      </c>
    </row>
    <row r="2605" spans="1:6">
      <c r="A2605" s="57" t="s">
        <v>5184</v>
      </c>
      <c r="B2605" s="58">
        <f t="shared" si="154"/>
        <v>41292</v>
      </c>
      <c r="C2605" s="59">
        <f t="shared" si="155"/>
        <v>2013</v>
      </c>
      <c r="D2605" s="61">
        <v>12.6555</v>
      </c>
      <c r="E2605" s="61">
        <v>12.5868</v>
      </c>
      <c r="F2605" s="61">
        <v>12.6305</v>
      </c>
    </row>
    <row r="2606" spans="1:6">
      <c r="A2606" s="65" t="s">
        <v>5185</v>
      </c>
      <c r="B2606" s="66">
        <f t="shared" si="154"/>
        <v>41293</v>
      </c>
      <c r="C2606" s="67">
        <f t="shared" si="155"/>
        <v>2013</v>
      </c>
      <c r="D2606" s="70" t="s">
        <v>362</v>
      </c>
      <c r="E2606" s="70" t="s">
        <v>362</v>
      </c>
      <c r="F2606" s="68">
        <v>12.5868</v>
      </c>
    </row>
    <row r="2607" spans="1:6">
      <c r="A2607" s="57" t="s">
        <v>5186</v>
      </c>
      <c r="B2607" s="58">
        <f t="shared" si="154"/>
        <v>41294</v>
      </c>
      <c r="C2607" s="59">
        <f t="shared" si="155"/>
        <v>2013</v>
      </c>
      <c r="D2607" s="60" t="s">
        <v>362</v>
      </c>
      <c r="E2607" s="60" t="s">
        <v>362</v>
      </c>
      <c r="F2607" s="61">
        <v>12.5868</v>
      </c>
    </row>
    <row r="2608" spans="1:6">
      <c r="A2608" s="65" t="s">
        <v>5187</v>
      </c>
      <c r="B2608" s="66">
        <f t="shared" si="154"/>
        <v>41295</v>
      </c>
      <c r="C2608" s="67">
        <f t="shared" si="155"/>
        <v>2013</v>
      </c>
      <c r="D2608" s="68">
        <v>12.7098</v>
      </c>
      <c r="E2608" s="68">
        <v>12.6555</v>
      </c>
      <c r="F2608" s="68">
        <v>12.5868</v>
      </c>
    </row>
    <row r="2609" spans="1:6">
      <c r="A2609" s="57" t="s">
        <v>5188</v>
      </c>
      <c r="B2609" s="58">
        <f t="shared" si="154"/>
        <v>41296</v>
      </c>
      <c r="C2609" s="59">
        <f t="shared" si="155"/>
        <v>2013</v>
      </c>
      <c r="D2609" s="61">
        <v>12.681699999999999</v>
      </c>
      <c r="E2609" s="61">
        <v>12.7098</v>
      </c>
      <c r="F2609" s="61">
        <v>12.6555</v>
      </c>
    </row>
    <row r="2610" spans="1:6">
      <c r="A2610" s="65" t="s">
        <v>5189</v>
      </c>
      <c r="B2610" s="66">
        <f t="shared" si="154"/>
        <v>41297</v>
      </c>
      <c r="C2610" s="67">
        <f t="shared" si="155"/>
        <v>2013</v>
      </c>
      <c r="D2610" s="68">
        <v>12.6616</v>
      </c>
      <c r="E2610" s="68">
        <v>12.681699999999999</v>
      </c>
      <c r="F2610" s="68">
        <v>12.7098</v>
      </c>
    </row>
    <row r="2611" spans="1:6">
      <c r="A2611" s="57" t="s">
        <v>5190</v>
      </c>
      <c r="B2611" s="58">
        <f t="shared" si="154"/>
        <v>41298</v>
      </c>
      <c r="C2611" s="59">
        <f t="shared" si="155"/>
        <v>2013</v>
      </c>
      <c r="D2611" s="61">
        <v>12.6286</v>
      </c>
      <c r="E2611" s="61">
        <v>12.6616</v>
      </c>
      <c r="F2611" s="61">
        <v>12.681699999999999</v>
      </c>
    </row>
    <row r="2612" spans="1:6">
      <c r="A2612" s="65" t="s">
        <v>5191</v>
      </c>
      <c r="B2612" s="66">
        <f t="shared" si="154"/>
        <v>41299</v>
      </c>
      <c r="C2612" s="67">
        <f t="shared" si="155"/>
        <v>2013</v>
      </c>
      <c r="D2612" s="68">
        <v>12.699299999999999</v>
      </c>
      <c r="E2612" s="68">
        <v>12.6286</v>
      </c>
      <c r="F2612" s="68">
        <v>12.6616</v>
      </c>
    </row>
    <row r="2613" spans="1:6">
      <c r="A2613" s="57" t="s">
        <v>5192</v>
      </c>
      <c r="B2613" s="58">
        <f t="shared" si="154"/>
        <v>41300</v>
      </c>
      <c r="C2613" s="59">
        <f t="shared" si="155"/>
        <v>2013</v>
      </c>
      <c r="D2613" s="60" t="s">
        <v>362</v>
      </c>
      <c r="E2613" s="60" t="s">
        <v>362</v>
      </c>
      <c r="F2613" s="61">
        <v>12.6286</v>
      </c>
    </row>
    <row r="2614" spans="1:6">
      <c r="A2614" s="65" t="s">
        <v>5193</v>
      </c>
      <c r="B2614" s="66">
        <f t="shared" si="154"/>
        <v>41301</v>
      </c>
      <c r="C2614" s="67">
        <f t="shared" si="155"/>
        <v>2013</v>
      </c>
      <c r="D2614" s="70" t="s">
        <v>362</v>
      </c>
      <c r="E2614" s="70" t="s">
        <v>362</v>
      </c>
      <c r="F2614" s="68">
        <v>12.6286</v>
      </c>
    </row>
    <row r="2615" spans="1:6">
      <c r="A2615" s="57" t="s">
        <v>5194</v>
      </c>
      <c r="B2615" s="58">
        <f t="shared" si="154"/>
        <v>41302</v>
      </c>
      <c r="C2615" s="59">
        <f t="shared" si="155"/>
        <v>2013</v>
      </c>
      <c r="D2615" s="61">
        <v>12.780200000000001</v>
      </c>
      <c r="E2615" s="61">
        <v>12.699299999999999</v>
      </c>
      <c r="F2615" s="61">
        <v>12.6286</v>
      </c>
    </row>
    <row r="2616" spans="1:6">
      <c r="A2616" s="65" t="s">
        <v>5195</v>
      </c>
      <c r="B2616" s="66">
        <f t="shared" si="154"/>
        <v>41303</v>
      </c>
      <c r="C2616" s="67">
        <f t="shared" si="155"/>
        <v>2013</v>
      </c>
      <c r="D2616" s="68">
        <v>12.7134</v>
      </c>
      <c r="E2616" s="68">
        <v>12.780200000000001</v>
      </c>
      <c r="F2616" s="68">
        <v>12.699299999999999</v>
      </c>
    </row>
    <row r="2617" spans="1:6">
      <c r="A2617" s="57" t="s">
        <v>5196</v>
      </c>
      <c r="B2617" s="58">
        <f t="shared" si="154"/>
        <v>41304</v>
      </c>
      <c r="C2617" s="59">
        <f t="shared" si="155"/>
        <v>2013</v>
      </c>
      <c r="D2617" s="61">
        <v>12.7408</v>
      </c>
      <c r="E2617" s="61">
        <v>12.7134</v>
      </c>
      <c r="F2617" s="61">
        <v>12.780200000000001</v>
      </c>
    </row>
    <row r="2618" spans="1:6">
      <c r="A2618" s="65" t="s">
        <v>5197</v>
      </c>
      <c r="B2618" s="66">
        <f t="shared" si="154"/>
        <v>41305</v>
      </c>
      <c r="C2618" s="67">
        <f t="shared" si="155"/>
        <v>2013</v>
      </c>
      <c r="D2618" s="68">
        <v>12.7094</v>
      </c>
      <c r="E2618" s="68">
        <v>12.7408</v>
      </c>
      <c r="F2618" s="68">
        <v>12.7134</v>
      </c>
    </row>
    <row r="2619" spans="1:6">
      <c r="A2619" s="57" t="s">
        <v>5198</v>
      </c>
      <c r="B2619" s="58">
        <f t="shared" si="154"/>
        <v>41306</v>
      </c>
      <c r="C2619" s="59">
        <f t="shared" si="155"/>
        <v>2013</v>
      </c>
      <c r="D2619" s="61">
        <v>12.637700000000001</v>
      </c>
      <c r="E2619" s="61">
        <v>12.7094</v>
      </c>
      <c r="F2619" s="61">
        <v>12.7408</v>
      </c>
    </row>
    <row r="2620" spans="1:6">
      <c r="A2620" s="65" t="s">
        <v>5199</v>
      </c>
      <c r="B2620" s="66">
        <f t="shared" si="154"/>
        <v>41307</v>
      </c>
      <c r="C2620" s="67">
        <f t="shared" si="155"/>
        <v>2013</v>
      </c>
      <c r="D2620" s="70" t="s">
        <v>362</v>
      </c>
      <c r="E2620" s="70" t="s">
        <v>362</v>
      </c>
      <c r="F2620" s="68">
        <v>12.7094</v>
      </c>
    </row>
    <row r="2621" spans="1:6">
      <c r="A2621" s="57" t="s">
        <v>5200</v>
      </c>
      <c r="B2621" s="58">
        <f t="shared" si="154"/>
        <v>41308</v>
      </c>
      <c r="C2621" s="59">
        <f t="shared" si="155"/>
        <v>2013</v>
      </c>
      <c r="D2621" s="60" t="s">
        <v>362</v>
      </c>
      <c r="E2621" s="60" t="s">
        <v>362</v>
      </c>
      <c r="F2621" s="61">
        <v>12.7094</v>
      </c>
    </row>
    <row r="2622" spans="1:6">
      <c r="A2622" s="65" t="s">
        <v>5201</v>
      </c>
      <c r="B2622" s="66">
        <f t="shared" si="154"/>
        <v>41309</v>
      </c>
      <c r="C2622" s="67">
        <f t="shared" si="155"/>
        <v>2013</v>
      </c>
      <c r="D2622" s="70" t="s">
        <v>362</v>
      </c>
      <c r="E2622" s="70" t="s">
        <v>362</v>
      </c>
      <c r="F2622" s="68">
        <v>12.7094</v>
      </c>
    </row>
    <row r="2623" spans="1:6">
      <c r="A2623" s="57" t="s">
        <v>5202</v>
      </c>
      <c r="B2623" s="58">
        <f t="shared" si="154"/>
        <v>41310</v>
      </c>
      <c r="C2623" s="59">
        <f t="shared" si="155"/>
        <v>2013</v>
      </c>
      <c r="D2623" s="61">
        <v>12.6294</v>
      </c>
      <c r="E2623" s="61">
        <v>12.637700000000001</v>
      </c>
      <c r="F2623" s="61">
        <v>12.7094</v>
      </c>
    </row>
    <row r="2624" spans="1:6">
      <c r="A2624" s="65" t="s">
        <v>5203</v>
      </c>
      <c r="B2624" s="66">
        <f t="shared" si="154"/>
        <v>41311</v>
      </c>
      <c r="C2624" s="67">
        <f t="shared" si="155"/>
        <v>2013</v>
      </c>
      <c r="D2624" s="68">
        <v>12.666399999999999</v>
      </c>
      <c r="E2624" s="68">
        <v>12.6294</v>
      </c>
      <c r="F2624" s="68">
        <v>12.637700000000001</v>
      </c>
    </row>
    <row r="2625" spans="1:6">
      <c r="A2625" s="57" t="s">
        <v>5204</v>
      </c>
      <c r="B2625" s="58">
        <f t="shared" si="154"/>
        <v>41312</v>
      </c>
      <c r="C2625" s="59">
        <f t="shared" si="155"/>
        <v>2013</v>
      </c>
      <c r="D2625" s="61">
        <v>12.7105</v>
      </c>
      <c r="E2625" s="61">
        <v>12.666399999999999</v>
      </c>
      <c r="F2625" s="61">
        <v>12.6294</v>
      </c>
    </row>
    <row r="2626" spans="1:6">
      <c r="A2626" s="65" t="s">
        <v>5205</v>
      </c>
      <c r="B2626" s="66">
        <f t="shared" si="154"/>
        <v>41313</v>
      </c>
      <c r="C2626" s="67">
        <f t="shared" si="155"/>
        <v>2013</v>
      </c>
      <c r="D2626" s="68">
        <v>12.730700000000001</v>
      </c>
      <c r="E2626" s="68">
        <v>12.7105</v>
      </c>
      <c r="F2626" s="68">
        <v>12.666399999999999</v>
      </c>
    </row>
    <row r="2627" spans="1:6">
      <c r="A2627" s="57" t="s">
        <v>5206</v>
      </c>
      <c r="B2627" s="58">
        <f t="shared" si="154"/>
        <v>41314</v>
      </c>
      <c r="C2627" s="59">
        <f t="shared" si="155"/>
        <v>2013</v>
      </c>
      <c r="D2627" s="60" t="s">
        <v>362</v>
      </c>
      <c r="E2627" s="60" t="s">
        <v>362</v>
      </c>
      <c r="F2627" s="61">
        <v>12.7105</v>
      </c>
    </row>
    <row r="2628" spans="1:6">
      <c r="A2628" s="65" t="s">
        <v>5207</v>
      </c>
      <c r="B2628" s="66">
        <f t="shared" si="154"/>
        <v>41315</v>
      </c>
      <c r="C2628" s="67">
        <f t="shared" si="155"/>
        <v>2013</v>
      </c>
      <c r="D2628" s="70" t="s">
        <v>362</v>
      </c>
      <c r="E2628" s="70" t="s">
        <v>362</v>
      </c>
      <c r="F2628" s="68">
        <v>12.7105</v>
      </c>
    </row>
    <row r="2629" spans="1:6">
      <c r="A2629" s="57" t="s">
        <v>5208</v>
      </c>
      <c r="B2629" s="58">
        <f t="shared" si="154"/>
        <v>41316</v>
      </c>
      <c r="C2629" s="59">
        <f t="shared" si="155"/>
        <v>2013</v>
      </c>
      <c r="D2629" s="61">
        <v>12.7706</v>
      </c>
      <c r="E2629" s="61">
        <v>12.730700000000001</v>
      </c>
      <c r="F2629" s="61">
        <v>12.7105</v>
      </c>
    </row>
    <row r="2630" spans="1:6">
      <c r="A2630" s="65" t="s">
        <v>5209</v>
      </c>
      <c r="B2630" s="66">
        <f t="shared" si="154"/>
        <v>41317</v>
      </c>
      <c r="C2630" s="67">
        <f t="shared" si="155"/>
        <v>2013</v>
      </c>
      <c r="D2630" s="68">
        <v>12.7364</v>
      </c>
      <c r="E2630" s="68">
        <v>12.7706</v>
      </c>
      <c r="F2630" s="68">
        <v>12.730700000000001</v>
      </c>
    </row>
    <row r="2631" spans="1:6">
      <c r="A2631" s="57" t="s">
        <v>5210</v>
      </c>
      <c r="B2631" s="58">
        <f t="shared" si="154"/>
        <v>41318</v>
      </c>
      <c r="C2631" s="59">
        <f t="shared" si="155"/>
        <v>2013</v>
      </c>
      <c r="D2631" s="61">
        <v>12.711600000000001</v>
      </c>
      <c r="E2631" s="61">
        <v>12.7364</v>
      </c>
      <c r="F2631" s="61">
        <v>12.7706</v>
      </c>
    </row>
    <row r="2632" spans="1:6">
      <c r="A2632" s="65" t="s">
        <v>5211</v>
      </c>
      <c r="B2632" s="66">
        <f t="shared" si="154"/>
        <v>41319</v>
      </c>
      <c r="C2632" s="67">
        <f t="shared" si="155"/>
        <v>2013</v>
      </c>
      <c r="D2632" s="68">
        <v>12.6982</v>
      </c>
      <c r="E2632" s="68">
        <v>12.711600000000001</v>
      </c>
      <c r="F2632" s="68">
        <v>12.7364</v>
      </c>
    </row>
    <row r="2633" spans="1:6">
      <c r="A2633" s="57" t="s">
        <v>5212</v>
      </c>
      <c r="B2633" s="58">
        <f t="shared" si="154"/>
        <v>41320</v>
      </c>
      <c r="C2633" s="59">
        <f t="shared" si="155"/>
        <v>2013</v>
      </c>
      <c r="D2633" s="61">
        <v>12.6866</v>
      </c>
      <c r="E2633" s="61">
        <v>12.6982</v>
      </c>
      <c r="F2633" s="61">
        <v>12.711600000000001</v>
      </c>
    </row>
    <row r="2634" spans="1:6">
      <c r="A2634" s="65" t="s">
        <v>5213</v>
      </c>
      <c r="B2634" s="66">
        <f t="shared" si="154"/>
        <v>41321</v>
      </c>
      <c r="C2634" s="67">
        <f t="shared" si="155"/>
        <v>2013</v>
      </c>
      <c r="D2634" s="70" t="s">
        <v>362</v>
      </c>
      <c r="E2634" s="70" t="s">
        <v>362</v>
      </c>
      <c r="F2634" s="68">
        <v>12.6982</v>
      </c>
    </row>
    <row r="2635" spans="1:6">
      <c r="A2635" s="57" t="s">
        <v>5214</v>
      </c>
      <c r="B2635" s="58">
        <f t="shared" si="154"/>
        <v>41322</v>
      </c>
      <c r="C2635" s="59">
        <f t="shared" si="155"/>
        <v>2013</v>
      </c>
      <c r="D2635" s="60" t="s">
        <v>362</v>
      </c>
      <c r="E2635" s="60" t="s">
        <v>362</v>
      </c>
      <c r="F2635" s="61">
        <v>12.6982</v>
      </c>
    </row>
    <row r="2636" spans="1:6">
      <c r="A2636" s="65" t="s">
        <v>5215</v>
      </c>
      <c r="B2636" s="66">
        <f t="shared" si="154"/>
        <v>41323</v>
      </c>
      <c r="C2636" s="67">
        <f t="shared" si="155"/>
        <v>2013</v>
      </c>
      <c r="D2636" s="68">
        <v>12.6959</v>
      </c>
      <c r="E2636" s="68">
        <v>12.6866</v>
      </c>
      <c r="F2636" s="68">
        <v>12.6982</v>
      </c>
    </row>
    <row r="2637" spans="1:6">
      <c r="A2637" s="57" t="s">
        <v>5216</v>
      </c>
      <c r="B2637" s="58">
        <f t="shared" si="154"/>
        <v>41324</v>
      </c>
      <c r="C2637" s="59">
        <f t="shared" si="155"/>
        <v>2013</v>
      </c>
      <c r="D2637" s="61">
        <v>12.6873</v>
      </c>
      <c r="E2637" s="61">
        <v>12.6959</v>
      </c>
      <c r="F2637" s="61">
        <v>12.6866</v>
      </c>
    </row>
    <row r="2638" spans="1:6">
      <c r="A2638" s="65" t="s">
        <v>5217</v>
      </c>
      <c r="B2638" s="66">
        <f t="shared" si="154"/>
        <v>41325</v>
      </c>
      <c r="C2638" s="67">
        <f t="shared" si="155"/>
        <v>2013</v>
      </c>
      <c r="D2638" s="68">
        <v>12.6694</v>
      </c>
      <c r="E2638" s="68">
        <v>12.6873</v>
      </c>
      <c r="F2638" s="68">
        <v>12.6959</v>
      </c>
    </row>
    <row r="2639" spans="1:6">
      <c r="A2639" s="57" t="s">
        <v>5218</v>
      </c>
      <c r="B2639" s="58">
        <f t="shared" si="154"/>
        <v>41326</v>
      </c>
      <c r="C2639" s="59">
        <f t="shared" si="155"/>
        <v>2013</v>
      </c>
      <c r="D2639" s="61">
        <v>12.7699</v>
      </c>
      <c r="E2639" s="61">
        <v>12.6694</v>
      </c>
      <c r="F2639" s="61">
        <v>12.6873</v>
      </c>
    </row>
    <row r="2640" spans="1:6">
      <c r="A2640" s="65" t="s">
        <v>5219</v>
      </c>
      <c r="B2640" s="66">
        <f t="shared" si="154"/>
        <v>41327</v>
      </c>
      <c r="C2640" s="67">
        <f t="shared" si="155"/>
        <v>2013</v>
      </c>
      <c r="D2640" s="68">
        <v>12.7517</v>
      </c>
      <c r="E2640" s="68">
        <v>12.7699</v>
      </c>
      <c r="F2640" s="68">
        <v>12.6694</v>
      </c>
    </row>
    <row r="2641" spans="1:6">
      <c r="A2641" s="57" t="s">
        <v>5220</v>
      </c>
      <c r="B2641" s="58">
        <f t="shared" si="154"/>
        <v>41328</v>
      </c>
      <c r="C2641" s="59">
        <f t="shared" si="155"/>
        <v>2013</v>
      </c>
      <c r="D2641" s="60" t="s">
        <v>362</v>
      </c>
      <c r="E2641" s="60" t="s">
        <v>362</v>
      </c>
      <c r="F2641" s="61">
        <v>12.7699</v>
      </c>
    </row>
    <row r="2642" spans="1:6">
      <c r="A2642" s="65" t="s">
        <v>5221</v>
      </c>
      <c r="B2642" s="66">
        <f t="shared" si="154"/>
        <v>41329</v>
      </c>
      <c r="C2642" s="67">
        <f t="shared" si="155"/>
        <v>2013</v>
      </c>
      <c r="D2642" s="70" t="s">
        <v>362</v>
      </c>
      <c r="E2642" s="70" t="s">
        <v>362</v>
      </c>
      <c r="F2642" s="68">
        <v>12.7699</v>
      </c>
    </row>
    <row r="2643" spans="1:6">
      <c r="A2643" s="57" t="s">
        <v>5222</v>
      </c>
      <c r="B2643" s="58">
        <f t="shared" si="154"/>
        <v>41330</v>
      </c>
      <c r="C2643" s="59">
        <f t="shared" si="155"/>
        <v>2013</v>
      </c>
      <c r="D2643" s="61">
        <v>12.7028</v>
      </c>
      <c r="E2643" s="61">
        <v>12.7517</v>
      </c>
      <c r="F2643" s="61">
        <v>12.7699</v>
      </c>
    </row>
    <row r="2644" spans="1:6">
      <c r="A2644" s="65" t="s">
        <v>5223</v>
      </c>
      <c r="B2644" s="66">
        <f t="shared" si="154"/>
        <v>41331</v>
      </c>
      <c r="C2644" s="67">
        <f t="shared" si="155"/>
        <v>2013</v>
      </c>
      <c r="D2644" s="68">
        <v>12.868</v>
      </c>
      <c r="E2644" s="68">
        <v>12.7028</v>
      </c>
      <c r="F2644" s="68">
        <v>12.7517</v>
      </c>
    </row>
    <row r="2645" spans="1:6">
      <c r="A2645" s="57" t="s">
        <v>5224</v>
      </c>
      <c r="B2645" s="58">
        <f t="shared" si="154"/>
        <v>41332</v>
      </c>
      <c r="C2645" s="59">
        <f t="shared" si="155"/>
        <v>2013</v>
      </c>
      <c r="D2645" s="61">
        <v>12.8322</v>
      </c>
      <c r="E2645" s="61">
        <v>12.868</v>
      </c>
      <c r="F2645" s="61">
        <v>12.7028</v>
      </c>
    </row>
    <row r="2646" spans="1:6">
      <c r="A2646" s="65" t="s">
        <v>5225</v>
      </c>
      <c r="B2646" s="66">
        <f t="shared" si="154"/>
        <v>41333</v>
      </c>
      <c r="C2646" s="67">
        <f t="shared" si="155"/>
        <v>2013</v>
      </c>
      <c r="D2646" s="68">
        <v>12.779500000000001</v>
      </c>
      <c r="E2646" s="68">
        <v>12.8322</v>
      </c>
      <c r="F2646" s="68">
        <v>12.868</v>
      </c>
    </row>
    <row r="2647" spans="1:6">
      <c r="A2647" s="57" t="s">
        <v>5226</v>
      </c>
      <c r="B2647" s="58">
        <f t="shared" si="154"/>
        <v>41334</v>
      </c>
      <c r="C2647" s="59">
        <f t="shared" si="155"/>
        <v>2013</v>
      </c>
      <c r="D2647" s="61">
        <v>12.8012</v>
      </c>
      <c r="E2647" s="61">
        <v>12.779500000000001</v>
      </c>
      <c r="F2647" s="61">
        <v>12.8322</v>
      </c>
    </row>
    <row r="2648" spans="1:6">
      <c r="A2648" s="65" t="s">
        <v>5227</v>
      </c>
      <c r="B2648" s="66">
        <f t="shared" si="154"/>
        <v>41335</v>
      </c>
      <c r="C2648" s="67">
        <f t="shared" si="155"/>
        <v>2013</v>
      </c>
      <c r="D2648" s="70" t="s">
        <v>362</v>
      </c>
      <c r="E2648" s="70" t="s">
        <v>362</v>
      </c>
      <c r="F2648" s="68">
        <v>12.779500000000001</v>
      </c>
    </row>
    <row r="2649" spans="1:6">
      <c r="A2649" s="57" t="s">
        <v>5228</v>
      </c>
      <c r="B2649" s="58">
        <f t="shared" si="154"/>
        <v>41336</v>
      </c>
      <c r="C2649" s="59">
        <f t="shared" si="155"/>
        <v>2013</v>
      </c>
      <c r="D2649" s="60" t="s">
        <v>362</v>
      </c>
      <c r="E2649" s="60" t="s">
        <v>362</v>
      </c>
      <c r="F2649" s="61">
        <v>12.779500000000001</v>
      </c>
    </row>
    <row r="2650" spans="1:6">
      <c r="A2650" s="65" t="s">
        <v>5229</v>
      </c>
      <c r="B2650" s="66">
        <f t="shared" si="154"/>
        <v>41337</v>
      </c>
      <c r="C2650" s="67">
        <f t="shared" si="155"/>
        <v>2013</v>
      </c>
      <c r="D2650" s="68">
        <v>12.7814</v>
      </c>
      <c r="E2650" s="68">
        <v>12.8012</v>
      </c>
      <c r="F2650" s="68">
        <v>12.779500000000001</v>
      </c>
    </row>
    <row r="2651" spans="1:6">
      <c r="A2651" s="57" t="s">
        <v>5230</v>
      </c>
      <c r="B2651" s="58">
        <f t="shared" si="154"/>
        <v>41338</v>
      </c>
      <c r="C2651" s="59">
        <f t="shared" si="155"/>
        <v>2013</v>
      </c>
      <c r="D2651" s="61">
        <v>12.7355</v>
      </c>
      <c r="E2651" s="61">
        <v>12.7814</v>
      </c>
      <c r="F2651" s="61">
        <v>12.8012</v>
      </c>
    </row>
    <row r="2652" spans="1:6">
      <c r="A2652" s="65" t="s">
        <v>5231</v>
      </c>
      <c r="B2652" s="66">
        <f t="shared" si="154"/>
        <v>41339</v>
      </c>
      <c r="C2652" s="67">
        <f t="shared" si="155"/>
        <v>2013</v>
      </c>
      <c r="D2652" s="68">
        <v>12.734500000000001</v>
      </c>
      <c r="E2652" s="68">
        <v>12.7355</v>
      </c>
      <c r="F2652" s="68">
        <v>12.7814</v>
      </c>
    </row>
    <row r="2653" spans="1:6">
      <c r="A2653" s="57" t="s">
        <v>5232</v>
      </c>
      <c r="B2653" s="58">
        <f t="shared" si="154"/>
        <v>41340</v>
      </c>
      <c r="C2653" s="59">
        <f t="shared" si="155"/>
        <v>2013</v>
      </c>
      <c r="D2653" s="61">
        <v>12.783899999999999</v>
      </c>
      <c r="E2653" s="61">
        <v>12.734500000000001</v>
      </c>
      <c r="F2653" s="61">
        <v>12.7355</v>
      </c>
    </row>
    <row r="2654" spans="1:6">
      <c r="A2654" s="65" t="s">
        <v>5233</v>
      </c>
      <c r="B2654" s="66">
        <f t="shared" si="154"/>
        <v>41341</v>
      </c>
      <c r="C2654" s="67">
        <f t="shared" si="155"/>
        <v>2013</v>
      </c>
      <c r="D2654" s="68">
        <v>12.6684</v>
      </c>
      <c r="E2654" s="68">
        <v>12.783899999999999</v>
      </c>
      <c r="F2654" s="68">
        <v>12.734500000000001</v>
      </c>
    </row>
    <row r="2655" spans="1:6">
      <c r="A2655" s="57" t="s">
        <v>5234</v>
      </c>
      <c r="B2655" s="58">
        <f t="shared" ref="B2655:B2718" si="156">DATE(RIGHT(A2655,4),LEFT(RIGHT(A2655,7),2),LEFT(A2655,2))</f>
        <v>41342</v>
      </c>
      <c r="C2655" s="59">
        <f t="shared" ref="C2655:C2718" si="157">YEAR(B2655)</f>
        <v>2013</v>
      </c>
      <c r="D2655" s="60" t="s">
        <v>362</v>
      </c>
      <c r="E2655" s="60" t="s">
        <v>362</v>
      </c>
      <c r="F2655" s="61">
        <v>12.783899999999999</v>
      </c>
    </row>
    <row r="2656" spans="1:6">
      <c r="A2656" s="65" t="s">
        <v>5235</v>
      </c>
      <c r="B2656" s="66">
        <f t="shared" si="156"/>
        <v>41343</v>
      </c>
      <c r="C2656" s="67">
        <f t="shared" si="157"/>
        <v>2013</v>
      </c>
      <c r="D2656" s="70" t="s">
        <v>362</v>
      </c>
      <c r="E2656" s="70" t="s">
        <v>362</v>
      </c>
      <c r="F2656" s="68">
        <v>12.783899999999999</v>
      </c>
    </row>
    <row r="2657" spans="1:6">
      <c r="A2657" s="57" t="s">
        <v>5236</v>
      </c>
      <c r="B2657" s="58">
        <f t="shared" si="156"/>
        <v>41344</v>
      </c>
      <c r="C2657" s="59">
        <f t="shared" si="157"/>
        <v>2013</v>
      </c>
      <c r="D2657" s="61">
        <v>12.530799999999999</v>
      </c>
      <c r="E2657" s="61">
        <v>12.6684</v>
      </c>
      <c r="F2657" s="61">
        <v>12.783899999999999</v>
      </c>
    </row>
    <row r="2658" spans="1:6">
      <c r="A2658" s="65" t="s">
        <v>5237</v>
      </c>
      <c r="B2658" s="66">
        <f t="shared" si="156"/>
        <v>41345</v>
      </c>
      <c r="C2658" s="67">
        <f t="shared" si="157"/>
        <v>2013</v>
      </c>
      <c r="D2658" s="68">
        <v>12.4641</v>
      </c>
      <c r="E2658" s="68">
        <v>12.530799999999999</v>
      </c>
      <c r="F2658" s="68">
        <v>12.6684</v>
      </c>
    </row>
    <row r="2659" spans="1:6">
      <c r="A2659" s="57" t="s">
        <v>5238</v>
      </c>
      <c r="B2659" s="58">
        <f t="shared" si="156"/>
        <v>41346</v>
      </c>
      <c r="C2659" s="59">
        <f t="shared" si="157"/>
        <v>2013</v>
      </c>
      <c r="D2659" s="61">
        <v>12.396699999999999</v>
      </c>
      <c r="E2659" s="61">
        <v>12.4641</v>
      </c>
      <c r="F2659" s="61">
        <v>12.530799999999999</v>
      </c>
    </row>
    <row r="2660" spans="1:6">
      <c r="A2660" s="65" t="s">
        <v>5239</v>
      </c>
      <c r="B2660" s="66">
        <f t="shared" si="156"/>
        <v>41347</v>
      </c>
      <c r="C2660" s="67">
        <f t="shared" si="157"/>
        <v>2013</v>
      </c>
      <c r="D2660" s="68">
        <v>12.454499999999999</v>
      </c>
      <c r="E2660" s="68">
        <v>12.396699999999999</v>
      </c>
      <c r="F2660" s="68">
        <v>12.4641</v>
      </c>
    </row>
    <row r="2661" spans="1:6">
      <c r="A2661" s="57" t="s">
        <v>5240</v>
      </c>
      <c r="B2661" s="58">
        <f t="shared" si="156"/>
        <v>41348</v>
      </c>
      <c r="C2661" s="59">
        <f t="shared" si="157"/>
        <v>2013</v>
      </c>
      <c r="D2661" s="61">
        <v>12.439</v>
      </c>
      <c r="E2661" s="61">
        <v>12.454499999999999</v>
      </c>
      <c r="F2661" s="61">
        <v>12.396699999999999</v>
      </c>
    </row>
    <row r="2662" spans="1:6">
      <c r="A2662" s="65" t="s">
        <v>5241</v>
      </c>
      <c r="B2662" s="66">
        <f t="shared" si="156"/>
        <v>41349</v>
      </c>
      <c r="C2662" s="67">
        <f t="shared" si="157"/>
        <v>2013</v>
      </c>
      <c r="D2662" s="70" t="s">
        <v>362</v>
      </c>
      <c r="E2662" s="70" t="s">
        <v>362</v>
      </c>
      <c r="F2662" s="68">
        <v>12.454499999999999</v>
      </c>
    </row>
    <row r="2663" spans="1:6">
      <c r="A2663" s="57" t="s">
        <v>5242</v>
      </c>
      <c r="B2663" s="58">
        <f t="shared" si="156"/>
        <v>41350</v>
      </c>
      <c r="C2663" s="59">
        <f t="shared" si="157"/>
        <v>2013</v>
      </c>
      <c r="D2663" s="60" t="s">
        <v>362</v>
      </c>
      <c r="E2663" s="60" t="s">
        <v>362</v>
      </c>
      <c r="F2663" s="61">
        <v>12.454499999999999</v>
      </c>
    </row>
    <row r="2664" spans="1:6">
      <c r="A2664" s="65" t="s">
        <v>5243</v>
      </c>
      <c r="B2664" s="66">
        <f t="shared" si="156"/>
        <v>41351</v>
      </c>
      <c r="C2664" s="67">
        <f t="shared" si="157"/>
        <v>2013</v>
      </c>
      <c r="D2664" s="70" t="s">
        <v>362</v>
      </c>
      <c r="E2664" s="70" t="s">
        <v>362</v>
      </c>
      <c r="F2664" s="68">
        <v>12.454499999999999</v>
      </c>
    </row>
    <row r="2665" spans="1:6">
      <c r="A2665" s="57" t="s">
        <v>5244</v>
      </c>
      <c r="B2665" s="58">
        <f t="shared" si="156"/>
        <v>41352</v>
      </c>
      <c r="C2665" s="59">
        <f t="shared" si="157"/>
        <v>2013</v>
      </c>
      <c r="D2665" s="61">
        <v>12.4339</v>
      </c>
      <c r="E2665" s="61">
        <v>12.439</v>
      </c>
      <c r="F2665" s="61">
        <v>12.454499999999999</v>
      </c>
    </row>
    <row r="2666" spans="1:6">
      <c r="A2666" s="65" t="s">
        <v>5245</v>
      </c>
      <c r="B2666" s="66">
        <f t="shared" si="156"/>
        <v>41353</v>
      </c>
      <c r="C2666" s="67">
        <f t="shared" si="157"/>
        <v>2013</v>
      </c>
      <c r="D2666" s="68">
        <v>12.3909</v>
      </c>
      <c r="E2666" s="68">
        <v>12.4339</v>
      </c>
      <c r="F2666" s="68">
        <v>12.439</v>
      </c>
    </row>
    <row r="2667" spans="1:6">
      <c r="A2667" s="57" t="s">
        <v>5246</v>
      </c>
      <c r="B2667" s="58">
        <f t="shared" si="156"/>
        <v>41354</v>
      </c>
      <c r="C2667" s="59">
        <f t="shared" si="157"/>
        <v>2013</v>
      </c>
      <c r="D2667" s="61">
        <v>12.3841</v>
      </c>
      <c r="E2667" s="61">
        <v>12.3909</v>
      </c>
      <c r="F2667" s="61">
        <v>12.4339</v>
      </c>
    </row>
    <row r="2668" spans="1:6">
      <c r="A2668" s="65" t="s">
        <v>5247</v>
      </c>
      <c r="B2668" s="66">
        <f t="shared" si="156"/>
        <v>41355</v>
      </c>
      <c r="C2668" s="67">
        <f t="shared" si="157"/>
        <v>2013</v>
      </c>
      <c r="D2668" s="68">
        <v>12.372400000000001</v>
      </c>
      <c r="E2668" s="68">
        <v>12.3841</v>
      </c>
      <c r="F2668" s="68">
        <v>12.3909</v>
      </c>
    </row>
    <row r="2669" spans="1:6">
      <c r="A2669" s="57" t="s">
        <v>5248</v>
      </c>
      <c r="B2669" s="58">
        <f t="shared" si="156"/>
        <v>41356</v>
      </c>
      <c r="C2669" s="59">
        <f t="shared" si="157"/>
        <v>2013</v>
      </c>
      <c r="D2669" s="60" t="s">
        <v>362</v>
      </c>
      <c r="E2669" s="60" t="s">
        <v>362</v>
      </c>
      <c r="F2669" s="61">
        <v>12.3841</v>
      </c>
    </row>
    <row r="2670" spans="1:6">
      <c r="A2670" s="65" t="s">
        <v>5249</v>
      </c>
      <c r="B2670" s="66">
        <f t="shared" si="156"/>
        <v>41357</v>
      </c>
      <c r="C2670" s="67">
        <f t="shared" si="157"/>
        <v>2013</v>
      </c>
      <c r="D2670" s="70" t="s">
        <v>362</v>
      </c>
      <c r="E2670" s="70" t="s">
        <v>362</v>
      </c>
      <c r="F2670" s="68">
        <v>12.3841</v>
      </c>
    </row>
    <row r="2671" spans="1:6">
      <c r="A2671" s="57" t="s">
        <v>5250</v>
      </c>
      <c r="B2671" s="58">
        <f t="shared" si="156"/>
        <v>41358</v>
      </c>
      <c r="C2671" s="59">
        <f t="shared" si="157"/>
        <v>2013</v>
      </c>
      <c r="D2671" s="61">
        <v>12.357900000000001</v>
      </c>
      <c r="E2671" s="61">
        <v>12.372400000000001</v>
      </c>
      <c r="F2671" s="61">
        <v>12.3841</v>
      </c>
    </row>
    <row r="2672" spans="1:6">
      <c r="A2672" s="65" t="s">
        <v>5251</v>
      </c>
      <c r="B2672" s="66">
        <f t="shared" si="156"/>
        <v>41359</v>
      </c>
      <c r="C2672" s="67">
        <f t="shared" si="157"/>
        <v>2013</v>
      </c>
      <c r="D2672" s="68">
        <v>12.3546</v>
      </c>
      <c r="E2672" s="68">
        <v>12.357900000000001</v>
      </c>
      <c r="F2672" s="68">
        <v>12.372400000000001</v>
      </c>
    </row>
    <row r="2673" spans="1:6">
      <c r="A2673" s="57" t="s">
        <v>5252</v>
      </c>
      <c r="B2673" s="58">
        <f t="shared" si="156"/>
        <v>41360</v>
      </c>
      <c r="C2673" s="59">
        <f t="shared" si="157"/>
        <v>2013</v>
      </c>
      <c r="D2673" s="61">
        <v>12.3612</v>
      </c>
      <c r="E2673" s="61">
        <v>12.3546</v>
      </c>
      <c r="F2673" s="61">
        <v>12.357900000000001</v>
      </c>
    </row>
    <row r="2674" spans="1:6">
      <c r="A2674" s="65" t="s">
        <v>5253</v>
      </c>
      <c r="B2674" s="66">
        <f t="shared" si="156"/>
        <v>41361</v>
      </c>
      <c r="C2674" s="67">
        <f t="shared" si="157"/>
        <v>2013</v>
      </c>
      <c r="D2674" s="70" t="s">
        <v>362</v>
      </c>
      <c r="E2674" s="70" t="s">
        <v>362</v>
      </c>
      <c r="F2674" s="68">
        <v>12.3546</v>
      </c>
    </row>
    <row r="2675" spans="1:6">
      <c r="A2675" s="57" t="s">
        <v>5254</v>
      </c>
      <c r="B2675" s="58">
        <f t="shared" si="156"/>
        <v>41362</v>
      </c>
      <c r="C2675" s="59">
        <f t="shared" si="157"/>
        <v>2013</v>
      </c>
      <c r="D2675" s="60" t="s">
        <v>362</v>
      </c>
      <c r="E2675" s="60" t="s">
        <v>362</v>
      </c>
      <c r="F2675" s="61">
        <v>12.3546</v>
      </c>
    </row>
    <row r="2676" spans="1:6">
      <c r="A2676" s="65" t="s">
        <v>5255</v>
      </c>
      <c r="B2676" s="66">
        <f t="shared" si="156"/>
        <v>41363</v>
      </c>
      <c r="C2676" s="67">
        <f t="shared" si="157"/>
        <v>2013</v>
      </c>
      <c r="D2676" s="70" t="s">
        <v>362</v>
      </c>
      <c r="E2676" s="70" t="s">
        <v>362</v>
      </c>
      <c r="F2676" s="68">
        <v>12.3546</v>
      </c>
    </row>
    <row r="2677" spans="1:6">
      <c r="A2677" s="57" t="s">
        <v>5256</v>
      </c>
      <c r="B2677" s="58">
        <f t="shared" si="156"/>
        <v>41364</v>
      </c>
      <c r="C2677" s="59">
        <f t="shared" si="157"/>
        <v>2013</v>
      </c>
      <c r="D2677" s="60" t="s">
        <v>362</v>
      </c>
      <c r="E2677" s="60" t="s">
        <v>362</v>
      </c>
      <c r="F2677" s="61">
        <v>12.3546</v>
      </c>
    </row>
    <row r="2678" spans="1:6">
      <c r="A2678" s="65" t="s">
        <v>5257</v>
      </c>
      <c r="B2678" s="66">
        <f t="shared" si="156"/>
        <v>41365</v>
      </c>
      <c r="C2678" s="67">
        <f t="shared" si="157"/>
        <v>2013</v>
      </c>
      <c r="D2678" s="68">
        <v>12.3438</v>
      </c>
      <c r="E2678" s="68">
        <v>12.3612</v>
      </c>
      <c r="F2678" s="68">
        <v>12.3546</v>
      </c>
    </row>
    <row r="2679" spans="1:6">
      <c r="A2679" s="57" t="s">
        <v>5258</v>
      </c>
      <c r="B2679" s="58">
        <f t="shared" si="156"/>
        <v>41366</v>
      </c>
      <c r="C2679" s="59">
        <f t="shared" si="157"/>
        <v>2013</v>
      </c>
      <c r="D2679" s="61">
        <v>12.2728</v>
      </c>
      <c r="E2679" s="61">
        <v>12.3438</v>
      </c>
      <c r="F2679" s="61">
        <v>12.3612</v>
      </c>
    </row>
    <row r="2680" spans="1:6">
      <c r="A2680" s="65" t="s">
        <v>5259</v>
      </c>
      <c r="B2680" s="66">
        <f t="shared" si="156"/>
        <v>41367</v>
      </c>
      <c r="C2680" s="67">
        <f t="shared" si="157"/>
        <v>2013</v>
      </c>
      <c r="D2680" s="68">
        <v>12.326599999999999</v>
      </c>
      <c r="E2680" s="68">
        <v>12.2728</v>
      </c>
      <c r="F2680" s="68">
        <v>12.3438</v>
      </c>
    </row>
    <row r="2681" spans="1:6">
      <c r="A2681" s="57" t="s">
        <v>5260</v>
      </c>
      <c r="B2681" s="58">
        <f t="shared" si="156"/>
        <v>41368</v>
      </c>
      <c r="C2681" s="59">
        <f t="shared" si="157"/>
        <v>2013</v>
      </c>
      <c r="D2681" s="61">
        <v>12.319699999999999</v>
      </c>
      <c r="E2681" s="61">
        <v>12.326599999999999</v>
      </c>
      <c r="F2681" s="61">
        <v>12.2728</v>
      </c>
    </row>
    <row r="2682" spans="1:6">
      <c r="A2682" s="65" t="s">
        <v>5261</v>
      </c>
      <c r="B2682" s="66">
        <f t="shared" si="156"/>
        <v>41369</v>
      </c>
      <c r="C2682" s="67">
        <f t="shared" si="157"/>
        <v>2013</v>
      </c>
      <c r="D2682" s="68">
        <v>12.238300000000001</v>
      </c>
      <c r="E2682" s="68">
        <v>12.319699999999999</v>
      </c>
      <c r="F2682" s="68">
        <v>12.326599999999999</v>
      </c>
    </row>
    <row r="2683" spans="1:6">
      <c r="A2683" s="57" t="s">
        <v>5262</v>
      </c>
      <c r="B2683" s="58">
        <f t="shared" si="156"/>
        <v>41370</v>
      </c>
      <c r="C2683" s="59">
        <f t="shared" si="157"/>
        <v>2013</v>
      </c>
      <c r="D2683" s="60" t="s">
        <v>362</v>
      </c>
      <c r="E2683" s="60" t="s">
        <v>362</v>
      </c>
      <c r="F2683" s="61">
        <v>12.319699999999999</v>
      </c>
    </row>
    <row r="2684" spans="1:6">
      <c r="A2684" s="65" t="s">
        <v>5263</v>
      </c>
      <c r="B2684" s="66">
        <f t="shared" si="156"/>
        <v>41371</v>
      </c>
      <c r="C2684" s="67">
        <f t="shared" si="157"/>
        <v>2013</v>
      </c>
      <c r="D2684" s="70" t="s">
        <v>362</v>
      </c>
      <c r="E2684" s="70" t="s">
        <v>362</v>
      </c>
      <c r="F2684" s="68">
        <v>12.319699999999999</v>
      </c>
    </row>
    <row r="2685" spans="1:6">
      <c r="A2685" s="57" t="s">
        <v>5264</v>
      </c>
      <c r="B2685" s="58">
        <f t="shared" si="156"/>
        <v>41372</v>
      </c>
      <c r="C2685" s="59">
        <f t="shared" si="157"/>
        <v>2013</v>
      </c>
      <c r="D2685" s="61">
        <v>12.158799999999999</v>
      </c>
      <c r="E2685" s="61">
        <v>12.238300000000001</v>
      </c>
      <c r="F2685" s="61">
        <v>12.319699999999999</v>
      </c>
    </row>
    <row r="2686" spans="1:6">
      <c r="A2686" s="65" t="s">
        <v>5265</v>
      </c>
      <c r="B2686" s="66">
        <f t="shared" si="156"/>
        <v>41373</v>
      </c>
      <c r="C2686" s="67">
        <f t="shared" si="157"/>
        <v>2013</v>
      </c>
      <c r="D2686" s="68">
        <v>12.1304</v>
      </c>
      <c r="E2686" s="68">
        <v>12.158799999999999</v>
      </c>
      <c r="F2686" s="68">
        <v>12.238300000000001</v>
      </c>
    </row>
    <row r="2687" spans="1:6">
      <c r="A2687" s="57" t="s">
        <v>5266</v>
      </c>
      <c r="B2687" s="58">
        <f t="shared" si="156"/>
        <v>41374</v>
      </c>
      <c r="C2687" s="59">
        <f t="shared" si="157"/>
        <v>2013</v>
      </c>
      <c r="D2687" s="61">
        <v>12.114000000000001</v>
      </c>
      <c r="E2687" s="61">
        <v>12.1304</v>
      </c>
      <c r="F2687" s="61">
        <v>12.158799999999999</v>
      </c>
    </row>
    <row r="2688" spans="1:6">
      <c r="A2688" s="65" t="s">
        <v>5267</v>
      </c>
      <c r="B2688" s="66">
        <f t="shared" si="156"/>
        <v>41375</v>
      </c>
      <c r="C2688" s="67">
        <f t="shared" si="157"/>
        <v>2013</v>
      </c>
      <c r="D2688" s="68">
        <v>12.069100000000001</v>
      </c>
      <c r="E2688" s="68">
        <v>12.114000000000001</v>
      </c>
      <c r="F2688" s="68">
        <v>12.1304</v>
      </c>
    </row>
    <row r="2689" spans="1:6">
      <c r="A2689" s="57" t="s">
        <v>5268</v>
      </c>
      <c r="B2689" s="58">
        <f t="shared" si="156"/>
        <v>41376</v>
      </c>
      <c r="C2689" s="59">
        <f t="shared" si="157"/>
        <v>2013</v>
      </c>
      <c r="D2689" s="61">
        <v>12.0824</v>
      </c>
      <c r="E2689" s="61">
        <v>12.069100000000001</v>
      </c>
      <c r="F2689" s="61">
        <v>12.114000000000001</v>
      </c>
    </row>
    <row r="2690" spans="1:6">
      <c r="A2690" s="65" t="s">
        <v>5269</v>
      </c>
      <c r="B2690" s="66">
        <f t="shared" si="156"/>
        <v>41377</v>
      </c>
      <c r="C2690" s="67">
        <f t="shared" si="157"/>
        <v>2013</v>
      </c>
      <c r="D2690" s="70" t="s">
        <v>362</v>
      </c>
      <c r="E2690" s="70" t="s">
        <v>362</v>
      </c>
      <c r="F2690" s="68">
        <v>12.069100000000001</v>
      </c>
    </row>
    <row r="2691" spans="1:6">
      <c r="A2691" s="57" t="s">
        <v>5270</v>
      </c>
      <c r="B2691" s="58">
        <f t="shared" si="156"/>
        <v>41378</v>
      </c>
      <c r="C2691" s="59">
        <f t="shared" si="157"/>
        <v>2013</v>
      </c>
      <c r="D2691" s="60" t="s">
        <v>362</v>
      </c>
      <c r="E2691" s="60" t="s">
        <v>362</v>
      </c>
      <c r="F2691" s="61">
        <v>12.069100000000001</v>
      </c>
    </row>
    <row r="2692" spans="1:6">
      <c r="A2692" s="65" t="s">
        <v>5271</v>
      </c>
      <c r="B2692" s="66">
        <f t="shared" si="156"/>
        <v>41379</v>
      </c>
      <c r="C2692" s="67">
        <f t="shared" si="157"/>
        <v>2013</v>
      </c>
      <c r="D2692" s="68">
        <v>12.1729</v>
      </c>
      <c r="E2692" s="68">
        <v>12.0824</v>
      </c>
      <c r="F2692" s="68">
        <v>12.069100000000001</v>
      </c>
    </row>
    <row r="2693" spans="1:6">
      <c r="A2693" s="57" t="s">
        <v>5272</v>
      </c>
      <c r="B2693" s="58">
        <f t="shared" si="156"/>
        <v>41380</v>
      </c>
      <c r="C2693" s="59">
        <f t="shared" si="157"/>
        <v>2013</v>
      </c>
      <c r="D2693" s="61">
        <v>12.1668</v>
      </c>
      <c r="E2693" s="61">
        <v>12.1729</v>
      </c>
      <c r="F2693" s="61">
        <v>12.0824</v>
      </c>
    </row>
    <row r="2694" spans="1:6">
      <c r="A2694" s="65" t="s">
        <v>5273</v>
      </c>
      <c r="B2694" s="66">
        <f t="shared" si="156"/>
        <v>41381</v>
      </c>
      <c r="C2694" s="67">
        <f t="shared" si="157"/>
        <v>2013</v>
      </c>
      <c r="D2694" s="68">
        <v>12.237</v>
      </c>
      <c r="E2694" s="68">
        <v>12.1668</v>
      </c>
      <c r="F2694" s="68">
        <v>12.1729</v>
      </c>
    </row>
    <row r="2695" spans="1:6">
      <c r="A2695" s="57" t="s">
        <v>5274</v>
      </c>
      <c r="B2695" s="58">
        <f t="shared" si="156"/>
        <v>41382</v>
      </c>
      <c r="C2695" s="59">
        <f t="shared" si="157"/>
        <v>2013</v>
      </c>
      <c r="D2695" s="61">
        <v>12.2479</v>
      </c>
      <c r="E2695" s="61">
        <v>12.237</v>
      </c>
      <c r="F2695" s="61">
        <v>12.1668</v>
      </c>
    </row>
    <row r="2696" spans="1:6">
      <c r="A2696" s="65" t="s">
        <v>5275</v>
      </c>
      <c r="B2696" s="66">
        <f t="shared" si="156"/>
        <v>41383</v>
      </c>
      <c r="C2696" s="67">
        <f t="shared" si="157"/>
        <v>2013</v>
      </c>
      <c r="D2696" s="68">
        <v>12.2254</v>
      </c>
      <c r="E2696" s="68">
        <v>12.2479</v>
      </c>
      <c r="F2696" s="68">
        <v>12.237</v>
      </c>
    </row>
    <row r="2697" spans="1:6">
      <c r="A2697" s="57" t="s">
        <v>5276</v>
      </c>
      <c r="B2697" s="58">
        <f t="shared" si="156"/>
        <v>41384</v>
      </c>
      <c r="C2697" s="59">
        <f t="shared" si="157"/>
        <v>2013</v>
      </c>
      <c r="D2697" s="60" t="s">
        <v>362</v>
      </c>
      <c r="E2697" s="60" t="s">
        <v>362</v>
      </c>
      <c r="F2697" s="61">
        <v>12.2479</v>
      </c>
    </row>
    <row r="2698" spans="1:6">
      <c r="A2698" s="65" t="s">
        <v>5277</v>
      </c>
      <c r="B2698" s="66">
        <f t="shared" si="156"/>
        <v>41385</v>
      </c>
      <c r="C2698" s="67">
        <f t="shared" si="157"/>
        <v>2013</v>
      </c>
      <c r="D2698" s="70" t="s">
        <v>362</v>
      </c>
      <c r="E2698" s="70" t="s">
        <v>362</v>
      </c>
      <c r="F2698" s="68">
        <v>12.2479</v>
      </c>
    </row>
    <row r="2699" spans="1:6">
      <c r="A2699" s="57" t="s">
        <v>5278</v>
      </c>
      <c r="B2699" s="58">
        <f t="shared" si="156"/>
        <v>41386</v>
      </c>
      <c r="C2699" s="59">
        <f t="shared" si="157"/>
        <v>2013</v>
      </c>
      <c r="D2699" s="61">
        <v>12.322699999999999</v>
      </c>
      <c r="E2699" s="61">
        <v>12.2254</v>
      </c>
      <c r="F2699" s="61">
        <v>12.2479</v>
      </c>
    </row>
    <row r="2700" spans="1:6">
      <c r="A2700" s="65" t="s">
        <v>5279</v>
      </c>
      <c r="B2700" s="66">
        <f t="shared" si="156"/>
        <v>41387</v>
      </c>
      <c r="C2700" s="67">
        <f t="shared" si="157"/>
        <v>2013</v>
      </c>
      <c r="D2700" s="68">
        <v>12.2492</v>
      </c>
      <c r="E2700" s="68">
        <v>12.322699999999999</v>
      </c>
      <c r="F2700" s="68">
        <v>12.2254</v>
      </c>
    </row>
    <row r="2701" spans="1:6">
      <c r="A2701" s="57" t="s">
        <v>5280</v>
      </c>
      <c r="B2701" s="58">
        <f t="shared" si="156"/>
        <v>41388</v>
      </c>
      <c r="C2701" s="59">
        <f t="shared" si="157"/>
        <v>2013</v>
      </c>
      <c r="D2701" s="61">
        <v>12.2768</v>
      </c>
      <c r="E2701" s="61">
        <v>12.2492</v>
      </c>
      <c r="F2701" s="61">
        <v>12.322699999999999</v>
      </c>
    </row>
    <row r="2702" spans="1:6">
      <c r="A2702" s="65" t="s">
        <v>5281</v>
      </c>
      <c r="B2702" s="66">
        <f t="shared" si="156"/>
        <v>41389</v>
      </c>
      <c r="C2702" s="67">
        <f t="shared" si="157"/>
        <v>2013</v>
      </c>
      <c r="D2702" s="68">
        <v>12.123100000000001</v>
      </c>
      <c r="E2702" s="68">
        <v>12.2768</v>
      </c>
      <c r="F2702" s="68">
        <v>12.2492</v>
      </c>
    </row>
    <row r="2703" spans="1:6">
      <c r="A2703" s="57" t="s">
        <v>5282</v>
      </c>
      <c r="B2703" s="58">
        <f t="shared" si="156"/>
        <v>41390</v>
      </c>
      <c r="C2703" s="59">
        <f t="shared" si="157"/>
        <v>2013</v>
      </c>
      <c r="D2703" s="61">
        <v>12.154999999999999</v>
      </c>
      <c r="E2703" s="61">
        <v>12.123100000000001</v>
      </c>
      <c r="F2703" s="61">
        <v>12.2768</v>
      </c>
    </row>
    <row r="2704" spans="1:6">
      <c r="A2704" s="65" t="s">
        <v>5283</v>
      </c>
      <c r="B2704" s="66">
        <f t="shared" si="156"/>
        <v>41391</v>
      </c>
      <c r="C2704" s="67">
        <f t="shared" si="157"/>
        <v>2013</v>
      </c>
      <c r="D2704" s="70" t="s">
        <v>362</v>
      </c>
      <c r="E2704" s="70" t="s">
        <v>362</v>
      </c>
      <c r="F2704" s="68">
        <v>12.123100000000001</v>
      </c>
    </row>
    <row r="2705" spans="1:6">
      <c r="A2705" s="57" t="s">
        <v>5284</v>
      </c>
      <c r="B2705" s="58">
        <f t="shared" si="156"/>
        <v>41392</v>
      </c>
      <c r="C2705" s="59">
        <f t="shared" si="157"/>
        <v>2013</v>
      </c>
      <c r="D2705" s="60" t="s">
        <v>362</v>
      </c>
      <c r="E2705" s="60" t="s">
        <v>362</v>
      </c>
      <c r="F2705" s="61">
        <v>12.123100000000001</v>
      </c>
    </row>
    <row r="2706" spans="1:6">
      <c r="A2706" s="65" t="s">
        <v>5285</v>
      </c>
      <c r="B2706" s="66">
        <f t="shared" si="156"/>
        <v>41393</v>
      </c>
      <c r="C2706" s="67">
        <f t="shared" si="157"/>
        <v>2013</v>
      </c>
      <c r="D2706" s="68">
        <v>12.1326</v>
      </c>
      <c r="E2706" s="68">
        <v>12.154999999999999</v>
      </c>
      <c r="F2706" s="68">
        <v>12.123100000000001</v>
      </c>
    </row>
    <row r="2707" spans="1:6">
      <c r="A2707" s="57" t="s">
        <v>5286</v>
      </c>
      <c r="B2707" s="58">
        <f t="shared" si="156"/>
        <v>41394</v>
      </c>
      <c r="C2707" s="59">
        <f t="shared" si="157"/>
        <v>2013</v>
      </c>
      <c r="D2707" s="61">
        <v>12.1456</v>
      </c>
      <c r="E2707" s="61">
        <v>12.1326</v>
      </c>
      <c r="F2707" s="61">
        <v>12.154999999999999</v>
      </c>
    </row>
    <row r="2708" spans="1:6">
      <c r="A2708" s="65" t="s">
        <v>5287</v>
      </c>
      <c r="B2708" s="66">
        <f t="shared" si="156"/>
        <v>41395</v>
      </c>
      <c r="C2708" s="67">
        <f t="shared" si="157"/>
        <v>2013</v>
      </c>
      <c r="D2708" s="70" t="s">
        <v>362</v>
      </c>
      <c r="E2708" s="70" t="s">
        <v>362</v>
      </c>
      <c r="F2708" s="68">
        <v>12.1326</v>
      </c>
    </row>
    <row r="2709" spans="1:6">
      <c r="A2709" s="57" t="s">
        <v>5288</v>
      </c>
      <c r="B2709" s="58">
        <f t="shared" si="156"/>
        <v>41396</v>
      </c>
      <c r="C2709" s="59">
        <f t="shared" si="157"/>
        <v>2013</v>
      </c>
      <c r="D2709" s="61">
        <v>12.175599999999999</v>
      </c>
      <c r="E2709" s="61">
        <v>12.1456</v>
      </c>
      <c r="F2709" s="61">
        <v>12.1326</v>
      </c>
    </row>
    <row r="2710" spans="1:6">
      <c r="A2710" s="65" t="s">
        <v>5289</v>
      </c>
      <c r="B2710" s="66">
        <f t="shared" si="156"/>
        <v>41397</v>
      </c>
      <c r="C2710" s="67">
        <f t="shared" si="157"/>
        <v>2013</v>
      </c>
      <c r="D2710" s="68">
        <v>12.085100000000001</v>
      </c>
      <c r="E2710" s="68">
        <v>12.175599999999999</v>
      </c>
      <c r="F2710" s="68">
        <v>12.1456</v>
      </c>
    </row>
    <row r="2711" spans="1:6">
      <c r="A2711" s="57" t="s">
        <v>5290</v>
      </c>
      <c r="B2711" s="58">
        <f t="shared" si="156"/>
        <v>41398</v>
      </c>
      <c r="C2711" s="59">
        <f t="shared" si="157"/>
        <v>2013</v>
      </c>
      <c r="D2711" s="60" t="s">
        <v>362</v>
      </c>
      <c r="E2711" s="60" t="s">
        <v>362</v>
      </c>
      <c r="F2711" s="61">
        <v>12.175599999999999</v>
      </c>
    </row>
    <row r="2712" spans="1:6">
      <c r="A2712" s="65" t="s">
        <v>5291</v>
      </c>
      <c r="B2712" s="66">
        <f t="shared" si="156"/>
        <v>41399</v>
      </c>
      <c r="C2712" s="67">
        <f t="shared" si="157"/>
        <v>2013</v>
      </c>
      <c r="D2712" s="70" t="s">
        <v>362</v>
      </c>
      <c r="E2712" s="70" t="s">
        <v>362</v>
      </c>
      <c r="F2712" s="68">
        <v>12.175599999999999</v>
      </c>
    </row>
    <row r="2713" spans="1:6">
      <c r="A2713" s="57" t="s">
        <v>5292</v>
      </c>
      <c r="B2713" s="58">
        <f t="shared" si="156"/>
        <v>41400</v>
      </c>
      <c r="C2713" s="59">
        <f t="shared" si="157"/>
        <v>2013</v>
      </c>
      <c r="D2713" s="61">
        <v>12.1074</v>
      </c>
      <c r="E2713" s="61">
        <v>12.085100000000001</v>
      </c>
      <c r="F2713" s="61">
        <v>12.175599999999999</v>
      </c>
    </row>
    <row r="2714" spans="1:6">
      <c r="A2714" s="65" t="s">
        <v>5293</v>
      </c>
      <c r="B2714" s="66">
        <f t="shared" si="156"/>
        <v>41401</v>
      </c>
      <c r="C2714" s="67">
        <f t="shared" si="157"/>
        <v>2013</v>
      </c>
      <c r="D2714" s="68">
        <v>12.0733</v>
      </c>
      <c r="E2714" s="68">
        <v>12.1074</v>
      </c>
      <c r="F2714" s="68">
        <v>12.085100000000001</v>
      </c>
    </row>
    <row r="2715" spans="1:6">
      <c r="A2715" s="57" t="s">
        <v>5294</v>
      </c>
      <c r="B2715" s="58">
        <f t="shared" si="156"/>
        <v>41402</v>
      </c>
      <c r="C2715" s="59">
        <f t="shared" si="157"/>
        <v>2013</v>
      </c>
      <c r="D2715" s="61">
        <v>12.039300000000001</v>
      </c>
      <c r="E2715" s="61">
        <v>12.0733</v>
      </c>
      <c r="F2715" s="61">
        <v>12.1074</v>
      </c>
    </row>
    <row r="2716" spans="1:6">
      <c r="A2716" s="65" t="s">
        <v>5295</v>
      </c>
      <c r="B2716" s="66">
        <f t="shared" si="156"/>
        <v>41403</v>
      </c>
      <c r="C2716" s="67">
        <f t="shared" si="157"/>
        <v>2013</v>
      </c>
      <c r="D2716" s="68">
        <v>11.980700000000001</v>
      </c>
      <c r="E2716" s="68">
        <v>12.039300000000001</v>
      </c>
      <c r="F2716" s="68">
        <v>12.0733</v>
      </c>
    </row>
    <row r="2717" spans="1:6">
      <c r="A2717" s="57" t="s">
        <v>5296</v>
      </c>
      <c r="B2717" s="58">
        <f t="shared" si="156"/>
        <v>41404</v>
      </c>
      <c r="C2717" s="59">
        <f t="shared" si="157"/>
        <v>2013</v>
      </c>
      <c r="D2717" s="61">
        <v>12.109400000000001</v>
      </c>
      <c r="E2717" s="61">
        <v>11.980700000000001</v>
      </c>
      <c r="F2717" s="61">
        <v>12.039300000000001</v>
      </c>
    </row>
    <row r="2718" spans="1:6">
      <c r="A2718" s="65" t="s">
        <v>5297</v>
      </c>
      <c r="B2718" s="66">
        <f t="shared" si="156"/>
        <v>41405</v>
      </c>
      <c r="C2718" s="67">
        <f t="shared" si="157"/>
        <v>2013</v>
      </c>
      <c r="D2718" s="70" t="s">
        <v>362</v>
      </c>
      <c r="E2718" s="70" t="s">
        <v>362</v>
      </c>
      <c r="F2718" s="68">
        <v>11.980700000000001</v>
      </c>
    </row>
    <row r="2719" spans="1:6">
      <c r="A2719" s="57" t="s">
        <v>5298</v>
      </c>
      <c r="B2719" s="58">
        <f t="shared" ref="B2719:B2782" si="158">DATE(RIGHT(A2719,4),LEFT(RIGHT(A2719,7),2),LEFT(A2719,2))</f>
        <v>41406</v>
      </c>
      <c r="C2719" s="59">
        <f t="shared" ref="C2719:C2782" si="159">YEAR(B2719)</f>
        <v>2013</v>
      </c>
      <c r="D2719" s="60" t="s">
        <v>362</v>
      </c>
      <c r="E2719" s="60" t="s">
        <v>362</v>
      </c>
      <c r="F2719" s="61">
        <v>11.980700000000001</v>
      </c>
    </row>
    <row r="2720" spans="1:6">
      <c r="A2720" s="65" t="s">
        <v>5299</v>
      </c>
      <c r="B2720" s="66">
        <f t="shared" si="158"/>
        <v>41407</v>
      </c>
      <c r="C2720" s="67">
        <f t="shared" si="159"/>
        <v>2013</v>
      </c>
      <c r="D2720" s="68">
        <v>12.1448</v>
      </c>
      <c r="E2720" s="68">
        <v>12.109400000000001</v>
      </c>
      <c r="F2720" s="68">
        <v>11.980700000000001</v>
      </c>
    </row>
    <row r="2721" spans="1:6">
      <c r="A2721" s="57" t="s">
        <v>5300</v>
      </c>
      <c r="B2721" s="58">
        <f t="shared" si="158"/>
        <v>41408</v>
      </c>
      <c r="C2721" s="59">
        <f t="shared" si="159"/>
        <v>2013</v>
      </c>
      <c r="D2721" s="61">
        <v>12.1485</v>
      </c>
      <c r="E2721" s="61">
        <v>12.1448</v>
      </c>
      <c r="F2721" s="61">
        <v>12.109400000000001</v>
      </c>
    </row>
    <row r="2722" spans="1:6">
      <c r="A2722" s="65" t="s">
        <v>5301</v>
      </c>
      <c r="B2722" s="66">
        <f t="shared" si="158"/>
        <v>41409</v>
      </c>
      <c r="C2722" s="67">
        <f t="shared" si="159"/>
        <v>2013</v>
      </c>
      <c r="D2722" s="68">
        <v>12.231299999999999</v>
      </c>
      <c r="E2722" s="68">
        <v>12.1485</v>
      </c>
      <c r="F2722" s="68">
        <v>12.1448</v>
      </c>
    </row>
    <row r="2723" spans="1:6">
      <c r="A2723" s="57" t="s">
        <v>5302</v>
      </c>
      <c r="B2723" s="58">
        <f t="shared" si="158"/>
        <v>41410</v>
      </c>
      <c r="C2723" s="59">
        <f t="shared" si="159"/>
        <v>2013</v>
      </c>
      <c r="D2723" s="61">
        <v>12.2378</v>
      </c>
      <c r="E2723" s="61">
        <v>12.231299999999999</v>
      </c>
      <c r="F2723" s="61">
        <v>12.1485</v>
      </c>
    </row>
    <row r="2724" spans="1:6">
      <c r="A2724" s="65" t="s">
        <v>5303</v>
      </c>
      <c r="B2724" s="66">
        <f t="shared" si="158"/>
        <v>41411</v>
      </c>
      <c r="C2724" s="67">
        <f t="shared" si="159"/>
        <v>2013</v>
      </c>
      <c r="D2724" s="68">
        <v>12.3177</v>
      </c>
      <c r="E2724" s="68">
        <v>12.2378</v>
      </c>
      <c r="F2724" s="68">
        <v>12.231299999999999</v>
      </c>
    </row>
    <row r="2725" spans="1:6">
      <c r="A2725" s="57" t="s">
        <v>5304</v>
      </c>
      <c r="B2725" s="58">
        <f t="shared" si="158"/>
        <v>41412</v>
      </c>
      <c r="C2725" s="59">
        <f t="shared" si="159"/>
        <v>2013</v>
      </c>
      <c r="D2725" s="60" t="s">
        <v>362</v>
      </c>
      <c r="E2725" s="60" t="s">
        <v>362</v>
      </c>
      <c r="F2725" s="61">
        <v>12.2378</v>
      </c>
    </row>
    <row r="2726" spans="1:6">
      <c r="A2726" s="65" t="s">
        <v>5305</v>
      </c>
      <c r="B2726" s="66">
        <f t="shared" si="158"/>
        <v>41413</v>
      </c>
      <c r="C2726" s="67">
        <f t="shared" si="159"/>
        <v>2013</v>
      </c>
      <c r="D2726" s="70" t="s">
        <v>362</v>
      </c>
      <c r="E2726" s="70" t="s">
        <v>362</v>
      </c>
      <c r="F2726" s="68">
        <v>12.2378</v>
      </c>
    </row>
    <row r="2727" spans="1:6">
      <c r="A2727" s="57" t="s">
        <v>5306</v>
      </c>
      <c r="B2727" s="58">
        <f t="shared" si="158"/>
        <v>41414</v>
      </c>
      <c r="C2727" s="59">
        <f t="shared" si="159"/>
        <v>2013</v>
      </c>
      <c r="D2727" s="61">
        <v>12.325799999999999</v>
      </c>
      <c r="E2727" s="61">
        <v>12.3177</v>
      </c>
      <c r="F2727" s="61">
        <v>12.2378</v>
      </c>
    </row>
    <row r="2728" spans="1:6">
      <c r="A2728" s="65" t="s">
        <v>5307</v>
      </c>
      <c r="B2728" s="66">
        <f t="shared" si="158"/>
        <v>41415</v>
      </c>
      <c r="C2728" s="67">
        <f t="shared" si="159"/>
        <v>2013</v>
      </c>
      <c r="D2728" s="68">
        <v>12.3414</v>
      </c>
      <c r="E2728" s="68">
        <v>12.325799999999999</v>
      </c>
      <c r="F2728" s="68">
        <v>12.3177</v>
      </c>
    </row>
    <row r="2729" spans="1:6">
      <c r="A2729" s="57" t="s">
        <v>5308</v>
      </c>
      <c r="B2729" s="58">
        <f t="shared" si="158"/>
        <v>41416</v>
      </c>
      <c r="C2729" s="59">
        <f t="shared" si="159"/>
        <v>2013</v>
      </c>
      <c r="D2729" s="61">
        <v>12.311299999999999</v>
      </c>
      <c r="E2729" s="61">
        <v>12.3414</v>
      </c>
      <c r="F2729" s="61">
        <v>12.325799999999999</v>
      </c>
    </row>
    <row r="2730" spans="1:6">
      <c r="A2730" s="65" t="s">
        <v>5309</v>
      </c>
      <c r="B2730" s="66">
        <f t="shared" si="158"/>
        <v>41417</v>
      </c>
      <c r="C2730" s="67">
        <f t="shared" si="159"/>
        <v>2013</v>
      </c>
      <c r="D2730" s="68">
        <v>12.4764</v>
      </c>
      <c r="E2730" s="68">
        <v>12.311299999999999</v>
      </c>
      <c r="F2730" s="68">
        <v>12.3414</v>
      </c>
    </row>
    <row r="2731" spans="1:6">
      <c r="A2731" s="57" t="s">
        <v>5310</v>
      </c>
      <c r="B2731" s="58">
        <f t="shared" si="158"/>
        <v>41418</v>
      </c>
      <c r="C2731" s="59">
        <f t="shared" si="159"/>
        <v>2013</v>
      </c>
      <c r="D2731" s="61">
        <v>12.5219</v>
      </c>
      <c r="E2731" s="61">
        <v>12.4764</v>
      </c>
      <c r="F2731" s="61">
        <v>12.311299999999999</v>
      </c>
    </row>
    <row r="2732" spans="1:6">
      <c r="A2732" s="65" t="s">
        <v>5311</v>
      </c>
      <c r="B2732" s="66">
        <f t="shared" si="158"/>
        <v>41419</v>
      </c>
      <c r="C2732" s="67">
        <f t="shared" si="159"/>
        <v>2013</v>
      </c>
      <c r="D2732" s="70" t="s">
        <v>362</v>
      </c>
      <c r="E2732" s="70" t="s">
        <v>362</v>
      </c>
      <c r="F2732" s="68">
        <v>12.4764</v>
      </c>
    </row>
    <row r="2733" spans="1:6">
      <c r="A2733" s="57" t="s">
        <v>5312</v>
      </c>
      <c r="B2733" s="58">
        <f t="shared" si="158"/>
        <v>41420</v>
      </c>
      <c r="C2733" s="59">
        <f t="shared" si="159"/>
        <v>2013</v>
      </c>
      <c r="D2733" s="60" t="s">
        <v>362</v>
      </c>
      <c r="E2733" s="60" t="s">
        <v>362</v>
      </c>
      <c r="F2733" s="61">
        <v>12.4764</v>
      </c>
    </row>
    <row r="2734" spans="1:6">
      <c r="A2734" s="65" t="s">
        <v>5313</v>
      </c>
      <c r="B2734" s="66">
        <f t="shared" si="158"/>
        <v>41421</v>
      </c>
      <c r="C2734" s="67">
        <f t="shared" si="159"/>
        <v>2013</v>
      </c>
      <c r="D2734" s="68">
        <v>12.4831</v>
      </c>
      <c r="E2734" s="68">
        <v>12.5219</v>
      </c>
      <c r="F2734" s="68">
        <v>12.4764</v>
      </c>
    </row>
    <row r="2735" spans="1:6">
      <c r="A2735" s="57" t="s">
        <v>5314</v>
      </c>
      <c r="B2735" s="58">
        <f t="shared" si="158"/>
        <v>41422</v>
      </c>
      <c r="C2735" s="59">
        <f t="shared" si="159"/>
        <v>2013</v>
      </c>
      <c r="D2735" s="61">
        <v>12.5275</v>
      </c>
      <c r="E2735" s="61">
        <v>12.4831</v>
      </c>
      <c r="F2735" s="61">
        <v>12.5219</v>
      </c>
    </row>
    <row r="2736" spans="1:6">
      <c r="A2736" s="65" t="s">
        <v>5315</v>
      </c>
      <c r="B2736" s="66">
        <f t="shared" si="158"/>
        <v>41423</v>
      </c>
      <c r="C2736" s="67">
        <f t="shared" si="159"/>
        <v>2013</v>
      </c>
      <c r="D2736" s="68">
        <v>12.6328</v>
      </c>
      <c r="E2736" s="68">
        <v>12.5275</v>
      </c>
      <c r="F2736" s="68">
        <v>12.4831</v>
      </c>
    </row>
    <row r="2737" spans="1:6">
      <c r="A2737" s="57" t="s">
        <v>5316</v>
      </c>
      <c r="B2737" s="58">
        <f t="shared" si="158"/>
        <v>41424</v>
      </c>
      <c r="C2737" s="59">
        <f t="shared" si="159"/>
        <v>2013</v>
      </c>
      <c r="D2737" s="61">
        <v>12.7781</v>
      </c>
      <c r="E2737" s="61">
        <v>12.6328</v>
      </c>
      <c r="F2737" s="61">
        <v>12.5275</v>
      </c>
    </row>
    <row r="2738" spans="1:6">
      <c r="A2738" s="65" t="s">
        <v>5317</v>
      </c>
      <c r="B2738" s="66">
        <f t="shared" si="158"/>
        <v>41425</v>
      </c>
      <c r="C2738" s="67">
        <f t="shared" si="159"/>
        <v>2013</v>
      </c>
      <c r="D2738" s="68">
        <v>12.8035</v>
      </c>
      <c r="E2738" s="68">
        <v>12.7781</v>
      </c>
      <c r="F2738" s="68">
        <v>12.6328</v>
      </c>
    </row>
    <row r="2739" spans="1:6">
      <c r="A2739" s="57" t="s">
        <v>5318</v>
      </c>
      <c r="B2739" s="58">
        <f t="shared" si="158"/>
        <v>41426</v>
      </c>
      <c r="C2739" s="59">
        <f t="shared" si="159"/>
        <v>2013</v>
      </c>
      <c r="D2739" s="60" t="s">
        <v>362</v>
      </c>
      <c r="E2739" s="60" t="s">
        <v>362</v>
      </c>
      <c r="F2739" s="61">
        <v>12.7781</v>
      </c>
    </row>
    <row r="2740" spans="1:6">
      <c r="A2740" s="65" t="s">
        <v>5319</v>
      </c>
      <c r="B2740" s="66">
        <f t="shared" si="158"/>
        <v>41427</v>
      </c>
      <c r="C2740" s="67">
        <f t="shared" si="159"/>
        <v>2013</v>
      </c>
      <c r="D2740" s="70" t="s">
        <v>362</v>
      </c>
      <c r="E2740" s="70" t="s">
        <v>362</v>
      </c>
      <c r="F2740" s="68">
        <v>12.7781</v>
      </c>
    </row>
    <row r="2741" spans="1:6">
      <c r="A2741" s="57" t="s">
        <v>5320</v>
      </c>
      <c r="B2741" s="58">
        <f t="shared" si="158"/>
        <v>41428</v>
      </c>
      <c r="C2741" s="59">
        <f t="shared" si="159"/>
        <v>2013</v>
      </c>
      <c r="D2741" s="61">
        <v>12.7882</v>
      </c>
      <c r="E2741" s="61">
        <v>12.8035</v>
      </c>
      <c r="F2741" s="61">
        <v>12.7781</v>
      </c>
    </row>
    <row r="2742" spans="1:6">
      <c r="A2742" s="65" t="s">
        <v>5321</v>
      </c>
      <c r="B2742" s="66">
        <f t="shared" si="158"/>
        <v>41429</v>
      </c>
      <c r="C2742" s="67">
        <f t="shared" si="159"/>
        <v>2013</v>
      </c>
      <c r="D2742" s="68">
        <v>12.7317</v>
      </c>
      <c r="E2742" s="68">
        <v>12.7882</v>
      </c>
      <c r="F2742" s="68">
        <v>12.8035</v>
      </c>
    </row>
    <row r="2743" spans="1:6">
      <c r="A2743" s="57" t="s">
        <v>5322</v>
      </c>
      <c r="B2743" s="58">
        <f t="shared" si="158"/>
        <v>41430</v>
      </c>
      <c r="C2743" s="59">
        <f t="shared" si="159"/>
        <v>2013</v>
      </c>
      <c r="D2743" s="61">
        <v>12.816700000000001</v>
      </c>
      <c r="E2743" s="61">
        <v>12.7317</v>
      </c>
      <c r="F2743" s="61">
        <v>12.7882</v>
      </c>
    </row>
    <row r="2744" spans="1:6">
      <c r="A2744" s="65" t="s">
        <v>5323</v>
      </c>
      <c r="B2744" s="66">
        <f t="shared" si="158"/>
        <v>41431</v>
      </c>
      <c r="C2744" s="67">
        <f t="shared" si="159"/>
        <v>2013</v>
      </c>
      <c r="D2744" s="68">
        <v>12.9079</v>
      </c>
      <c r="E2744" s="68">
        <v>12.816700000000001</v>
      </c>
      <c r="F2744" s="68">
        <v>12.7317</v>
      </c>
    </row>
    <row r="2745" spans="1:6">
      <c r="A2745" s="57" t="s">
        <v>5324</v>
      </c>
      <c r="B2745" s="58">
        <f t="shared" si="158"/>
        <v>41432</v>
      </c>
      <c r="C2745" s="59">
        <f t="shared" si="159"/>
        <v>2013</v>
      </c>
      <c r="D2745" s="61">
        <v>12.7173</v>
      </c>
      <c r="E2745" s="61">
        <v>12.9079</v>
      </c>
      <c r="F2745" s="61">
        <v>12.816700000000001</v>
      </c>
    </row>
    <row r="2746" spans="1:6">
      <c r="A2746" s="65" t="s">
        <v>5325</v>
      </c>
      <c r="B2746" s="66">
        <f t="shared" si="158"/>
        <v>41433</v>
      </c>
      <c r="C2746" s="67">
        <f t="shared" si="159"/>
        <v>2013</v>
      </c>
      <c r="D2746" s="70" t="s">
        <v>362</v>
      </c>
      <c r="E2746" s="70" t="s">
        <v>362</v>
      </c>
      <c r="F2746" s="68">
        <v>12.9079</v>
      </c>
    </row>
    <row r="2747" spans="1:6">
      <c r="A2747" s="57" t="s">
        <v>5326</v>
      </c>
      <c r="B2747" s="58">
        <f t="shared" si="158"/>
        <v>41434</v>
      </c>
      <c r="C2747" s="59">
        <f t="shared" si="159"/>
        <v>2013</v>
      </c>
      <c r="D2747" s="60" t="s">
        <v>362</v>
      </c>
      <c r="E2747" s="60" t="s">
        <v>362</v>
      </c>
      <c r="F2747" s="61">
        <v>12.9079</v>
      </c>
    </row>
    <row r="2748" spans="1:6">
      <c r="A2748" s="65" t="s">
        <v>5327</v>
      </c>
      <c r="B2748" s="66">
        <f t="shared" si="158"/>
        <v>41435</v>
      </c>
      <c r="C2748" s="67">
        <f t="shared" si="159"/>
        <v>2013</v>
      </c>
      <c r="D2748" s="68">
        <v>12.857200000000001</v>
      </c>
      <c r="E2748" s="68">
        <v>12.7173</v>
      </c>
      <c r="F2748" s="68">
        <v>12.9079</v>
      </c>
    </row>
    <row r="2749" spans="1:6">
      <c r="A2749" s="57" t="s">
        <v>5328</v>
      </c>
      <c r="B2749" s="58">
        <f t="shared" si="158"/>
        <v>41436</v>
      </c>
      <c r="C2749" s="59">
        <f t="shared" si="159"/>
        <v>2013</v>
      </c>
      <c r="D2749" s="61">
        <v>12.884600000000001</v>
      </c>
      <c r="E2749" s="61">
        <v>12.857200000000001</v>
      </c>
      <c r="F2749" s="61">
        <v>12.7173</v>
      </c>
    </row>
    <row r="2750" spans="1:6">
      <c r="A2750" s="65" t="s">
        <v>5329</v>
      </c>
      <c r="B2750" s="66">
        <f t="shared" si="158"/>
        <v>41437</v>
      </c>
      <c r="C2750" s="67">
        <f t="shared" si="159"/>
        <v>2013</v>
      </c>
      <c r="D2750" s="68">
        <v>12.844200000000001</v>
      </c>
      <c r="E2750" s="68">
        <v>12.884600000000001</v>
      </c>
      <c r="F2750" s="68">
        <v>12.857200000000001</v>
      </c>
    </row>
    <row r="2751" spans="1:6">
      <c r="A2751" s="57" t="s">
        <v>5330</v>
      </c>
      <c r="B2751" s="58">
        <f t="shared" si="158"/>
        <v>41438</v>
      </c>
      <c r="C2751" s="59">
        <f t="shared" si="159"/>
        <v>2013</v>
      </c>
      <c r="D2751" s="61">
        <v>12.7812</v>
      </c>
      <c r="E2751" s="61">
        <v>12.844200000000001</v>
      </c>
      <c r="F2751" s="61">
        <v>12.884600000000001</v>
      </c>
    </row>
    <row r="2752" spans="1:6">
      <c r="A2752" s="65" t="s">
        <v>5331</v>
      </c>
      <c r="B2752" s="66">
        <f t="shared" si="158"/>
        <v>41439</v>
      </c>
      <c r="C2752" s="67">
        <f t="shared" si="159"/>
        <v>2013</v>
      </c>
      <c r="D2752" s="68">
        <v>12.691599999999999</v>
      </c>
      <c r="E2752" s="68">
        <v>12.7812</v>
      </c>
      <c r="F2752" s="68">
        <v>12.844200000000001</v>
      </c>
    </row>
    <row r="2753" spans="1:6">
      <c r="A2753" s="57" t="s">
        <v>5332</v>
      </c>
      <c r="B2753" s="58">
        <f t="shared" si="158"/>
        <v>41440</v>
      </c>
      <c r="C2753" s="59">
        <f t="shared" si="159"/>
        <v>2013</v>
      </c>
      <c r="D2753" s="60" t="s">
        <v>362</v>
      </c>
      <c r="E2753" s="60" t="s">
        <v>362</v>
      </c>
      <c r="F2753" s="61">
        <v>12.7812</v>
      </c>
    </row>
    <row r="2754" spans="1:6">
      <c r="A2754" s="65" t="s">
        <v>5333</v>
      </c>
      <c r="B2754" s="66">
        <f t="shared" si="158"/>
        <v>41441</v>
      </c>
      <c r="C2754" s="67">
        <f t="shared" si="159"/>
        <v>2013</v>
      </c>
      <c r="D2754" s="70" t="s">
        <v>362</v>
      </c>
      <c r="E2754" s="70" t="s">
        <v>362</v>
      </c>
      <c r="F2754" s="68">
        <v>12.7812</v>
      </c>
    </row>
    <row r="2755" spans="1:6">
      <c r="A2755" s="57" t="s">
        <v>5334</v>
      </c>
      <c r="B2755" s="58">
        <f t="shared" si="158"/>
        <v>41442</v>
      </c>
      <c r="C2755" s="59">
        <f t="shared" si="159"/>
        <v>2013</v>
      </c>
      <c r="D2755" s="61">
        <v>12.737</v>
      </c>
      <c r="E2755" s="61">
        <v>12.691599999999999</v>
      </c>
      <c r="F2755" s="61">
        <v>12.7812</v>
      </c>
    </row>
    <row r="2756" spans="1:6">
      <c r="A2756" s="65" t="s">
        <v>5335</v>
      </c>
      <c r="B2756" s="66">
        <f t="shared" si="158"/>
        <v>41443</v>
      </c>
      <c r="C2756" s="67">
        <f t="shared" si="159"/>
        <v>2013</v>
      </c>
      <c r="D2756" s="68">
        <v>12.88</v>
      </c>
      <c r="E2756" s="68">
        <v>12.737</v>
      </c>
      <c r="F2756" s="68">
        <v>12.691599999999999</v>
      </c>
    </row>
    <row r="2757" spans="1:6">
      <c r="A2757" s="57" t="s">
        <v>5336</v>
      </c>
      <c r="B2757" s="58">
        <f t="shared" si="158"/>
        <v>41444</v>
      </c>
      <c r="C2757" s="59">
        <f t="shared" si="159"/>
        <v>2013</v>
      </c>
      <c r="D2757" s="61">
        <v>12.8695</v>
      </c>
      <c r="E2757" s="61">
        <v>12.88</v>
      </c>
      <c r="F2757" s="61">
        <v>12.737</v>
      </c>
    </row>
    <row r="2758" spans="1:6">
      <c r="A2758" s="65" t="s">
        <v>5337</v>
      </c>
      <c r="B2758" s="66">
        <f t="shared" si="158"/>
        <v>41445</v>
      </c>
      <c r="C2758" s="67">
        <f t="shared" si="159"/>
        <v>2013</v>
      </c>
      <c r="D2758" s="68">
        <v>13.4015</v>
      </c>
      <c r="E2758" s="68">
        <v>12.8695</v>
      </c>
      <c r="F2758" s="68">
        <v>12.88</v>
      </c>
    </row>
    <row r="2759" spans="1:6">
      <c r="A2759" s="57" t="s">
        <v>5338</v>
      </c>
      <c r="B2759" s="58">
        <f t="shared" si="158"/>
        <v>41446</v>
      </c>
      <c r="C2759" s="59">
        <f t="shared" si="159"/>
        <v>2013</v>
      </c>
      <c r="D2759" s="61">
        <v>13.4041</v>
      </c>
      <c r="E2759" s="61">
        <v>13.4015</v>
      </c>
      <c r="F2759" s="61">
        <v>12.8695</v>
      </c>
    </row>
    <row r="2760" spans="1:6">
      <c r="A2760" s="65" t="s">
        <v>5339</v>
      </c>
      <c r="B2760" s="66">
        <f t="shared" si="158"/>
        <v>41447</v>
      </c>
      <c r="C2760" s="67">
        <f t="shared" si="159"/>
        <v>2013</v>
      </c>
      <c r="D2760" s="70" t="s">
        <v>362</v>
      </c>
      <c r="E2760" s="70" t="s">
        <v>362</v>
      </c>
      <c r="F2760" s="68">
        <v>13.4015</v>
      </c>
    </row>
    <row r="2761" spans="1:6">
      <c r="A2761" s="57" t="s">
        <v>5340</v>
      </c>
      <c r="B2761" s="58">
        <f t="shared" si="158"/>
        <v>41448</v>
      </c>
      <c r="C2761" s="59">
        <f t="shared" si="159"/>
        <v>2013</v>
      </c>
      <c r="D2761" s="60" t="s">
        <v>362</v>
      </c>
      <c r="E2761" s="60" t="s">
        <v>362</v>
      </c>
      <c r="F2761" s="61">
        <v>13.4015</v>
      </c>
    </row>
    <row r="2762" spans="1:6">
      <c r="A2762" s="65" t="s">
        <v>5341</v>
      </c>
      <c r="B2762" s="66">
        <f t="shared" si="158"/>
        <v>41449</v>
      </c>
      <c r="C2762" s="67">
        <f t="shared" si="159"/>
        <v>2013</v>
      </c>
      <c r="D2762" s="68">
        <v>13.396599999999999</v>
      </c>
      <c r="E2762" s="68">
        <v>13.4041</v>
      </c>
      <c r="F2762" s="68">
        <v>13.4015</v>
      </c>
    </row>
    <row r="2763" spans="1:6">
      <c r="A2763" s="57" t="s">
        <v>5342</v>
      </c>
      <c r="B2763" s="58">
        <f t="shared" si="158"/>
        <v>41450</v>
      </c>
      <c r="C2763" s="59">
        <f t="shared" si="159"/>
        <v>2013</v>
      </c>
      <c r="D2763" s="61">
        <v>13.2424</v>
      </c>
      <c r="E2763" s="61">
        <v>13.396599999999999</v>
      </c>
      <c r="F2763" s="61">
        <v>13.4041</v>
      </c>
    </row>
    <row r="2764" spans="1:6">
      <c r="A2764" s="65" t="s">
        <v>5343</v>
      </c>
      <c r="B2764" s="66">
        <f t="shared" si="158"/>
        <v>41451</v>
      </c>
      <c r="C2764" s="67">
        <f t="shared" si="159"/>
        <v>2013</v>
      </c>
      <c r="D2764" s="68">
        <v>13.1884</v>
      </c>
      <c r="E2764" s="68">
        <v>13.2424</v>
      </c>
      <c r="F2764" s="68">
        <v>13.396599999999999</v>
      </c>
    </row>
    <row r="2765" spans="1:6">
      <c r="A2765" s="57" t="s">
        <v>5344</v>
      </c>
      <c r="B2765" s="58">
        <f t="shared" si="158"/>
        <v>41452</v>
      </c>
      <c r="C2765" s="59">
        <f t="shared" si="159"/>
        <v>2013</v>
      </c>
      <c r="D2765" s="61">
        <v>13.0235</v>
      </c>
      <c r="E2765" s="61">
        <v>13.1884</v>
      </c>
      <c r="F2765" s="61">
        <v>13.2424</v>
      </c>
    </row>
    <row r="2766" spans="1:6">
      <c r="A2766" s="65" t="s">
        <v>5345</v>
      </c>
      <c r="B2766" s="66">
        <f t="shared" si="158"/>
        <v>41453</v>
      </c>
      <c r="C2766" s="67">
        <f t="shared" si="159"/>
        <v>2013</v>
      </c>
      <c r="D2766" s="68">
        <v>13.027900000000001</v>
      </c>
      <c r="E2766" s="68">
        <v>13.0235</v>
      </c>
      <c r="F2766" s="68">
        <v>13.1884</v>
      </c>
    </row>
    <row r="2767" spans="1:6">
      <c r="A2767" s="57" t="s">
        <v>5346</v>
      </c>
      <c r="B2767" s="58">
        <f t="shared" si="158"/>
        <v>41454</v>
      </c>
      <c r="C2767" s="59">
        <f t="shared" si="159"/>
        <v>2013</v>
      </c>
      <c r="D2767" s="60" t="s">
        <v>362</v>
      </c>
      <c r="E2767" s="60" t="s">
        <v>362</v>
      </c>
      <c r="F2767" s="61">
        <v>13.0235</v>
      </c>
    </row>
    <row r="2768" spans="1:6">
      <c r="A2768" s="65" t="s">
        <v>5347</v>
      </c>
      <c r="B2768" s="66">
        <f t="shared" si="158"/>
        <v>41455</v>
      </c>
      <c r="C2768" s="67">
        <f t="shared" si="159"/>
        <v>2013</v>
      </c>
      <c r="D2768" s="70" t="s">
        <v>362</v>
      </c>
      <c r="E2768" s="70" t="s">
        <v>362</v>
      </c>
      <c r="F2768" s="68">
        <v>13.0235</v>
      </c>
    </row>
    <row r="2769" spans="1:6">
      <c r="A2769" s="57" t="s">
        <v>5348</v>
      </c>
      <c r="B2769" s="58">
        <f t="shared" si="158"/>
        <v>41456</v>
      </c>
      <c r="C2769" s="59">
        <f t="shared" si="159"/>
        <v>2013</v>
      </c>
      <c r="D2769" s="61">
        <v>12.9131</v>
      </c>
      <c r="E2769" s="61">
        <v>13.027900000000001</v>
      </c>
      <c r="F2769" s="61">
        <v>13.0235</v>
      </c>
    </row>
    <row r="2770" spans="1:6">
      <c r="A2770" s="65" t="s">
        <v>5349</v>
      </c>
      <c r="B2770" s="66">
        <f t="shared" si="158"/>
        <v>41457</v>
      </c>
      <c r="C2770" s="67">
        <f t="shared" si="159"/>
        <v>2013</v>
      </c>
      <c r="D2770" s="68">
        <v>12.984999999999999</v>
      </c>
      <c r="E2770" s="68">
        <v>12.9131</v>
      </c>
      <c r="F2770" s="68">
        <v>13.027900000000001</v>
      </c>
    </row>
    <row r="2771" spans="1:6">
      <c r="A2771" s="57" t="s">
        <v>5350</v>
      </c>
      <c r="B2771" s="58">
        <f t="shared" si="158"/>
        <v>41458</v>
      </c>
      <c r="C2771" s="59">
        <f t="shared" si="159"/>
        <v>2013</v>
      </c>
      <c r="D2771" s="61">
        <v>13.037699999999999</v>
      </c>
      <c r="E2771" s="61">
        <v>12.984999999999999</v>
      </c>
      <c r="F2771" s="61">
        <v>12.9131</v>
      </c>
    </row>
    <row r="2772" spans="1:6">
      <c r="A2772" s="65" t="s">
        <v>5351</v>
      </c>
      <c r="B2772" s="66">
        <f t="shared" si="158"/>
        <v>41459</v>
      </c>
      <c r="C2772" s="67">
        <f t="shared" si="159"/>
        <v>2013</v>
      </c>
      <c r="D2772" s="68">
        <v>12.8902</v>
      </c>
      <c r="E2772" s="68">
        <v>13.037699999999999</v>
      </c>
      <c r="F2772" s="68">
        <v>12.984999999999999</v>
      </c>
    </row>
    <row r="2773" spans="1:6">
      <c r="A2773" s="57" t="s">
        <v>5352</v>
      </c>
      <c r="B2773" s="58">
        <f t="shared" si="158"/>
        <v>41460</v>
      </c>
      <c r="C2773" s="59">
        <f t="shared" si="159"/>
        <v>2013</v>
      </c>
      <c r="D2773" s="61">
        <v>13.056699999999999</v>
      </c>
      <c r="E2773" s="61">
        <v>12.8902</v>
      </c>
      <c r="F2773" s="61">
        <v>13.037699999999999</v>
      </c>
    </row>
    <row r="2774" spans="1:6">
      <c r="A2774" s="65" t="s">
        <v>5353</v>
      </c>
      <c r="B2774" s="66">
        <f t="shared" si="158"/>
        <v>41461</v>
      </c>
      <c r="C2774" s="67">
        <f t="shared" si="159"/>
        <v>2013</v>
      </c>
      <c r="D2774" s="70" t="s">
        <v>362</v>
      </c>
      <c r="E2774" s="70" t="s">
        <v>362</v>
      </c>
      <c r="F2774" s="68">
        <v>12.8902</v>
      </c>
    </row>
    <row r="2775" spans="1:6">
      <c r="A2775" s="57" t="s">
        <v>5354</v>
      </c>
      <c r="B2775" s="58">
        <f t="shared" si="158"/>
        <v>41462</v>
      </c>
      <c r="C2775" s="59">
        <f t="shared" si="159"/>
        <v>2013</v>
      </c>
      <c r="D2775" s="60" t="s">
        <v>362</v>
      </c>
      <c r="E2775" s="60" t="s">
        <v>362</v>
      </c>
      <c r="F2775" s="61">
        <v>12.8902</v>
      </c>
    </row>
    <row r="2776" spans="1:6">
      <c r="A2776" s="65" t="s">
        <v>5355</v>
      </c>
      <c r="B2776" s="66">
        <f t="shared" si="158"/>
        <v>41463</v>
      </c>
      <c r="C2776" s="67">
        <f t="shared" si="159"/>
        <v>2013</v>
      </c>
      <c r="D2776" s="68">
        <v>12.9267</v>
      </c>
      <c r="E2776" s="68">
        <v>13.056699999999999</v>
      </c>
      <c r="F2776" s="68">
        <v>12.8902</v>
      </c>
    </row>
    <row r="2777" spans="1:6">
      <c r="A2777" s="57" t="s">
        <v>5356</v>
      </c>
      <c r="B2777" s="58">
        <f t="shared" si="158"/>
        <v>41464</v>
      </c>
      <c r="C2777" s="59">
        <f t="shared" si="159"/>
        <v>2013</v>
      </c>
      <c r="D2777" s="61">
        <v>12.865399999999999</v>
      </c>
      <c r="E2777" s="61">
        <v>12.9267</v>
      </c>
      <c r="F2777" s="61">
        <v>13.056699999999999</v>
      </c>
    </row>
    <row r="2778" spans="1:6">
      <c r="A2778" s="65" t="s">
        <v>5357</v>
      </c>
      <c r="B2778" s="66">
        <f t="shared" si="158"/>
        <v>41465</v>
      </c>
      <c r="C2778" s="67">
        <f t="shared" si="159"/>
        <v>2013</v>
      </c>
      <c r="D2778" s="68">
        <v>12.949400000000001</v>
      </c>
      <c r="E2778" s="68">
        <v>12.865399999999999</v>
      </c>
      <c r="F2778" s="68">
        <v>12.9267</v>
      </c>
    </row>
    <row r="2779" spans="1:6">
      <c r="A2779" s="57" t="s">
        <v>5358</v>
      </c>
      <c r="B2779" s="58">
        <f t="shared" si="158"/>
        <v>41466</v>
      </c>
      <c r="C2779" s="59">
        <f t="shared" si="159"/>
        <v>2013</v>
      </c>
      <c r="D2779" s="61">
        <v>12.8599</v>
      </c>
      <c r="E2779" s="61">
        <v>12.949400000000001</v>
      </c>
      <c r="F2779" s="61">
        <v>12.865399999999999</v>
      </c>
    </row>
    <row r="2780" spans="1:6">
      <c r="A2780" s="65" t="s">
        <v>5359</v>
      </c>
      <c r="B2780" s="66">
        <f t="shared" si="158"/>
        <v>41467</v>
      </c>
      <c r="C2780" s="67">
        <f t="shared" si="159"/>
        <v>2013</v>
      </c>
      <c r="D2780" s="68">
        <v>12.823399999999999</v>
      </c>
      <c r="E2780" s="68">
        <v>12.8599</v>
      </c>
      <c r="F2780" s="68">
        <v>12.949400000000001</v>
      </c>
    </row>
    <row r="2781" spans="1:6">
      <c r="A2781" s="57" t="s">
        <v>5360</v>
      </c>
      <c r="B2781" s="58">
        <f t="shared" si="158"/>
        <v>41468</v>
      </c>
      <c r="C2781" s="59">
        <f t="shared" si="159"/>
        <v>2013</v>
      </c>
      <c r="D2781" s="60" t="s">
        <v>362</v>
      </c>
      <c r="E2781" s="60" t="s">
        <v>362</v>
      </c>
      <c r="F2781" s="61">
        <v>12.8599</v>
      </c>
    </row>
    <row r="2782" spans="1:6">
      <c r="A2782" s="65" t="s">
        <v>5361</v>
      </c>
      <c r="B2782" s="66">
        <f t="shared" si="158"/>
        <v>41469</v>
      </c>
      <c r="C2782" s="67">
        <f t="shared" si="159"/>
        <v>2013</v>
      </c>
      <c r="D2782" s="70" t="s">
        <v>362</v>
      </c>
      <c r="E2782" s="70" t="s">
        <v>362</v>
      </c>
      <c r="F2782" s="68">
        <v>12.8599</v>
      </c>
    </row>
    <row r="2783" spans="1:6">
      <c r="A2783" s="57" t="s">
        <v>5362</v>
      </c>
      <c r="B2783" s="58">
        <f t="shared" ref="B2783:B2846" si="160">DATE(RIGHT(A2783,4),LEFT(RIGHT(A2783,7),2),LEFT(A2783,2))</f>
        <v>41470</v>
      </c>
      <c r="C2783" s="59">
        <f t="shared" ref="C2783:C2846" si="161">YEAR(B2783)</f>
        <v>2013</v>
      </c>
      <c r="D2783" s="61">
        <v>12.7387</v>
      </c>
      <c r="E2783" s="61">
        <v>12.823399999999999</v>
      </c>
      <c r="F2783" s="61">
        <v>12.8599</v>
      </c>
    </row>
    <row r="2784" spans="1:6">
      <c r="A2784" s="65" t="s">
        <v>5363</v>
      </c>
      <c r="B2784" s="66">
        <f t="shared" si="160"/>
        <v>41471</v>
      </c>
      <c r="C2784" s="67">
        <f t="shared" si="161"/>
        <v>2013</v>
      </c>
      <c r="D2784" s="68">
        <v>12.629899999999999</v>
      </c>
      <c r="E2784" s="68">
        <v>12.7387</v>
      </c>
      <c r="F2784" s="68">
        <v>12.823399999999999</v>
      </c>
    </row>
    <row r="2785" spans="1:6">
      <c r="A2785" s="57" t="s">
        <v>5364</v>
      </c>
      <c r="B2785" s="58">
        <f t="shared" si="160"/>
        <v>41472</v>
      </c>
      <c r="C2785" s="59">
        <f t="shared" si="161"/>
        <v>2013</v>
      </c>
      <c r="D2785" s="61">
        <v>12.545500000000001</v>
      </c>
      <c r="E2785" s="61">
        <v>12.629899999999999</v>
      </c>
      <c r="F2785" s="61">
        <v>12.7387</v>
      </c>
    </row>
    <row r="2786" spans="1:6">
      <c r="A2786" s="65" t="s">
        <v>5365</v>
      </c>
      <c r="B2786" s="66">
        <f t="shared" si="160"/>
        <v>41473</v>
      </c>
      <c r="C2786" s="67">
        <f t="shared" si="161"/>
        <v>2013</v>
      </c>
      <c r="D2786" s="68">
        <v>12.4976</v>
      </c>
      <c r="E2786" s="68">
        <v>12.545500000000001</v>
      </c>
      <c r="F2786" s="68">
        <v>12.629899999999999</v>
      </c>
    </row>
    <row r="2787" spans="1:6">
      <c r="A2787" s="57" t="s">
        <v>5366</v>
      </c>
      <c r="B2787" s="58">
        <f t="shared" si="160"/>
        <v>41474</v>
      </c>
      <c r="C2787" s="59">
        <f t="shared" si="161"/>
        <v>2013</v>
      </c>
      <c r="D2787" s="61">
        <v>12.549899999999999</v>
      </c>
      <c r="E2787" s="61">
        <v>12.4976</v>
      </c>
      <c r="F2787" s="61">
        <v>12.545500000000001</v>
      </c>
    </row>
    <row r="2788" spans="1:6">
      <c r="A2788" s="65" t="s">
        <v>5367</v>
      </c>
      <c r="B2788" s="66">
        <f t="shared" si="160"/>
        <v>41475</v>
      </c>
      <c r="C2788" s="67">
        <f t="shared" si="161"/>
        <v>2013</v>
      </c>
      <c r="D2788" s="70" t="s">
        <v>362</v>
      </c>
      <c r="E2788" s="70" t="s">
        <v>362</v>
      </c>
      <c r="F2788" s="68">
        <v>12.4976</v>
      </c>
    </row>
    <row r="2789" spans="1:6">
      <c r="A2789" s="57" t="s">
        <v>5368</v>
      </c>
      <c r="B2789" s="58">
        <f t="shared" si="160"/>
        <v>41476</v>
      </c>
      <c r="C2789" s="59">
        <f t="shared" si="161"/>
        <v>2013</v>
      </c>
      <c r="D2789" s="60" t="s">
        <v>362</v>
      </c>
      <c r="E2789" s="60" t="s">
        <v>362</v>
      </c>
      <c r="F2789" s="61">
        <v>12.4976</v>
      </c>
    </row>
    <row r="2790" spans="1:6">
      <c r="A2790" s="65" t="s">
        <v>5369</v>
      </c>
      <c r="B2790" s="66">
        <f t="shared" si="160"/>
        <v>41477</v>
      </c>
      <c r="C2790" s="67">
        <f t="shared" si="161"/>
        <v>2013</v>
      </c>
      <c r="D2790" s="68">
        <v>12.5054</v>
      </c>
      <c r="E2790" s="68">
        <v>12.549899999999999</v>
      </c>
      <c r="F2790" s="68">
        <v>12.4976</v>
      </c>
    </row>
    <row r="2791" spans="1:6">
      <c r="A2791" s="57" t="s">
        <v>5370</v>
      </c>
      <c r="B2791" s="58">
        <f t="shared" si="160"/>
        <v>41478</v>
      </c>
      <c r="C2791" s="59">
        <f t="shared" si="161"/>
        <v>2013</v>
      </c>
      <c r="D2791" s="61">
        <v>12.5093</v>
      </c>
      <c r="E2791" s="61">
        <v>12.5054</v>
      </c>
      <c r="F2791" s="61">
        <v>12.549899999999999</v>
      </c>
    </row>
    <row r="2792" spans="1:6">
      <c r="A2792" s="65" t="s">
        <v>5371</v>
      </c>
      <c r="B2792" s="66">
        <f t="shared" si="160"/>
        <v>41479</v>
      </c>
      <c r="C2792" s="67">
        <f t="shared" si="161"/>
        <v>2013</v>
      </c>
      <c r="D2792" s="68">
        <v>12.632999999999999</v>
      </c>
      <c r="E2792" s="68">
        <v>12.5093</v>
      </c>
      <c r="F2792" s="68">
        <v>12.5054</v>
      </c>
    </row>
    <row r="2793" spans="1:6">
      <c r="A2793" s="57" t="s">
        <v>5372</v>
      </c>
      <c r="B2793" s="58">
        <f t="shared" si="160"/>
        <v>41480</v>
      </c>
      <c r="C2793" s="59">
        <f t="shared" si="161"/>
        <v>2013</v>
      </c>
      <c r="D2793" s="61">
        <v>12.646800000000001</v>
      </c>
      <c r="E2793" s="61">
        <v>12.632999999999999</v>
      </c>
      <c r="F2793" s="61">
        <v>12.5093</v>
      </c>
    </row>
    <row r="2794" spans="1:6">
      <c r="A2794" s="65" t="s">
        <v>5373</v>
      </c>
      <c r="B2794" s="66">
        <f t="shared" si="160"/>
        <v>41481</v>
      </c>
      <c r="C2794" s="67">
        <f t="shared" si="161"/>
        <v>2013</v>
      </c>
      <c r="D2794" s="68">
        <v>12.709099999999999</v>
      </c>
      <c r="E2794" s="68">
        <v>12.646800000000001</v>
      </c>
      <c r="F2794" s="68">
        <v>12.632999999999999</v>
      </c>
    </row>
    <row r="2795" spans="1:6">
      <c r="A2795" s="57" t="s">
        <v>5374</v>
      </c>
      <c r="B2795" s="58">
        <f t="shared" si="160"/>
        <v>41482</v>
      </c>
      <c r="C2795" s="59">
        <f t="shared" si="161"/>
        <v>2013</v>
      </c>
      <c r="D2795" s="60" t="s">
        <v>362</v>
      </c>
      <c r="E2795" s="60" t="s">
        <v>362</v>
      </c>
      <c r="F2795" s="61">
        <v>12.646800000000001</v>
      </c>
    </row>
    <row r="2796" spans="1:6">
      <c r="A2796" s="65" t="s">
        <v>5375</v>
      </c>
      <c r="B2796" s="66">
        <f t="shared" si="160"/>
        <v>41483</v>
      </c>
      <c r="C2796" s="67">
        <f t="shared" si="161"/>
        <v>2013</v>
      </c>
      <c r="D2796" s="70" t="s">
        <v>362</v>
      </c>
      <c r="E2796" s="70" t="s">
        <v>362</v>
      </c>
      <c r="F2796" s="68">
        <v>12.646800000000001</v>
      </c>
    </row>
    <row r="2797" spans="1:6">
      <c r="A2797" s="57" t="s">
        <v>5376</v>
      </c>
      <c r="B2797" s="58">
        <f t="shared" si="160"/>
        <v>41484</v>
      </c>
      <c r="C2797" s="59">
        <f t="shared" si="161"/>
        <v>2013</v>
      </c>
      <c r="D2797" s="61">
        <v>12.732100000000001</v>
      </c>
      <c r="E2797" s="61">
        <v>12.709099999999999</v>
      </c>
      <c r="F2797" s="61">
        <v>12.646800000000001</v>
      </c>
    </row>
    <row r="2798" spans="1:6">
      <c r="A2798" s="65" t="s">
        <v>5377</v>
      </c>
      <c r="B2798" s="66">
        <f t="shared" si="160"/>
        <v>41485</v>
      </c>
      <c r="C2798" s="67">
        <f t="shared" si="161"/>
        <v>2013</v>
      </c>
      <c r="D2798" s="68">
        <v>12.763500000000001</v>
      </c>
      <c r="E2798" s="68">
        <v>12.732100000000001</v>
      </c>
      <c r="F2798" s="68">
        <v>12.709099999999999</v>
      </c>
    </row>
    <row r="2799" spans="1:6">
      <c r="A2799" s="57" t="s">
        <v>5378</v>
      </c>
      <c r="B2799" s="58">
        <f t="shared" si="160"/>
        <v>41486</v>
      </c>
      <c r="C2799" s="59">
        <f t="shared" si="161"/>
        <v>2013</v>
      </c>
      <c r="D2799" s="61">
        <v>12.846399999999999</v>
      </c>
      <c r="E2799" s="61">
        <v>12.763500000000001</v>
      </c>
      <c r="F2799" s="61">
        <v>12.732100000000001</v>
      </c>
    </row>
    <row r="2800" spans="1:6">
      <c r="A2800" s="65" t="s">
        <v>5379</v>
      </c>
      <c r="B2800" s="66">
        <f t="shared" si="160"/>
        <v>41487</v>
      </c>
      <c r="C2800" s="67">
        <f t="shared" si="161"/>
        <v>2013</v>
      </c>
      <c r="D2800" s="68">
        <v>12.806800000000001</v>
      </c>
      <c r="E2800" s="68">
        <v>12.846399999999999</v>
      </c>
      <c r="F2800" s="68">
        <v>12.763500000000001</v>
      </c>
    </row>
    <row r="2801" spans="1:6">
      <c r="A2801" s="57" t="s">
        <v>5380</v>
      </c>
      <c r="B2801" s="58">
        <f t="shared" si="160"/>
        <v>41488</v>
      </c>
      <c r="C2801" s="59">
        <f t="shared" si="161"/>
        <v>2013</v>
      </c>
      <c r="D2801" s="61">
        <v>12.6904</v>
      </c>
      <c r="E2801" s="61">
        <v>12.806800000000001</v>
      </c>
      <c r="F2801" s="61">
        <v>12.846399999999999</v>
      </c>
    </row>
    <row r="2802" spans="1:6">
      <c r="A2802" s="65" t="s">
        <v>5381</v>
      </c>
      <c r="B2802" s="66">
        <f t="shared" si="160"/>
        <v>41489</v>
      </c>
      <c r="C2802" s="67">
        <f t="shared" si="161"/>
        <v>2013</v>
      </c>
      <c r="D2802" s="70" t="s">
        <v>362</v>
      </c>
      <c r="E2802" s="70" t="s">
        <v>362</v>
      </c>
      <c r="F2802" s="68">
        <v>12.806800000000001</v>
      </c>
    </row>
    <row r="2803" spans="1:6">
      <c r="A2803" s="57" t="s">
        <v>5382</v>
      </c>
      <c r="B2803" s="58">
        <f t="shared" si="160"/>
        <v>41490</v>
      </c>
      <c r="C2803" s="59">
        <f t="shared" si="161"/>
        <v>2013</v>
      </c>
      <c r="D2803" s="60" t="s">
        <v>362</v>
      </c>
      <c r="E2803" s="60" t="s">
        <v>362</v>
      </c>
      <c r="F2803" s="61">
        <v>12.806800000000001</v>
      </c>
    </row>
    <row r="2804" spans="1:6">
      <c r="A2804" s="65" t="s">
        <v>5383</v>
      </c>
      <c r="B2804" s="66">
        <f t="shared" si="160"/>
        <v>41491</v>
      </c>
      <c r="C2804" s="67">
        <f t="shared" si="161"/>
        <v>2013</v>
      </c>
      <c r="D2804" s="68">
        <v>12.6759</v>
      </c>
      <c r="E2804" s="68">
        <v>12.6904</v>
      </c>
      <c r="F2804" s="68">
        <v>12.806800000000001</v>
      </c>
    </row>
    <row r="2805" spans="1:6">
      <c r="A2805" s="57" t="s">
        <v>5384</v>
      </c>
      <c r="B2805" s="58">
        <f t="shared" si="160"/>
        <v>41492</v>
      </c>
      <c r="C2805" s="59">
        <f t="shared" si="161"/>
        <v>2013</v>
      </c>
      <c r="D2805" s="61">
        <v>12.644500000000001</v>
      </c>
      <c r="E2805" s="61">
        <v>12.6759</v>
      </c>
      <c r="F2805" s="61">
        <v>12.6904</v>
      </c>
    </row>
    <row r="2806" spans="1:6">
      <c r="A2806" s="65" t="s">
        <v>5385</v>
      </c>
      <c r="B2806" s="66">
        <f t="shared" si="160"/>
        <v>41493</v>
      </c>
      <c r="C2806" s="67">
        <f t="shared" si="161"/>
        <v>2013</v>
      </c>
      <c r="D2806" s="68">
        <v>12.6989</v>
      </c>
      <c r="E2806" s="68">
        <v>12.644500000000001</v>
      </c>
      <c r="F2806" s="68">
        <v>12.6759</v>
      </c>
    </row>
    <row r="2807" spans="1:6">
      <c r="A2807" s="57" t="s">
        <v>5386</v>
      </c>
      <c r="B2807" s="58">
        <f t="shared" si="160"/>
        <v>41494</v>
      </c>
      <c r="C2807" s="59">
        <f t="shared" si="161"/>
        <v>2013</v>
      </c>
      <c r="D2807" s="61">
        <v>12.646000000000001</v>
      </c>
      <c r="E2807" s="61">
        <v>12.6989</v>
      </c>
      <c r="F2807" s="61">
        <v>12.644500000000001</v>
      </c>
    </row>
    <row r="2808" spans="1:6">
      <c r="A2808" s="65" t="s">
        <v>5387</v>
      </c>
      <c r="B2808" s="66">
        <f t="shared" si="160"/>
        <v>41495</v>
      </c>
      <c r="C2808" s="67">
        <f t="shared" si="161"/>
        <v>2013</v>
      </c>
      <c r="D2808" s="68">
        <v>12.588900000000001</v>
      </c>
      <c r="E2808" s="68">
        <v>12.646000000000001</v>
      </c>
      <c r="F2808" s="68">
        <v>12.6989</v>
      </c>
    </row>
    <row r="2809" spans="1:6">
      <c r="A2809" s="57" t="s">
        <v>5388</v>
      </c>
      <c r="B2809" s="58">
        <f t="shared" si="160"/>
        <v>41496</v>
      </c>
      <c r="C2809" s="59">
        <f t="shared" si="161"/>
        <v>2013</v>
      </c>
      <c r="D2809" s="60" t="s">
        <v>362</v>
      </c>
      <c r="E2809" s="60" t="s">
        <v>362</v>
      </c>
      <c r="F2809" s="61">
        <v>12.646000000000001</v>
      </c>
    </row>
    <row r="2810" spans="1:6">
      <c r="A2810" s="65" t="s">
        <v>5389</v>
      </c>
      <c r="B2810" s="66">
        <f t="shared" si="160"/>
        <v>41497</v>
      </c>
      <c r="C2810" s="67">
        <f t="shared" si="161"/>
        <v>2013</v>
      </c>
      <c r="D2810" s="70" t="s">
        <v>362</v>
      </c>
      <c r="E2810" s="70" t="s">
        <v>362</v>
      </c>
      <c r="F2810" s="68">
        <v>12.646000000000001</v>
      </c>
    </row>
    <row r="2811" spans="1:6">
      <c r="A2811" s="57" t="s">
        <v>5390</v>
      </c>
      <c r="B2811" s="58">
        <f t="shared" si="160"/>
        <v>41498</v>
      </c>
      <c r="C2811" s="59">
        <f t="shared" si="161"/>
        <v>2013</v>
      </c>
      <c r="D2811" s="61">
        <v>12.566599999999999</v>
      </c>
      <c r="E2811" s="61">
        <v>12.588900000000001</v>
      </c>
      <c r="F2811" s="61">
        <v>12.646000000000001</v>
      </c>
    </row>
    <row r="2812" spans="1:6">
      <c r="A2812" s="65" t="s">
        <v>5391</v>
      </c>
      <c r="B2812" s="66">
        <f t="shared" si="160"/>
        <v>41499</v>
      </c>
      <c r="C2812" s="67">
        <f t="shared" si="161"/>
        <v>2013</v>
      </c>
      <c r="D2812" s="68">
        <v>12.7545</v>
      </c>
      <c r="E2812" s="68">
        <v>12.566599999999999</v>
      </c>
      <c r="F2812" s="68">
        <v>12.588900000000001</v>
      </c>
    </row>
    <row r="2813" spans="1:6">
      <c r="A2813" s="57" t="s">
        <v>5392</v>
      </c>
      <c r="B2813" s="58">
        <f t="shared" si="160"/>
        <v>41500</v>
      </c>
      <c r="C2813" s="59">
        <f t="shared" si="161"/>
        <v>2013</v>
      </c>
      <c r="D2813" s="61">
        <v>12.7255</v>
      </c>
      <c r="E2813" s="61">
        <v>12.7545</v>
      </c>
      <c r="F2813" s="61">
        <v>12.566599999999999</v>
      </c>
    </row>
    <row r="2814" spans="1:6">
      <c r="A2814" s="65" t="s">
        <v>5393</v>
      </c>
      <c r="B2814" s="66">
        <f t="shared" si="160"/>
        <v>41501</v>
      </c>
      <c r="C2814" s="67">
        <f t="shared" si="161"/>
        <v>2013</v>
      </c>
      <c r="D2814" s="68">
        <v>12.862500000000001</v>
      </c>
      <c r="E2814" s="68">
        <v>12.7255</v>
      </c>
      <c r="F2814" s="68">
        <v>12.7545</v>
      </c>
    </row>
    <row r="2815" spans="1:6">
      <c r="A2815" s="57" t="s">
        <v>5394</v>
      </c>
      <c r="B2815" s="58">
        <f t="shared" si="160"/>
        <v>41502</v>
      </c>
      <c r="C2815" s="59">
        <f t="shared" si="161"/>
        <v>2013</v>
      </c>
      <c r="D2815" s="61">
        <v>12.872199999999999</v>
      </c>
      <c r="E2815" s="61">
        <v>12.862500000000001</v>
      </c>
      <c r="F2815" s="61">
        <v>12.7255</v>
      </c>
    </row>
    <row r="2816" spans="1:6">
      <c r="A2816" s="65" t="s">
        <v>5395</v>
      </c>
      <c r="B2816" s="66">
        <f t="shared" si="160"/>
        <v>41503</v>
      </c>
      <c r="C2816" s="67">
        <f t="shared" si="161"/>
        <v>2013</v>
      </c>
      <c r="D2816" s="70" t="s">
        <v>362</v>
      </c>
      <c r="E2816" s="70" t="s">
        <v>362</v>
      </c>
      <c r="F2816" s="68">
        <v>12.862500000000001</v>
      </c>
    </row>
    <row r="2817" spans="1:6">
      <c r="A2817" s="57" t="s">
        <v>5396</v>
      </c>
      <c r="B2817" s="58">
        <f t="shared" si="160"/>
        <v>41504</v>
      </c>
      <c r="C2817" s="59">
        <f t="shared" si="161"/>
        <v>2013</v>
      </c>
      <c r="D2817" s="60" t="s">
        <v>362</v>
      </c>
      <c r="E2817" s="60" t="s">
        <v>362</v>
      </c>
      <c r="F2817" s="61">
        <v>12.862500000000001</v>
      </c>
    </row>
    <row r="2818" spans="1:6">
      <c r="A2818" s="65" t="s">
        <v>5397</v>
      </c>
      <c r="B2818" s="66">
        <f t="shared" si="160"/>
        <v>41505</v>
      </c>
      <c r="C2818" s="67">
        <f t="shared" si="161"/>
        <v>2013</v>
      </c>
      <c r="D2818" s="68">
        <v>13.0124</v>
      </c>
      <c r="E2818" s="68">
        <v>12.872199999999999</v>
      </c>
      <c r="F2818" s="68">
        <v>12.862500000000001</v>
      </c>
    </row>
    <row r="2819" spans="1:6">
      <c r="A2819" s="57" t="s">
        <v>5398</v>
      </c>
      <c r="B2819" s="58">
        <f t="shared" si="160"/>
        <v>41506</v>
      </c>
      <c r="C2819" s="59">
        <f t="shared" si="161"/>
        <v>2013</v>
      </c>
      <c r="D2819" s="61">
        <v>13.006399999999999</v>
      </c>
      <c r="E2819" s="61">
        <v>13.0124</v>
      </c>
      <c r="F2819" s="61">
        <v>12.872199999999999</v>
      </c>
    </row>
    <row r="2820" spans="1:6">
      <c r="A2820" s="65" t="s">
        <v>5399</v>
      </c>
      <c r="B2820" s="66">
        <f t="shared" si="160"/>
        <v>41507</v>
      </c>
      <c r="C2820" s="67">
        <f t="shared" si="161"/>
        <v>2013</v>
      </c>
      <c r="D2820" s="68">
        <v>13.1424</v>
      </c>
      <c r="E2820" s="68">
        <v>13.006399999999999</v>
      </c>
      <c r="F2820" s="68">
        <v>13.0124</v>
      </c>
    </row>
    <row r="2821" spans="1:6">
      <c r="A2821" s="57" t="s">
        <v>5400</v>
      </c>
      <c r="B2821" s="58">
        <f t="shared" si="160"/>
        <v>41508</v>
      </c>
      <c r="C2821" s="59">
        <f t="shared" si="161"/>
        <v>2013</v>
      </c>
      <c r="D2821" s="61">
        <v>13.1486</v>
      </c>
      <c r="E2821" s="61">
        <v>13.1424</v>
      </c>
      <c r="F2821" s="61">
        <v>13.006399999999999</v>
      </c>
    </row>
    <row r="2822" spans="1:6">
      <c r="A2822" s="65" t="s">
        <v>5401</v>
      </c>
      <c r="B2822" s="66">
        <f t="shared" si="160"/>
        <v>41509</v>
      </c>
      <c r="C2822" s="67">
        <f t="shared" si="161"/>
        <v>2013</v>
      </c>
      <c r="D2822" s="68">
        <v>12.9979</v>
      </c>
      <c r="E2822" s="68">
        <v>13.1486</v>
      </c>
      <c r="F2822" s="68">
        <v>13.1424</v>
      </c>
    </row>
    <row r="2823" spans="1:6">
      <c r="A2823" s="57" t="s">
        <v>5402</v>
      </c>
      <c r="B2823" s="58">
        <f t="shared" si="160"/>
        <v>41510</v>
      </c>
      <c r="C2823" s="59">
        <f t="shared" si="161"/>
        <v>2013</v>
      </c>
      <c r="D2823" s="60" t="s">
        <v>362</v>
      </c>
      <c r="E2823" s="60" t="s">
        <v>362</v>
      </c>
      <c r="F2823" s="61">
        <v>13.1486</v>
      </c>
    </row>
    <row r="2824" spans="1:6">
      <c r="A2824" s="65" t="s">
        <v>5403</v>
      </c>
      <c r="B2824" s="66">
        <f t="shared" si="160"/>
        <v>41511</v>
      </c>
      <c r="C2824" s="67">
        <f t="shared" si="161"/>
        <v>2013</v>
      </c>
      <c r="D2824" s="70" t="s">
        <v>362</v>
      </c>
      <c r="E2824" s="70" t="s">
        <v>362</v>
      </c>
      <c r="F2824" s="68">
        <v>13.1486</v>
      </c>
    </row>
    <row r="2825" spans="1:6">
      <c r="A2825" s="57" t="s">
        <v>5404</v>
      </c>
      <c r="B2825" s="58">
        <f t="shared" si="160"/>
        <v>41512</v>
      </c>
      <c r="C2825" s="59">
        <f t="shared" si="161"/>
        <v>2013</v>
      </c>
      <c r="D2825" s="61">
        <v>13.109</v>
      </c>
      <c r="E2825" s="61">
        <v>12.9979</v>
      </c>
      <c r="F2825" s="61">
        <v>13.1486</v>
      </c>
    </row>
    <row r="2826" spans="1:6">
      <c r="A2826" s="65" t="s">
        <v>5405</v>
      </c>
      <c r="B2826" s="66">
        <f t="shared" si="160"/>
        <v>41513</v>
      </c>
      <c r="C2826" s="67">
        <f t="shared" si="161"/>
        <v>2013</v>
      </c>
      <c r="D2826" s="68">
        <v>13.336600000000001</v>
      </c>
      <c r="E2826" s="68">
        <v>13.109</v>
      </c>
      <c r="F2826" s="68">
        <v>12.9979</v>
      </c>
    </row>
    <row r="2827" spans="1:6">
      <c r="A2827" s="57" t="s">
        <v>5406</v>
      </c>
      <c r="B2827" s="58">
        <f t="shared" si="160"/>
        <v>41514</v>
      </c>
      <c r="C2827" s="59">
        <f t="shared" si="161"/>
        <v>2013</v>
      </c>
      <c r="D2827" s="61">
        <v>13.2539</v>
      </c>
      <c r="E2827" s="61">
        <v>13.336600000000001</v>
      </c>
      <c r="F2827" s="61">
        <v>13.109</v>
      </c>
    </row>
    <row r="2828" spans="1:6">
      <c r="A2828" s="65" t="s">
        <v>5407</v>
      </c>
      <c r="B2828" s="66">
        <f t="shared" si="160"/>
        <v>41515</v>
      </c>
      <c r="C2828" s="67">
        <f t="shared" si="161"/>
        <v>2013</v>
      </c>
      <c r="D2828" s="68">
        <v>13.3104</v>
      </c>
      <c r="E2828" s="68">
        <v>13.2539</v>
      </c>
      <c r="F2828" s="68">
        <v>13.336600000000001</v>
      </c>
    </row>
    <row r="2829" spans="1:6">
      <c r="A2829" s="57" t="s">
        <v>5408</v>
      </c>
      <c r="B2829" s="58">
        <f t="shared" si="160"/>
        <v>41516</v>
      </c>
      <c r="C2829" s="59">
        <f t="shared" si="161"/>
        <v>2013</v>
      </c>
      <c r="D2829" s="61">
        <v>13.3415</v>
      </c>
      <c r="E2829" s="61">
        <v>13.3104</v>
      </c>
      <c r="F2829" s="61">
        <v>13.2539</v>
      </c>
    </row>
    <row r="2830" spans="1:6">
      <c r="A2830" s="65" t="s">
        <v>5409</v>
      </c>
      <c r="B2830" s="66">
        <f t="shared" si="160"/>
        <v>41517</v>
      </c>
      <c r="C2830" s="67">
        <f t="shared" si="161"/>
        <v>2013</v>
      </c>
      <c r="D2830" s="70" t="s">
        <v>362</v>
      </c>
      <c r="E2830" s="70" t="s">
        <v>362</v>
      </c>
      <c r="F2830" s="68">
        <v>13.3104</v>
      </c>
    </row>
    <row r="2831" spans="1:6">
      <c r="A2831" s="57" t="s">
        <v>5410</v>
      </c>
      <c r="B2831" s="58">
        <f t="shared" si="160"/>
        <v>41518</v>
      </c>
      <c r="C2831" s="59">
        <f t="shared" si="161"/>
        <v>2013</v>
      </c>
      <c r="D2831" s="60" t="s">
        <v>362</v>
      </c>
      <c r="E2831" s="60" t="s">
        <v>362</v>
      </c>
      <c r="F2831" s="61">
        <v>13.3104</v>
      </c>
    </row>
    <row r="2832" spans="1:6">
      <c r="A2832" s="65" t="s">
        <v>5411</v>
      </c>
      <c r="B2832" s="66">
        <f t="shared" si="160"/>
        <v>41519</v>
      </c>
      <c r="C2832" s="67">
        <f t="shared" si="161"/>
        <v>2013</v>
      </c>
      <c r="D2832" s="68">
        <v>13.307</v>
      </c>
      <c r="E2832" s="68">
        <v>13.3415</v>
      </c>
      <c r="F2832" s="68">
        <v>13.3104</v>
      </c>
    </row>
    <row r="2833" spans="1:6">
      <c r="A2833" s="57" t="s">
        <v>5412</v>
      </c>
      <c r="B2833" s="58">
        <f t="shared" si="160"/>
        <v>41520</v>
      </c>
      <c r="C2833" s="59">
        <f t="shared" si="161"/>
        <v>2013</v>
      </c>
      <c r="D2833" s="61">
        <v>13.439399999999999</v>
      </c>
      <c r="E2833" s="61">
        <v>13.307</v>
      </c>
      <c r="F2833" s="61">
        <v>13.3415</v>
      </c>
    </row>
    <row r="2834" spans="1:6">
      <c r="A2834" s="65" t="s">
        <v>5413</v>
      </c>
      <c r="B2834" s="66">
        <f t="shared" si="160"/>
        <v>41521</v>
      </c>
      <c r="C2834" s="67">
        <f t="shared" si="161"/>
        <v>2013</v>
      </c>
      <c r="D2834" s="68">
        <v>13.3065</v>
      </c>
      <c r="E2834" s="68">
        <v>13.439399999999999</v>
      </c>
      <c r="F2834" s="68">
        <v>13.307</v>
      </c>
    </row>
    <row r="2835" spans="1:6">
      <c r="A2835" s="57" t="s">
        <v>5414</v>
      </c>
      <c r="B2835" s="58">
        <f t="shared" si="160"/>
        <v>41522</v>
      </c>
      <c r="C2835" s="59">
        <f t="shared" si="161"/>
        <v>2013</v>
      </c>
      <c r="D2835" s="61">
        <v>13.4079</v>
      </c>
      <c r="E2835" s="61">
        <v>13.3065</v>
      </c>
      <c r="F2835" s="61">
        <v>13.439399999999999</v>
      </c>
    </row>
    <row r="2836" spans="1:6">
      <c r="A2836" s="65" t="s">
        <v>5415</v>
      </c>
      <c r="B2836" s="66">
        <f t="shared" si="160"/>
        <v>41523</v>
      </c>
      <c r="C2836" s="67">
        <f t="shared" si="161"/>
        <v>2013</v>
      </c>
      <c r="D2836" s="68">
        <v>13.241300000000001</v>
      </c>
      <c r="E2836" s="68">
        <v>13.4079</v>
      </c>
      <c r="F2836" s="68">
        <v>13.3065</v>
      </c>
    </row>
    <row r="2837" spans="1:6">
      <c r="A2837" s="57" t="s">
        <v>5416</v>
      </c>
      <c r="B2837" s="58">
        <f t="shared" si="160"/>
        <v>41524</v>
      </c>
      <c r="C2837" s="59">
        <f t="shared" si="161"/>
        <v>2013</v>
      </c>
      <c r="D2837" s="60" t="s">
        <v>362</v>
      </c>
      <c r="E2837" s="60" t="s">
        <v>362</v>
      </c>
      <c r="F2837" s="61">
        <v>13.4079</v>
      </c>
    </row>
    <row r="2838" spans="1:6">
      <c r="A2838" s="65" t="s">
        <v>5417</v>
      </c>
      <c r="B2838" s="66">
        <f t="shared" si="160"/>
        <v>41525</v>
      </c>
      <c r="C2838" s="67">
        <f t="shared" si="161"/>
        <v>2013</v>
      </c>
      <c r="D2838" s="70" t="s">
        <v>362</v>
      </c>
      <c r="E2838" s="70" t="s">
        <v>362</v>
      </c>
      <c r="F2838" s="68">
        <v>13.4079</v>
      </c>
    </row>
    <row r="2839" spans="1:6">
      <c r="A2839" s="57" t="s">
        <v>5418</v>
      </c>
      <c r="B2839" s="58">
        <f t="shared" si="160"/>
        <v>41526</v>
      </c>
      <c r="C2839" s="59">
        <f t="shared" si="161"/>
        <v>2013</v>
      </c>
      <c r="D2839" s="61">
        <v>13.1471</v>
      </c>
      <c r="E2839" s="61">
        <v>13.241300000000001</v>
      </c>
      <c r="F2839" s="61">
        <v>13.4079</v>
      </c>
    </row>
    <row r="2840" spans="1:6">
      <c r="A2840" s="65" t="s">
        <v>5419</v>
      </c>
      <c r="B2840" s="66">
        <f t="shared" si="160"/>
        <v>41527</v>
      </c>
      <c r="C2840" s="67">
        <f t="shared" si="161"/>
        <v>2013</v>
      </c>
      <c r="D2840" s="68">
        <v>13.1119</v>
      </c>
      <c r="E2840" s="68">
        <v>13.1471</v>
      </c>
      <c r="F2840" s="68">
        <v>13.241300000000001</v>
      </c>
    </row>
    <row r="2841" spans="1:6">
      <c r="A2841" s="57" t="s">
        <v>5420</v>
      </c>
      <c r="B2841" s="58">
        <f t="shared" si="160"/>
        <v>41528</v>
      </c>
      <c r="C2841" s="59">
        <f t="shared" si="161"/>
        <v>2013</v>
      </c>
      <c r="D2841" s="61">
        <v>13.0938</v>
      </c>
      <c r="E2841" s="61">
        <v>13.1119</v>
      </c>
      <c r="F2841" s="61">
        <v>13.1471</v>
      </c>
    </row>
    <row r="2842" spans="1:6">
      <c r="A2842" s="65" t="s">
        <v>5421</v>
      </c>
      <c r="B2842" s="66">
        <f t="shared" si="160"/>
        <v>41529</v>
      </c>
      <c r="C2842" s="67">
        <f t="shared" si="161"/>
        <v>2013</v>
      </c>
      <c r="D2842" s="68">
        <v>13.0854</v>
      </c>
      <c r="E2842" s="68">
        <v>13.0938</v>
      </c>
      <c r="F2842" s="68">
        <v>13.1119</v>
      </c>
    </row>
    <row r="2843" spans="1:6">
      <c r="A2843" s="57" t="s">
        <v>5422</v>
      </c>
      <c r="B2843" s="58">
        <f t="shared" si="160"/>
        <v>41530</v>
      </c>
      <c r="C2843" s="59">
        <f t="shared" si="161"/>
        <v>2013</v>
      </c>
      <c r="D2843" s="61">
        <v>13.054</v>
      </c>
      <c r="E2843" s="61">
        <v>13.0854</v>
      </c>
      <c r="F2843" s="61">
        <v>13.0938</v>
      </c>
    </row>
    <row r="2844" spans="1:6">
      <c r="A2844" s="65" t="s">
        <v>5423</v>
      </c>
      <c r="B2844" s="66">
        <f t="shared" si="160"/>
        <v>41531</v>
      </c>
      <c r="C2844" s="67">
        <f t="shared" si="161"/>
        <v>2013</v>
      </c>
      <c r="D2844" s="70" t="s">
        <v>362</v>
      </c>
      <c r="E2844" s="70" t="s">
        <v>362</v>
      </c>
      <c r="F2844" s="68">
        <v>13.0854</v>
      </c>
    </row>
    <row r="2845" spans="1:6">
      <c r="A2845" s="57" t="s">
        <v>5424</v>
      </c>
      <c r="B2845" s="58">
        <f t="shared" si="160"/>
        <v>41532</v>
      </c>
      <c r="C2845" s="59">
        <f t="shared" si="161"/>
        <v>2013</v>
      </c>
      <c r="D2845" s="60" t="s">
        <v>362</v>
      </c>
      <c r="E2845" s="60" t="s">
        <v>362</v>
      </c>
      <c r="F2845" s="61">
        <v>13.0854</v>
      </c>
    </row>
    <row r="2846" spans="1:6">
      <c r="A2846" s="65" t="s">
        <v>5425</v>
      </c>
      <c r="B2846" s="66">
        <f t="shared" si="160"/>
        <v>41533</v>
      </c>
      <c r="C2846" s="67">
        <f t="shared" si="161"/>
        <v>2013</v>
      </c>
      <c r="D2846" s="70" t="s">
        <v>362</v>
      </c>
      <c r="E2846" s="70" t="s">
        <v>362</v>
      </c>
      <c r="F2846" s="68">
        <v>13.0854</v>
      </c>
    </row>
    <row r="2847" spans="1:6">
      <c r="A2847" s="57" t="s">
        <v>5426</v>
      </c>
      <c r="B2847" s="58">
        <f t="shared" ref="B2847:B2910" si="162">DATE(RIGHT(A2847,4),LEFT(RIGHT(A2847,7),2),LEFT(A2847,2))</f>
        <v>41534</v>
      </c>
      <c r="C2847" s="59">
        <f t="shared" ref="C2847:C2910" si="163">YEAR(B2847)</f>
        <v>2013</v>
      </c>
      <c r="D2847" s="61">
        <v>12.924099999999999</v>
      </c>
      <c r="E2847" s="61">
        <v>13.054</v>
      </c>
      <c r="F2847" s="61">
        <v>13.0854</v>
      </c>
    </row>
    <row r="2848" spans="1:6">
      <c r="A2848" s="65" t="s">
        <v>5427</v>
      </c>
      <c r="B2848" s="66">
        <f t="shared" si="162"/>
        <v>41535</v>
      </c>
      <c r="C2848" s="67">
        <f t="shared" si="163"/>
        <v>2013</v>
      </c>
      <c r="D2848" s="68">
        <v>12.9687</v>
      </c>
      <c r="E2848" s="68">
        <v>12.924099999999999</v>
      </c>
      <c r="F2848" s="68">
        <v>13.054</v>
      </c>
    </row>
    <row r="2849" spans="1:6">
      <c r="A2849" s="57" t="s">
        <v>5428</v>
      </c>
      <c r="B2849" s="58">
        <f t="shared" si="162"/>
        <v>41536</v>
      </c>
      <c r="C2849" s="59">
        <f t="shared" si="163"/>
        <v>2013</v>
      </c>
      <c r="D2849" s="61">
        <v>12.7179</v>
      </c>
      <c r="E2849" s="61">
        <v>12.9687</v>
      </c>
      <c r="F2849" s="61">
        <v>12.924099999999999</v>
      </c>
    </row>
    <row r="2850" spans="1:6">
      <c r="A2850" s="65" t="s">
        <v>5429</v>
      </c>
      <c r="B2850" s="66">
        <f t="shared" si="162"/>
        <v>41537</v>
      </c>
      <c r="C2850" s="67">
        <f t="shared" si="163"/>
        <v>2013</v>
      </c>
      <c r="D2850" s="68">
        <v>12.7685</v>
      </c>
      <c r="E2850" s="68">
        <v>12.7179</v>
      </c>
      <c r="F2850" s="68">
        <v>12.9687</v>
      </c>
    </row>
    <row r="2851" spans="1:6">
      <c r="A2851" s="57" t="s">
        <v>5430</v>
      </c>
      <c r="B2851" s="58">
        <f t="shared" si="162"/>
        <v>41538</v>
      </c>
      <c r="C2851" s="59">
        <f t="shared" si="163"/>
        <v>2013</v>
      </c>
      <c r="D2851" s="60" t="s">
        <v>362</v>
      </c>
      <c r="E2851" s="60" t="s">
        <v>362</v>
      </c>
      <c r="F2851" s="61">
        <v>12.7179</v>
      </c>
    </row>
    <row r="2852" spans="1:6">
      <c r="A2852" s="65" t="s">
        <v>5431</v>
      </c>
      <c r="B2852" s="66">
        <f t="shared" si="162"/>
        <v>41539</v>
      </c>
      <c r="C2852" s="67">
        <f t="shared" si="163"/>
        <v>2013</v>
      </c>
      <c r="D2852" s="70" t="s">
        <v>362</v>
      </c>
      <c r="E2852" s="70" t="s">
        <v>362</v>
      </c>
      <c r="F2852" s="68">
        <v>12.7179</v>
      </c>
    </row>
    <row r="2853" spans="1:6">
      <c r="A2853" s="57" t="s">
        <v>5432</v>
      </c>
      <c r="B2853" s="58">
        <f t="shared" si="162"/>
        <v>41540</v>
      </c>
      <c r="C2853" s="59">
        <f t="shared" si="163"/>
        <v>2013</v>
      </c>
      <c r="D2853" s="61">
        <v>12.784599999999999</v>
      </c>
      <c r="E2853" s="61">
        <v>12.7685</v>
      </c>
      <c r="F2853" s="61">
        <v>12.7179</v>
      </c>
    </row>
    <row r="2854" spans="1:6">
      <c r="A2854" s="65" t="s">
        <v>5433</v>
      </c>
      <c r="B2854" s="66">
        <f t="shared" si="162"/>
        <v>41541</v>
      </c>
      <c r="C2854" s="67">
        <f t="shared" si="163"/>
        <v>2013</v>
      </c>
      <c r="D2854" s="68">
        <v>12.875400000000001</v>
      </c>
      <c r="E2854" s="68">
        <v>12.784599999999999</v>
      </c>
      <c r="F2854" s="68">
        <v>12.7685</v>
      </c>
    </row>
    <row r="2855" spans="1:6">
      <c r="A2855" s="57" t="s">
        <v>5434</v>
      </c>
      <c r="B2855" s="58">
        <f t="shared" si="162"/>
        <v>41542</v>
      </c>
      <c r="C2855" s="59">
        <f t="shared" si="163"/>
        <v>2013</v>
      </c>
      <c r="D2855" s="61">
        <v>12.952999999999999</v>
      </c>
      <c r="E2855" s="61">
        <v>12.875400000000001</v>
      </c>
      <c r="F2855" s="61">
        <v>12.784599999999999</v>
      </c>
    </row>
    <row r="2856" spans="1:6">
      <c r="A2856" s="65" t="s">
        <v>5435</v>
      </c>
      <c r="B2856" s="66">
        <f t="shared" si="162"/>
        <v>41543</v>
      </c>
      <c r="C2856" s="67">
        <f t="shared" si="163"/>
        <v>2013</v>
      </c>
      <c r="D2856" s="68">
        <v>13.011900000000001</v>
      </c>
      <c r="E2856" s="68">
        <v>12.952999999999999</v>
      </c>
      <c r="F2856" s="68">
        <v>12.875400000000001</v>
      </c>
    </row>
    <row r="2857" spans="1:6">
      <c r="A2857" s="57" t="s">
        <v>5436</v>
      </c>
      <c r="B2857" s="58">
        <f t="shared" si="162"/>
        <v>41544</v>
      </c>
      <c r="C2857" s="59">
        <f t="shared" si="163"/>
        <v>2013</v>
      </c>
      <c r="D2857" s="61">
        <v>13.145</v>
      </c>
      <c r="E2857" s="61">
        <v>13.011900000000001</v>
      </c>
      <c r="F2857" s="61">
        <v>12.952999999999999</v>
      </c>
    </row>
    <row r="2858" spans="1:6">
      <c r="A2858" s="65" t="s">
        <v>5437</v>
      </c>
      <c r="B2858" s="66">
        <f t="shared" si="162"/>
        <v>41545</v>
      </c>
      <c r="C2858" s="67">
        <f t="shared" si="163"/>
        <v>2013</v>
      </c>
      <c r="D2858" s="70" t="s">
        <v>362</v>
      </c>
      <c r="E2858" s="70" t="s">
        <v>362</v>
      </c>
      <c r="F2858" s="68">
        <v>13.011900000000001</v>
      </c>
    </row>
    <row r="2859" spans="1:6">
      <c r="A2859" s="57" t="s">
        <v>5438</v>
      </c>
      <c r="B2859" s="58">
        <f t="shared" si="162"/>
        <v>41546</v>
      </c>
      <c r="C2859" s="59">
        <f t="shared" si="163"/>
        <v>2013</v>
      </c>
      <c r="D2859" s="60" t="s">
        <v>362</v>
      </c>
      <c r="E2859" s="60" t="s">
        <v>362</v>
      </c>
      <c r="F2859" s="61">
        <v>13.011900000000001</v>
      </c>
    </row>
    <row r="2860" spans="1:6">
      <c r="A2860" s="65" t="s">
        <v>5439</v>
      </c>
      <c r="B2860" s="66">
        <f t="shared" si="162"/>
        <v>41547</v>
      </c>
      <c r="C2860" s="67">
        <f t="shared" si="163"/>
        <v>2013</v>
      </c>
      <c r="D2860" s="68">
        <v>13.1747</v>
      </c>
      <c r="E2860" s="68">
        <v>13.145</v>
      </c>
      <c r="F2860" s="68">
        <v>13.011900000000001</v>
      </c>
    </row>
    <row r="2861" spans="1:6">
      <c r="A2861" s="57" t="s">
        <v>5440</v>
      </c>
      <c r="B2861" s="58">
        <f t="shared" si="162"/>
        <v>41548</v>
      </c>
      <c r="C2861" s="59">
        <f t="shared" si="163"/>
        <v>2013</v>
      </c>
      <c r="D2861" s="61">
        <v>13.1294</v>
      </c>
      <c r="E2861" s="61">
        <v>13.1747</v>
      </c>
      <c r="F2861" s="61">
        <v>13.145</v>
      </c>
    </row>
    <row r="2862" spans="1:6">
      <c r="A2862" s="65" t="s">
        <v>5441</v>
      </c>
      <c r="B2862" s="66">
        <f t="shared" si="162"/>
        <v>41549</v>
      </c>
      <c r="C2862" s="67">
        <f t="shared" si="163"/>
        <v>2013</v>
      </c>
      <c r="D2862" s="68">
        <v>13.1593</v>
      </c>
      <c r="E2862" s="68">
        <v>13.1294</v>
      </c>
      <c r="F2862" s="68">
        <v>13.1747</v>
      </c>
    </row>
    <row r="2863" spans="1:6">
      <c r="A2863" s="57" t="s">
        <v>5442</v>
      </c>
      <c r="B2863" s="58">
        <f t="shared" si="162"/>
        <v>41550</v>
      </c>
      <c r="C2863" s="59">
        <f t="shared" si="163"/>
        <v>2013</v>
      </c>
      <c r="D2863" s="61">
        <v>13.266299999999999</v>
      </c>
      <c r="E2863" s="61">
        <v>13.1593</v>
      </c>
      <c r="F2863" s="61">
        <v>13.1294</v>
      </c>
    </row>
    <row r="2864" spans="1:6">
      <c r="A2864" s="65" t="s">
        <v>5443</v>
      </c>
      <c r="B2864" s="66">
        <f t="shared" si="162"/>
        <v>41551</v>
      </c>
      <c r="C2864" s="67">
        <f t="shared" si="163"/>
        <v>2013</v>
      </c>
      <c r="D2864" s="68">
        <v>13.0976</v>
      </c>
      <c r="E2864" s="68">
        <v>13.266299999999999</v>
      </c>
      <c r="F2864" s="68">
        <v>13.1593</v>
      </c>
    </row>
    <row r="2865" spans="1:6">
      <c r="A2865" s="57" t="s">
        <v>5444</v>
      </c>
      <c r="B2865" s="58">
        <f t="shared" si="162"/>
        <v>41552</v>
      </c>
      <c r="C2865" s="59">
        <f t="shared" si="163"/>
        <v>2013</v>
      </c>
      <c r="D2865" s="60" t="s">
        <v>362</v>
      </c>
      <c r="E2865" s="60" t="s">
        <v>362</v>
      </c>
      <c r="F2865" s="61">
        <v>13.266299999999999</v>
      </c>
    </row>
    <row r="2866" spans="1:6">
      <c r="A2866" s="65" t="s">
        <v>5445</v>
      </c>
      <c r="B2866" s="66">
        <f t="shared" si="162"/>
        <v>41553</v>
      </c>
      <c r="C2866" s="67">
        <f t="shared" si="163"/>
        <v>2013</v>
      </c>
      <c r="D2866" s="70" t="s">
        <v>362</v>
      </c>
      <c r="E2866" s="70" t="s">
        <v>362</v>
      </c>
      <c r="F2866" s="68">
        <v>13.266299999999999</v>
      </c>
    </row>
    <row r="2867" spans="1:6">
      <c r="A2867" s="57" t="s">
        <v>5446</v>
      </c>
      <c r="B2867" s="58">
        <f t="shared" si="162"/>
        <v>41554</v>
      </c>
      <c r="C2867" s="59">
        <f t="shared" si="163"/>
        <v>2013</v>
      </c>
      <c r="D2867" s="61">
        <v>13.0959</v>
      </c>
      <c r="E2867" s="61">
        <v>13.0976</v>
      </c>
      <c r="F2867" s="61">
        <v>13.266299999999999</v>
      </c>
    </row>
    <row r="2868" spans="1:6">
      <c r="A2868" s="65" t="s">
        <v>5447</v>
      </c>
      <c r="B2868" s="66">
        <f t="shared" si="162"/>
        <v>41555</v>
      </c>
      <c r="C2868" s="67">
        <f t="shared" si="163"/>
        <v>2013</v>
      </c>
      <c r="D2868" s="68">
        <v>13.1417</v>
      </c>
      <c r="E2868" s="68">
        <v>13.0959</v>
      </c>
      <c r="F2868" s="68">
        <v>13.0976</v>
      </c>
    </row>
    <row r="2869" spans="1:6">
      <c r="A2869" s="57" t="s">
        <v>5448</v>
      </c>
      <c r="B2869" s="58">
        <f t="shared" si="162"/>
        <v>41556</v>
      </c>
      <c r="C2869" s="59">
        <f t="shared" si="163"/>
        <v>2013</v>
      </c>
      <c r="D2869" s="61">
        <v>13.2126</v>
      </c>
      <c r="E2869" s="61">
        <v>13.1417</v>
      </c>
      <c r="F2869" s="61">
        <v>13.0959</v>
      </c>
    </row>
    <row r="2870" spans="1:6">
      <c r="A2870" s="65" t="s">
        <v>5449</v>
      </c>
      <c r="B2870" s="66">
        <f t="shared" si="162"/>
        <v>41557</v>
      </c>
      <c r="C2870" s="67">
        <f t="shared" si="163"/>
        <v>2013</v>
      </c>
      <c r="D2870" s="68">
        <v>13.0913</v>
      </c>
      <c r="E2870" s="68">
        <v>13.2126</v>
      </c>
      <c r="F2870" s="68">
        <v>13.1417</v>
      </c>
    </row>
    <row r="2871" spans="1:6">
      <c r="A2871" s="57" t="s">
        <v>5450</v>
      </c>
      <c r="B2871" s="58">
        <f t="shared" si="162"/>
        <v>41558</v>
      </c>
      <c r="C2871" s="59">
        <f t="shared" si="163"/>
        <v>2013</v>
      </c>
      <c r="D2871" s="61">
        <v>13.051399999999999</v>
      </c>
      <c r="E2871" s="61">
        <v>13.0913</v>
      </c>
      <c r="F2871" s="61">
        <v>13.2126</v>
      </c>
    </row>
    <row r="2872" spans="1:6">
      <c r="A2872" s="65" t="s">
        <v>5451</v>
      </c>
      <c r="B2872" s="66">
        <f t="shared" si="162"/>
        <v>41559</v>
      </c>
      <c r="C2872" s="67">
        <f t="shared" si="163"/>
        <v>2013</v>
      </c>
      <c r="D2872" s="70" t="s">
        <v>362</v>
      </c>
      <c r="E2872" s="70" t="s">
        <v>362</v>
      </c>
      <c r="F2872" s="68">
        <v>13.0913</v>
      </c>
    </row>
    <row r="2873" spans="1:6">
      <c r="A2873" s="57" t="s">
        <v>5452</v>
      </c>
      <c r="B2873" s="58">
        <f t="shared" si="162"/>
        <v>41560</v>
      </c>
      <c r="C2873" s="59">
        <f t="shared" si="163"/>
        <v>2013</v>
      </c>
      <c r="D2873" s="60" t="s">
        <v>362</v>
      </c>
      <c r="E2873" s="60" t="s">
        <v>362</v>
      </c>
      <c r="F2873" s="61">
        <v>13.0913</v>
      </c>
    </row>
    <row r="2874" spans="1:6">
      <c r="A2874" s="65" t="s">
        <v>5453</v>
      </c>
      <c r="B2874" s="66">
        <f t="shared" si="162"/>
        <v>41561</v>
      </c>
      <c r="C2874" s="67">
        <f t="shared" si="163"/>
        <v>2013</v>
      </c>
      <c r="D2874" s="68">
        <v>13.049200000000001</v>
      </c>
      <c r="E2874" s="68">
        <v>13.051399999999999</v>
      </c>
      <c r="F2874" s="68">
        <v>13.0913</v>
      </c>
    </row>
    <row r="2875" spans="1:6">
      <c r="A2875" s="57" t="s">
        <v>5454</v>
      </c>
      <c r="B2875" s="58">
        <f t="shared" si="162"/>
        <v>41562</v>
      </c>
      <c r="C2875" s="59">
        <f t="shared" si="163"/>
        <v>2013</v>
      </c>
      <c r="D2875" s="61">
        <v>12.9725</v>
      </c>
      <c r="E2875" s="61">
        <v>13.049200000000001</v>
      </c>
      <c r="F2875" s="61">
        <v>13.051399999999999</v>
      </c>
    </row>
    <row r="2876" spans="1:6">
      <c r="A2876" s="65" t="s">
        <v>5455</v>
      </c>
      <c r="B2876" s="66">
        <f t="shared" si="162"/>
        <v>41563</v>
      </c>
      <c r="C2876" s="67">
        <f t="shared" si="163"/>
        <v>2013</v>
      </c>
      <c r="D2876" s="68">
        <v>12.881600000000001</v>
      </c>
      <c r="E2876" s="68">
        <v>12.9725</v>
      </c>
      <c r="F2876" s="68">
        <v>13.049200000000001</v>
      </c>
    </row>
    <row r="2877" spans="1:6">
      <c r="A2877" s="57" t="s">
        <v>5456</v>
      </c>
      <c r="B2877" s="58">
        <f t="shared" si="162"/>
        <v>41564</v>
      </c>
      <c r="C2877" s="59">
        <f t="shared" si="163"/>
        <v>2013</v>
      </c>
      <c r="D2877" s="61">
        <v>12.771699999999999</v>
      </c>
      <c r="E2877" s="61">
        <v>12.881600000000001</v>
      </c>
      <c r="F2877" s="61">
        <v>12.9725</v>
      </c>
    </row>
    <row r="2878" spans="1:6">
      <c r="A2878" s="65" t="s">
        <v>5457</v>
      </c>
      <c r="B2878" s="66">
        <f t="shared" si="162"/>
        <v>41565</v>
      </c>
      <c r="C2878" s="67">
        <f t="shared" si="163"/>
        <v>2013</v>
      </c>
      <c r="D2878" s="68">
        <v>12.7988</v>
      </c>
      <c r="E2878" s="68">
        <v>12.771699999999999</v>
      </c>
      <c r="F2878" s="68">
        <v>12.881600000000001</v>
      </c>
    </row>
    <row r="2879" spans="1:6">
      <c r="A2879" s="57" t="s">
        <v>5458</v>
      </c>
      <c r="B2879" s="58">
        <f t="shared" si="162"/>
        <v>41566</v>
      </c>
      <c r="C2879" s="59">
        <f t="shared" si="163"/>
        <v>2013</v>
      </c>
      <c r="D2879" s="60" t="s">
        <v>362</v>
      </c>
      <c r="E2879" s="60" t="s">
        <v>362</v>
      </c>
      <c r="F2879" s="61">
        <v>12.771699999999999</v>
      </c>
    </row>
    <row r="2880" spans="1:6">
      <c r="A2880" s="65" t="s">
        <v>5459</v>
      </c>
      <c r="B2880" s="66">
        <f t="shared" si="162"/>
        <v>41567</v>
      </c>
      <c r="C2880" s="67">
        <f t="shared" si="163"/>
        <v>2013</v>
      </c>
      <c r="D2880" s="70" t="s">
        <v>362</v>
      </c>
      <c r="E2880" s="70" t="s">
        <v>362</v>
      </c>
      <c r="F2880" s="68">
        <v>12.771699999999999</v>
      </c>
    </row>
    <row r="2881" spans="1:6">
      <c r="A2881" s="57" t="s">
        <v>5460</v>
      </c>
      <c r="B2881" s="58">
        <f t="shared" si="162"/>
        <v>41568</v>
      </c>
      <c r="C2881" s="59">
        <f t="shared" si="163"/>
        <v>2013</v>
      </c>
      <c r="D2881" s="61">
        <v>12.9314</v>
      </c>
      <c r="E2881" s="61">
        <v>12.7988</v>
      </c>
      <c r="F2881" s="61">
        <v>12.771699999999999</v>
      </c>
    </row>
    <row r="2882" spans="1:6">
      <c r="A2882" s="65" t="s">
        <v>5461</v>
      </c>
      <c r="B2882" s="66">
        <f t="shared" si="162"/>
        <v>41569</v>
      </c>
      <c r="C2882" s="67">
        <f t="shared" si="163"/>
        <v>2013</v>
      </c>
      <c r="D2882" s="68">
        <v>12.8713</v>
      </c>
      <c r="E2882" s="68">
        <v>12.9314</v>
      </c>
      <c r="F2882" s="68">
        <v>12.7988</v>
      </c>
    </row>
    <row r="2883" spans="1:6">
      <c r="A2883" s="57" t="s">
        <v>5462</v>
      </c>
      <c r="B2883" s="58">
        <f t="shared" si="162"/>
        <v>41570</v>
      </c>
      <c r="C2883" s="59">
        <f t="shared" si="163"/>
        <v>2013</v>
      </c>
      <c r="D2883" s="61">
        <v>12.943300000000001</v>
      </c>
      <c r="E2883" s="61">
        <v>12.8713</v>
      </c>
      <c r="F2883" s="61">
        <v>12.9314</v>
      </c>
    </row>
    <row r="2884" spans="1:6">
      <c r="A2884" s="65" t="s">
        <v>5463</v>
      </c>
      <c r="B2884" s="66">
        <f t="shared" si="162"/>
        <v>41571</v>
      </c>
      <c r="C2884" s="67">
        <f t="shared" si="163"/>
        <v>2013</v>
      </c>
      <c r="D2884" s="68">
        <v>12.9916</v>
      </c>
      <c r="E2884" s="68">
        <v>12.943300000000001</v>
      </c>
      <c r="F2884" s="68">
        <v>12.8713</v>
      </c>
    </row>
    <row r="2885" spans="1:6">
      <c r="A2885" s="57" t="s">
        <v>5464</v>
      </c>
      <c r="B2885" s="58">
        <f t="shared" si="162"/>
        <v>41572</v>
      </c>
      <c r="C2885" s="59">
        <f t="shared" si="163"/>
        <v>2013</v>
      </c>
      <c r="D2885" s="61">
        <v>12.869300000000001</v>
      </c>
      <c r="E2885" s="61">
        <v>12.9916</v>
      </c>
      <c r="F2885" s="61">
        <v>12.943300000000001</v>
      </c>
    </row>
    <row r="2886" spans="1:6">
      <c r="A2886" s="65" t="s">
        <v>5465</v>
      </c>
      <c r="B2886" s="66">
        <f t="shared" si="162"/>
        <v>41573</v>
      </c>
      <c r="C2886" s="67">
        <f t="shared" si="163"/>
        <v>2013</v>
      </c>
      <c r="D2886" s="70" t="s">
        <v>362</v>
      </c>
      <c r="E2886" s="70" t="s">
        <v>362</v>
      </c>
      <c r="F2886" s="68">
        <v>12.9916</v>
      </c>
    </row>
    <row r="2887" spans="1:6">
      <c r="A2887" s="57" t="s">
        <v>5466</v>
      </c>
      <c r="B2887" s="58">
        <f t="shared" si="162"/>
        <v>41574</v>
      </c>
      <c r="C2887" s="59">
        <f t="shared" si="163"/>
        <v>2013</v>
      </c>
      <c r="D2887" s="60" t="s">
        <v>362</v>
      </c>
      <c r="E2887" s="60" t="s">
        <v>362</v>
      </c>
      <c r="F2887" s="61">
        <v>12.9916</v>
      </c>
    </row>
    <row r="2888" spans="1:6">
      <c r="A2888" s="65" t="s">
        <v>5467</v>
      </c>
      <c r="B2888" s="66">
        <f t="shared" si="162"/>
        <v>41575</v>
      </c>
      <c r="C2888" s="67">
        <f t="shared" si="163"/>
        <v>2013</v>
      </c>
      <c r="D2888" s="68">
        <v>12.8948</v>
      </c>
      <c r="E2888" s="68">
        <v>12.869300000000001</v>
      </c>
      <c r="F2888" s="68">
        <v>12.9916</v>
      </c>
    </row>
    <row r="2889" spans="1:6">
      <c r="A2889" s="57" t="s">
        <v>5468</v>
      </c>
      <c r="B2889" s="58">
        <f t="shared" si="162"/>
        <v>41576</v>
      </c>
      <c r="C2889" s="59">
        <f t="shared" si="163"/>
        <v>2013</v>
      </c>
      <c r="D2889" s="61">
        <v>12.8903</v>
      </c>
      <c r="E2889" s="61">
        <v>12.8948</v>
      </c>
      <c r="F2889" s="61">
        <v>12.869300000000001</v>
      </c>
    </row>
    <row r="2890" spans="1:6">
      <c r="A2890" s="65" t="s">
        <v>5469</v>
      </c>
      <c r="B2890" s="66">
        <f t="shared" si="162"/>
        <v>41577</v>
      </c>
      <c r="C2890" s="67">
        <f t="shared" si="163"/>
        <v>2013</v>
      </c>
      <c r="D2890" s="68">
        <v>12.864000000000001</v>
      </c>
      <c r="E2890" s="68">
        <v>12.8903</v>
      </c>
      <c r="F2890" s="68">
        <v>12.8948</v>
      </c>
    </row>
    <row r="2891" spans="1:6">
      <c r="A2891" s="57" t="s">
        <v>5470</v>
      </c>
      <c r="B2891" s="58">
        <f t="shared" si="162"/>
        <v>41578</v>
      </c>
      <c r="C2891" s="59">
        <f t="shared" si="163"/>
        <v>2013</v>
      </c>
      <c r="D2891" s="61">
        <v>13.0067</v>
      </c>
      <c r="E2891" s="61">
        <v>12.864000000000001</v>
      </c>
      <c r="F2891" s="61">
        <v>12.8903</v>
      </c>
    </row>
    <row r="2892" spans="1:6">
      <c r="A2892" s="65" t="s">
        <v>5471</v>
      </c>
      <c r="B2892" s="66">
        <f t="shared" si="162"/>
        <v>41579</v>
      </c>
      <c r="C2892" s="67">
        <f t="shared" si="163"/>
        <v>2013</v>
      </c>
      <c r="D2892" s="68">
        <v>13.078900000000001</v>
      </c>
      <c r="E2892" s="68">
        <v>13.0067</v>
      </c>
      <c r="F2892" s="68">
        <v>12.864000000000001</v>
      </c>
    </row>
    <row r="2893" spans="1:6">
      <c r="A2893" s="57" t="s">
        <v>5472</v>
      </c>
      <c r="B2893" s="58">
        <f t="shared" si="162"/>
        <v>41580</v>
      </c>
      <c r="C2893" s="59">
        <f t="shared" si="163"/>
        <v>2013</v>
      </c>
      <c r="D2893" s="60" t="s">
        <v>362</v>
      </c>
      <c r="E2893" s="60" t="s">
        <v>362</v>
      </c>
      <c r="F2893" s="61">
        <v>13.0067</v>
      </c>
    </row>
    <row r="2894" spans="1:6">
      <c r="A2894" s="65" t="s">
        <v>5473</v>
      </c>
      <c r="B2894" s="66">
        <f t="shared" si="162"/>
        <v>41581</v>
      </c>
      <c r="C2894" s="67">
        <f t="shared" si="163"/>
        <v>2013</v>
      </c>
      <c r="D2894" s="70" t="s">
        <v>362</v>
      </c>
      <c r="E2894" s="70" t="s">
        <v>362</v>
      </c>
      <c r="F2894" s="68">
        <v>13.0067</v>
      </c>
    </row>
    <row r="2895" spans="1:6">
      <c r="A2895" s="57" t="s">
        <v>5474</v>
      </c>
      <c r="B2895" s="58">
        <f t="shared" si="162"/>
        <v>41582</v>
      </c>
      <c r="C2895" s="59">
        <f t="shared" si="163"/>
        <v>2013</v>
      </c>
      <c r="D2895" s="61">
        <v>12.9869</v>
      </c>
      <c r="E2895" s="61">
        <v>13.078900000000001</v>
      </c>
      <c r="F2895" s="61">
        <v>13.0067</v>
      </c>
    </row>
    <row r="2896" spans="1:6">
      <c r="A2896" s="65" t="s">
        <v>5475</v>
      </c>
      <c r="B2896" s="66">
        <f t="shared" si="162"/>
        <v>41583</v>
      </c>
      <c r="C2896" s="67">
        <f t="shared" si="163"/>
        <v>2013</v>
      </c>
      <c r="D2896" s="68">
        <v>13.1341</v>
      </c>
      <c r="E2896" s="68">
        <v>12.9869</v>
      </c>
      <c r="F2896" s="68">
        <v>13.078900000000001</v>
      </c>
    </row>
    <row r="2897" spans="1:6">
      <c r="A2897" s="57" t="s">
        <v>5476</v>
      </c>
      <c r="B2897" s="58">
        <f t="shared" si="162"/>
        <v>41584</v>
      </c>
      <c r="C2897" s="59">
        <f t="shared" si="163"/>
        <v>2013</v>
      </c>
      <c r="D2897" s="61">
        <v>13.1388</v>
      </c>
      <c r="E2897" s="61">
        <v>13.1341</v>
      </c>
      <c r="F2897" s="61">
        <v>12.9869</v>
      </c>
    </row>
    <row r="2898" spans="1:6">
      <c r="A2898" s="65" t="s">
        <v>5477</v>
      </c>
      <c r="B2898" s="66">
        <f t="shared" si="162"/>
        <v>41585</v>
      </c>
      <c r="C2898" s="67">
        <f t="shared" si="163"/>
        <v>2013</v>
      </c>
      <c r="D2898" s="68">
        <v>13.1912</v>
      </c>
      <c r="E2898" s="68">
        <v>13.1388</v>
      </c>
      <c r="F2898" s="68">
        <v>13.1341</v>
      </c>
    </row>
    <row r="2899" spans="1:6">
      <c r="A2899" s="57" t="s">
        <v>5478</v>
      </c>
      <c r="B2899" s="58">
        <f t="shared" si="162"/>
        <v>41586</v>
      </c>
      <c r="C2899" s="59">
        <f t="shared" si="163"/>
        <v>2013</v>
      </c>
      <c r="D2899" s="61">
        <v>13.241199999999999</v>
      </c>
      <c r="E2899" s="61">
        <v>13.1912</v>
      </c>
      <c r="F2899" s="61">
        <v>13.1388</v>
      </c>
    </row>
    <row r="2900" spans="1:6">
      <c r="A2900" s="65" t="s">
        <v>5479</v>
      </c>
      <c r="B2900" s="66">
        <f t="shared" si="162"/>
        <v>41587</v>
      </c>
      <c r="C2900" s="67">
        <f t="shared" si="163"/>
        <v>2013</v>
      </c>
      <c r="D2900" s="70" t="s">
        <v>362</v>
      </c>
      <c r="E2900" s="70" t="s">
        <v>362</v>
      </c>
      <c r="F2900" s="68">
        <v>13.1912</v>
      </c>
    </row>
    <row r="2901" spans="1:6">
      <c r="A2901" s="57" t="s">
        <v>5480</v>
      </c>
      <c r="B2901" s="58">
        <f t="shared" si="162"/>
        <v>41588</v>
      </c>
      <c r="C2901" s="59">
        <f t="shared" si="163"/>
        <v>2013</v>
      </c>
      <c r="D2901" s="60" t="s">
        <v>362</v>
      </c>
      <c r="E2901" s="60" t="s">
        <v>362</v>
      </c>
      <c r="F2901" s="61">
        <v>13.1912</v>
      </c>
    </row>
    <row r="2902" spans="1:6">
      <c r="A2902" s="65" t="s">
        <v>5481</v>
      </c>
      <c r="B2902" s="66">
        <f t="shared" si="162"/>
        <v>41589</v>
      </c>
      <c r="C2902" s="67">
        <f t="shared" si="163"/>
        <v>2013</v>
      </c>
      <c r="D2902" s="68">
        <v>13.231400000000001</v>
      </c>
      <c r="E2902" s="68">
        <v>13.241199999999999</v>
      </c>
      <c r="F2902" s="68">
        <v>13.1912</v>
      </c>
    </row>
    <row r="2903" spans="1:6">
      <c r="A2903" s="57" t="s">
        <v>5482</v>
      </c>
      <c r="B2903" s="58">
        <f t="shared" si="162"/>
        <v>41590</v>
      </c>
      <c r="C2903" s="59">
        <f t="shared" si="163"/>
        <v>2013</v>
      </c>
      <c r="D2903" s="61">
        <v>13.187900000000001</v>
      </c>
      <c r="E2903" s="61">
        <v>13.231400000000001</v>
      </c>
      <c r="F2903" s="61">
        <v>13.241199999999999</v>
      </c>
    </row>
    <row r="2904" spans="1:6">
      <c r="A2904" s="65" t="s">
        <v>5483</v>
      </c>
      <c r="B2904" s="66">
        <f t="shared" si="162"/>
        <v>41591</v>
      </c>
      <c r="C2904" s="67">
        <f t="shared" si="163"/>
        <v>2013</v>
      </c>
      <c r="D2904" s="68">
        <v>13.103</v>
      </c>
      <c r="E2904" s="68">
        <v>13.187900000000001</v>
      </c>
      <c r="F2904" s="68">
        <v>13.231400000000001</v>
      </c>
    </row>
    <row r="2905" spans="1:6">
      <c r="A2905" s="57" t="s">
        <v>5484</v>
      </c>
      <c r="B2905" s="58">
        <f t="shared" si="162"/>
        <v>41592</v>
      </c>
      <c r="C2905" s="59">
        <f t="shared" si="163"/>
        <v>2013</v>
      </c>
      <c r="D2905" s="61">
        <v>13.017300000000001</v>
      </c>
      <c r="E2905" s="61">
        <v>13.103</v>
      </c>
      <c r="F2905" s="61">
        <v>13.187900000000001</v>
      </c>
    </row>
    <row r="2906" spans="1:6">
      <c r="A2906" s="65" t="s">
        <v>5485</v>
      </c>
      <c r="B2906" s="66">
        <f t="shared" si="162"/>
        <v>41593</v>
      </c>
      <c r="C2906" s="67">
        <f t="shared" si="163"/>
        <v>2013</v>
      </c>
      <c r="D2906" s="68">
        <v>12.952400000000001</v>
      </c>
      <c r="E2906" s="68">
        <v>13.017300000000001</v>
      </c>
      <c r="F2906" s="68">
        <v>13.103</v>
      </c>
    </row>
    <row r="2907" spans="1:6">
      <c r="A2907" s="57" t="s">
        <v>5486</v>
      </c>
      <c r="B2907" s="58">
        <f t="shared" si="162"/>
        <v>41594</v>
      </c>
      <c r="C2907" s="59">
        <f t="shared" si="163"/>
        <v>2013</v>
      </c>
      <c r="D2907" s="60" t="s">
        <v>362</v>
      </c>
      <c r="E2907" s="60" t="s">
        <v>362</v>
      </c>
      <c r="F2907" s="61">
        <v>13.017300000000001</v>
      </c>
    </row>
    <row r="2908" spans="1:6">
      <c r="A2908" s="65" t="s">
        <v>5487</v>
      </c>
      <c r="B2908" s="66">
        <f t="shared" si="162"/>
        <v>41595</v>
      </c>
      <c r="C2908" s="67">
        <f t="shared" si="163"/>
        <v>2013</v>
      </c>
      <c r="D2908" s="70" t="s">
        <v>362</v>
      </c>
      <c r="E2908" s="70" t="s">
        <v>362</v>
      </c>
      <c r="F2908" s="68">
        <v>13.017300000000001</v>
      </c>
    </row>
    <row r="2909" spans="1:6">
      <c r="A2909" s="57" t="s">
        <v>5488</v>
      </c>
      <c r="B2909" s="58">
        <f t="shared" si="162"/>
        <v>41596</v>
      </c>
      <c r="C2909" s="59">
        <f t="shared" si="163"/>
        <v>2013</v>
      </c>
      <c r="D2909" s="60" t="s">
        <v>362</v>
      </c>
      <c r="E2909" s="60" t="s">
        <v>362</v>
      </c>
      <c r="F2909" s="61">
        <v>13.017300000000001</v>
      </c>
    </row>
    <row r="2910" spans="1:6">
      <c r="A2910" s="65" t="s">
        <v>5489</v>
      </c>
      <c r="B2910" s="66">
        <f t="shared" si="162"/>
        <v>41597</v>
      </c>
      <c r="C2910" s="67">
        <f t="shared" si="163"/>
        <v>2013</v>
      </c>
      <c r="D2910" s="68">
        <v>12.886900000000001</v>
      </c>
      <c r="E2910" s="68">
        <v>12.952400000000001</v>
      </c>
      <c r="F2910" s="68">
        <v>13.017300000000001</v>
      </c>
    </row>
    <row r="2911" spans="1:6">
      <c r="A2911" s="57" t="s">
        <v>5490</v>
      </c>
      <c r="B2911" s="58">
        <f t="shared" ref="B2911:B2974" si="164">DATE(RIGHT(A2911,4),LEFT(RIGHT(A2911,7),2),LEFT(A2911,2))</f>
        <v>41598</v>
      </c>
      <c r="C2911" s="59">
        <f t="shared" ref="C2911:C2974" si="165">YEAR(B2911)</f>
        <v>2013</v>
      </c>
      <c r="D2911" s="61">
        <v>12.9697</v>
      </c>
      <c r="E2911" s="61">
        <v>12.886900000000001</v>
      </c>
      <c r="F2911" s="61">
        <v>12.952400000000001</v>
      </c>
    </row>
    <row r="2912" spans="1:6">
      <c r="A2912" s="65" t="s">
        <v>5491</v>
      </c>
      <c r="B2912" s="66">
        <f t="shared" si="164"/>
        <v>41599</v>
      </c>
      <c r="C2912" s="67">
        <f t="shared" si="165"/>
        <v>2013</v>
      </c>
      <c r="D2912" s="68">
        <v>13.0617</v>
      </c>
      <c r="E2912" s="68">
        <v>12.9697</v>
      </c>
      <c r="F2912" s="68">
        <v>12.886900000000001</v>
      </c>
    </row>
    <row r="2913" spans="1:6">
      <c r="A2913" s="57" t="s">
        <v>5492</v>
      </c>
      <c r="B2913" s="58">
        <f t="shared" si="164"/>
        <v>41600</v>
      </c>
      <c r="C2913" s="59">
        <f t="shared" si="165"/>
        <v>2013</v>
      </c>
      <c r="D2913" s="61">
        <v>13.0223</v>
      </c>
      <c r="E2913" s="61">
        <v>13.0617</v>
      </c>
      <c r="F2913" s="61">
        <v>12.9697</v>
      </c>
    </row>
    <row r="2914" spans="1:6">
      <c r="A2914" s="65" t="s">
        <v>5493</v>
      </c>
      <c r="B2914" s="66">
        <f t="shared" si="164"/>
        <v>41601</v>
      </c>
      <c r="C2914" s="67">
        <f t="shared" si="165"/>
        <v>2013</v>
      </c>
      <c r="D2914" s="70" t="s">
        <v>362</v>
      </c>
      <c r="E2914" s="70" t="s">
        <v>362</v>
      </c>
      <c r="F2914" s="68">
        <v>13.0617</v>
      </c>
    </row>
    <row r="2915" spans="1:6">
      <c r="A2915" s="57" t="s">
        <v>5494</v>
      </c>
      <c r="B2915" s="58">
        <f t="shared" si="164"/>
        <v>41602</v>
      </c>
      <c r="C2915" s="59">
        <f t="shared" si="165"/>
        <v>2013</v>
      </c>
      <c r="D2915" s="60" t="s">
        <v>362</v>
      </c>
      <c r="E2915" s="60" t="s">
        <v>362</v>
      </c>
      <c r="F2915" s="61">
        <v>13.0617</v>
      </c>
    </row>
    <row r="2916" spans="1:6">
      <c r="A2916" s="65" t="s">
        <v>5495</v>
      </c>
      <c r="B2916" s="66">
        <f t="shared" si="164"/>
        <v>41603</v>
      </c>
      <c r="C2916" s="67">
        <f t="shared" si="165"/>
        <v>2013</v>
      </c>
      <c r="D2916" s="68">
        <v>13.0267</v>
      </c>
      <c r="E2916" s="68">
        <v>13.0223</v>
      </c>
      <c r="F2916" s="68">
        <v>13.0617</v>
      </c>
    </row>
    <row r="2917" spans="1:6">
      <c r="A2917" s="57" t="s">
        <v>5496</v>
      </c>
      <c r="B2917" s="58">
        <f t="shared" si="164"/>
        <v>41604</v>
      </c>
      <c r="C2917" s="59">
        <f t="shared" si="165"/>
        <v>2013</v>
      </c>
      <c r="D2917" s="61">
        <v>13.0745</v>
      </c>
      <c r="E2917" s="61">
        <v>13.0267</v>
      </c>
      <c r="F2917" s="61">
        <v>13.0223</v>
      </c>
    </row>
    <row r="2918" spans="1:6">
      <c r="A2918" s="65" t="s">
        <v>5497</v>
      </c>
      <c r="B2918" s="66">
        <f t="shared" si="164"/>
        <v>41605</v>
      </c>
      <c r="C2918" s="67">
        <f t="shared" si="165"/>
        <v>2013</v>
      </c>
      <c r="D2918" s="68">
        <v>13.092499999999999</v>
      </c>
      <c r="E2918" s="68">
        <v>13.0745</v>
      </c>
      <c r="F2918" s="68">
        <v>13.0267</v>
      </c>
    </row>
    <row r="2919" spans="1:6">
      <c r="A2919" s="57" t="s">
        <v>5498</v>
      </c>
      <c r="B2919" s="58">
        <f t="shared" si="164"/>
        <v>41606</v>
      </c>
      <c r="C2919" s="59">
        <f t="shared" si="165"/>
        <v>2013</v>
      </c>
      <c r="D2919" s="61">
        <v>13.083600000000001</v>
      </c>
      <c r="E2919" s="61">
        <v>13.092499999999999</v>
      </c>
      <c r="F2919" s="61">
        <v>13.0745</v>
      </c>
    </row>
    <row r="2920" spans="1:6">
      <c r="A2920" s="65" t="s">
        <v>5499</v>
      </c>
      <c r="B2920" s="66">
        <f t="shared" si="164"/>
        <v>41607</v>
      </c>
      <c r="C2920" s="67">
        <f t="shared" si="165"/>
        <v>2013</v>
      </c>
      <c r="D2920" s="68">
        <v>13.110099999999999</v>
      </c>
      <c r="E2920" s="68">
        <v>13.083600000000001</v>
      </c>
      <c r="F2920" s="68">
        <v>13.092499999999999</v>
      </c>
    </row>
    <row r="2921" spans="1:6">
      <c r="A2921" s="57" t="s">
        <v>5500</v>
      </c>
      <c r="B2921" s="58">
        <f t="shared" si="164"/>
        <v>41608</v>
      </c>
      <c r="C2921" s="59">
        <f t="shared" si="165"/>
        <v>2013</v>
      </c>
      <c r="D2921" s="60" t="s">
        <v>362</v>
      </c>
      <c r="E2921" s="60" t="s">
        <v>362</v>
      </c>
      <c r="F2921" s="61">
        <v>13.083600000000001</v>
      </c>
    </row>
    <row r="2922" spans="1:6">
      <c r="A2922" s="65" t="s">
        <v>5501</v>
      </c>
      <c r="B2922" s="66">
        <f t="shared" si="164"/>
        <v>41609</v>
      </c>
      <c r="C2922" s="67">
        <f t="shared" si="165"/>
        <v>2013</v>
      </c>
      <c r="D2922" s="70" t="s">
        <v>362</v>
      </c>
      <c r="E2922" s="70" t="s">
        <v>362</v>
      </c>
      <c r="F2922" s="68">
        <v>13.083600000000001</v>
      </c>
    </row>
    <row r="2923" spans="1:6">
      <c r="A2923" s="57" t="s">
        <v>5502</v>
      </c>
      <c r="B2923" s="58">
        <f t="shared" si="164"/>
        <v>41610</v>
      </c>
      <c r="C2923" s="59">
        <f t="shared" si="165"/>
        <v>2013</v>
      </c>
      <c r="D2923" s="61">
        <v>13.2041</v>
      </c>
      <c r="E2923" s="61">
        <v>13.110099999999999</v>
      </c>
      <c r="F2923" s="61">
        <v>13.083600000000001</v>
      </c>
    </row>
    <row r="2924" spans="1:6">
      <c r="A2924" s="65" t="s">
        <v>5503</v>
      </c>
      <c r="B2924" s="66">
        <f t="shared" si="164"/>
        <v>41611</v>
      </c>
      <c r="C2924" s="67">
        <f t="shared" si="165"/>
        <v>2013</v>
      </c>
      <c r="D2924" s="68">
        <v>13.2372</v>
      </c>
      <c r="E2924" s="68">
        <v>13.2041</v>
      </c>
      <c r="F2924" s="68">
        <v>13.110099999999999</v>
      </c>
    </row>
    <row r="2925" spans="1:6">
      <c r="A2925" s="57" t="s">
        <v>5504</v>
      </c>
      <c r="B2925" s="58">
        <f t="shared" si="164"/>
        <v>41612</v>
      </c>
      <c r="C2925" s="59">
        <f t="shared" si="165"/>
        <v>2013</v>
      </c>
      <c r="D2925" s="61">
        <v>13.082599999999999</v>
      </c>
      <c r="E2925" s="61">
        <v>13.2372</v>
      </c>
      <c r="F2925" s="61">
        <v>13.2041</v>
      </c>
    </row>
    <row r="2926" spans="1:6">
      <c r="A2926" s="65" t="s">
        <v>5505</v>
      </c>
      <c r="B2926" s="66">
        <f t="shared" si="164"/>
        <v>41613</v>
      </c>
      <c r="C2926" s="67">
        <f t="shared" si="165"/>
        <v>2013</v>
      </c>
      <c r="D2926" s="68">
        <v>13.005699999999999</v>
      </c>
      <c r="E2926" s="68">
        <v>13.082599999999999</v>
      </c>
      <c r="F2926" s="68">
        <v>13.2372</v>
      </c>
    </row>
    <row r="2927" spans="1:6">
      <c r="A2927" s="57" t="s">
        <v>5506</v>
      </c>
      <c r="B2927" s="58">
        <f t="shared" si="164"/>
        <v>41614</v>
      </c>
      <c r="C2927" s="59">
        <f t="shared" si="165"/>
        <v>2013</v>
      </c>
      <c r="D2927" s="61">
        <v>12.9299</v>
      </c>
      <c r="E2927" s="61">
        <v>13.005699999999999</v>
      </c>
      <c r="F2927" s="61">
        <v>13.082599999999999</v>
      </c>
    </row>
    <row r="2928" spans="1:6">
      <c r="A2928" s="65" t="s">
        <v>5507</v>
      </c>
      <c r="B2928" s="66">
        <f t="shared" si="164"/>
        <v>41615</v>
      </c>
      <c r="C2928" s="67">
        <f t="shared" si="165"/>
        <v>2013</v>
      </c>
      <c r="D2928" s="70" t="s">
        <v>362</v>
      </c>
      <c r="E2928" s="70" t="s">
        <v>362</v>
      </c>
      <c r="F2928" s="68">
        <v>13.005699999999999</v>
      </c>
    </row>
    <row r="2929" spans="1:6">
      <c r="A2929" s="57" t="s">
        <v>5508</v>
      </c>
      <c r="B2929" s="58">
        <f t="shared" si="164"/>
        <v>41616</v>
      </c>
      <c r="C2929" s="59">
        <f t="shared" si="165"/>
        <v>2013</v>
      </c>
      <c r="D2929" s="60" t="s">
        <v>362</v>
      </c>
      <c r="E2929" s="60" t="s">
        <v>362</v>
      </c>
      <c r="F2929" s="61">
        <v>13.005699999999999</v>
      </c>
    </row>
    <row r="2930" spans="1:6">
      <c r="A2930" s="65" t="s">
        <v>5509</v>
      </c>
      <c r="B2930" s="66">
        <f t="shared" si="164"/>
        <v>41617</v>
      </c>
      <c r="C2930" s="67">
        <f t="shared" si="165"/>
        <v>2013</v>
      </c>
      <c r="D2930" s="68">
        <v>12.8612</v>
      </c>
      <c r="E2930" s="68">
        <v>12.9299</v>
      </c>
      <c r="F2930" s="68">
        <v>13.005699999999999</v>
      </c>
    </row>
    <row r="2931" spans="1:6">
      <c r="A2931" s="57" t="s">
        <v>5510</v>
      </c>
      <c r="B2931" s="58">
        <f t="shared" si="164"/>
        <v>41618</v>
      </c>
      <c r="C2931" s="59">
        <f t="shared" si="165"/>
        <v>2013</v>
      </c>
      <c r="D2931" s="61">
        <v>12.8574</v>
      </c>
      <c r="E2931" s="61">
        <v>12.8612</v>
      </c>
      <c r="F2931" s="61">
        <v>12.9299</v>
      </c>
    </row>
    <row r="2932" spans="1:6">
      <c r="A2932" s="65" t="s">
        <v>5511</v>
      </c>
      <c r="B2932" s="66">
        <f t="shared" si="164"/>
        <v>41619</v>
      </c>
      <c r="C2932" s="67">
        <f t="shared" si="165"/>
        <v>2013</v>
      </c>
      <c r="D2932" s="68">
        <v>12.934200000000001</v>
      </c>
      <c r="E2932" s="68">
        <v>12.8574</v>
      </c>
      <c r="F2932" s="68">
        <v>12.8612</v>
      </c>
    </row>
    <row r="2933" spans="1:6">
      <c r="A2933" s="57" t="s">
        <v>5512</v>
      </c>
      <c r="B2933" s="58">
        <f t="shared" si="164"/>
        <v>41620</v>
      </c>
      <c r="C2933" s="59">
        <f t="shared" si="165"/>
        <v>2013</v>
      </c>
      <c r="D2933" s="60" t="s">
        <v>362</v>
      </c>
      <c r="E2933" s="60" t="s">
        <v>362</v>
      </c>
      <c r="F2933" s="61">
        <v>12.8574</v>
      </c>
    </row>
    <row r="2934" spans="1:6">
      <c r="A2934" s="65" t="s">
        <v>5513</v>
      </c>
      <c r="B2934" s="66">
        <f t="shared" si="164"/>
        <v>41621</v>
      </c>
      <c r="C2934" s="67">
        <f t="shared" si="165"/>
        <v>2013</v>
      </c>
      <c r="D2934" s="68">
        <v>12.951499999999999</v>
      </c>
      <c r="E2934" s="68">
        <v>12.934200000000001</v>
      </c>
      <c r="F2934" s="68">
        <v>12.8574</v>
      </c>
    </row>
    <row r="2935" spans="1:6">
      <c r="A2935" s="57" t="s">
        <v>5514</v>
      </c>
      <c r="B2935" s="58">
        <f t="shared" si="164"/>
        <v>41622</v>
      </c>
      <c r="C2935" s="59">
        <f t="shared" si="165"/>
        <v>2013</v>
      </c>
      <c r="D2935" s="60" t="s">
        <v>362</v>
      </c>
      <c r="E2935" s="60" t="s">
        <v>362</v>
      </c>
      <c r="F2935" s="61">
        <v>12.934200000000001</v>
      </c>
    </row>
    <row r="2936" spans="1:6">
      <c r="A2936" s="65" t="s">
        <v>5515</v>
      </c>
      <c r="B2936" s="66">
        <f t="shared" si="164"/>
        <v>41623</v>
      </c>
      <c r="C2936" s="67">
        <f t="shared" si="165"/>
        <v>2013</v>
      </c>
      <c r="D2936" s="70" t="s">
        <v>362</v>
      </c>
      <c r="E2936" s="70" t="s">
        <v>362</v>
      </c>
      <c r="F2936" s="68">
        <v>12.934200000000001</v>
      </c>
    </row>
    <row r="2937" spans="1:6">
      <c r="A2937" s="57" t="s">
        <v>5516</v>
      </c>
      <c r="B2937" s="58">
        <f t="shared" si="164"/>
        <v>41624</v>
      </c>
      <c r="C2937" s="59">
        <f t="shared" si="165"/>
        <v>2013</v>
      </c>
      <c r="D2937" s="61">
        <v>12.943899999999999</v>
      </c>
      <c r="E2937" s="61">
        <v>12.951499999999999</v>
      </c>
      <c r="F2937" s="61">
        <v>12.934200000000001</v>
      </c>
    </row>
    <row r="2938" spans="1:6">
      <c r="A2938" s="65" t="s">
        <v>5517</v>
      </c>
      <c r="B2938" s="66">
        <f t="shared" si="164"/>
        <v>41625</v>
      </c>
      <c r="C2938" s="67">
        <f t="shared" si="165"/>
        <v>2013</v>
      </c>
      <c r="D2938" s="68">
        <v>12.9575</v>
      </c>
      <c r="E2938" s="68">
        <v>12.943899999999999</v>
      </c>
      <c r="F2938" s="68">
        <v>12.951499999999999</v>
      </c>
    </row>
    <row r="2939" spans="1:6">
      <c r="A2939" s="57" t="s">
        <v>5518</v>
      </c>
      <c r="B2939" s="58">
        <f t="shared" si="164"/>
        <v>41626</v>
      </c>
      <c r="C2939" s="59">
        <f t="shared" si="165"/>
        <v>2013</v>
      </c>
      <c r="D2939" s="61">
        <v>12.9937</v>
      </c>
      <c r="E2939" s="61">
        <v>12.9575</v>
      </c>
      <c r="F2939" s="61">
        <v>12.943899999999999</v>
      </c>
    </row>
    <row r="2940" spans="1:6">
      <c r="A2940" s="65" t="s">
        <v>5519</v>
      </c>
      <c r="B2940" s="66">
        <f t="shared" si="164"/>
        <v>41627</v>
      </c>
      <c r="C2940" s="67">
        <f t="shared" si="165"/>
        <v>2013</v>
      </c>
      <c r="D2940" s="68">
        <v>12.973000000000001</v>
      </c>
      <c r="E2940" s="68">
        <v>12.9937</v>
      </c>
      <c r="F2940" s="68">
        <v>12.9575</v>
      </c>
    </row>
    <row r="2941" spans="1:6">
      <c r="A2941" s="57" t="s">
        <v>5520</v>
      </c>
      <c r="B2941" s="58">
        <f t="shared" si="164"/>
        <v>41628</v>
      </c>
      <c r="C2941" s="59">
        <f t="shared" si="165"/>
        <v>2013</v>
      </c>
      <c r="D2941" s="61">
        <v>12.9574</v>
      </c>
      <c r="E2941" s="61">
        <v>12.973000000000001</v>
      </c>
      <c r="F2941" s="61">
        <v>12.9937</v>
      </c>
    </row>
    <row r="2942" spans="1:6">
      <c r="A2942" s="65" t="s">
        <v>5521</v>
      </c>
      <c r="B2942" s="66">
        <f t="shared" si="164"/>
        <v>41629</v>
      </c>
      <c r="C2942" s="67">
        <f t="shared" si="165"/>
        <v>2013</v>
      </c>
      <c r="D2942" s="70" t="s">
        <v>362</v>
      </c>
      <c r="E2942" s="70" t="s">
        <v>362</v>
      </c>
      <c r="F2942" s="68">
        <v>12.973000000000001</v>
      </c>
    </row>
    <row r="2943" spans="1:6">
      <c r="A2943" s="57" t="s">
        <v>5522</v>
      </c>
      <c r="B2943" s="58">
        <f t="shared" si="164"/>
        <v>41630</v>
      </c>
      <c r="C2943" s="59">
        <f t="shared" si="165"/>
        <v>2013</v>
      </c>
      <c r="D2943" s="60" t="s">
        <v>362</v>
      </c>
      <c r="E2943" s="60" t="s">
        <v>362</v>
      </c>
      <c r="F2943" s="61">
        <v>12.973000000000001</v>
      </c>
    </row>
    <row r="2944" spans="1:6">
      <c r="A2944" s="65" t="s">
        <v>5523</v>
      </c>
      <c r="B2944" s="66">
        <f t="shared" si="164"/>
        <v>41631</v>
      </c>
      <c r="C2944" s="67">
        <f t="shared" si="165"/>
        <v>2013</v>
      </c>
      <c r="D2944" s="68">
        <v>12.961</v>
      </c>
      <c r="E2944" s="68">
        <v>12.9574</v>
      </c>
      <c r="F2944" s="68">
        <v>12.973000000000001</v>
      </c>
    </row>
    <row r="2945" spans="1:6">
      <c r="A2945" s="57" t="s">
        <v>5524</v>
      </c>
      <c r="B2945" s="58">
        <f t="shared" si="164"/>
        <v>41632</v>
      </c>
      <c r="C2945" s="59">
        <f t="shared" si="165"/>
        <v>2013</v>
      </c>
      <c r="D2945" s="61">
        <v>13.02</v>
      </c>
      <c r="E2945" s="61">
        <v>12.961</v>
      </c>
      <c r="F2945" s="61">
        <v>12.9574</v>
      </c>
    </row>
    <row r="2946" spans="1:6">
      <c r="A2946" s="65" t="s">
        <v>5525</v>
      </c>
      <c r="B2946" s="66">
        <f t="shared" si="164"/>
        <v>41633</v>
      </c>
      <c r="C2946" s="67">
        <f t="shared" si="165"/>
        <v>2013</v>
      </c>
      <c r="D2946" s="70" t="s">
        <v>362</v>
      </c>
      <c r="E2946" s="70" t="s">
        <v>362</v>
      </c>
      <c r="F2946" s="68">
        <v>12.961</v>
      </c>
    </row>
    <row r="2947" spans="1:6">
      <c r="A2947" s="57" t="s">
        <v>5526</v>
      </c>
      <c r="B2947" s="58">
        <f t="shared" si="164"/>
        <v>41634</v>
      </c>
      <c r="C2947" s="59">
        <f t="shared" si="165"/>
        <v>2013</v>
      </c>
      <c r="D2947" s="61">
        <v>13.0547</v>
      </c>
      <c r="E2947" s="61">
        <v>13.02</v>
      </c>
      <c r="F2947" s="61">
        <v>12.961</v>
      </c>
    </row>
    <row r="2948" spans="1:6">
      <c r="A2948" s="65" t="s">
        <v>5527</v>
      </c>
      <c r="B2948" s="66">
        <f t="shared" si="164"/>
        <v>41635</v>
      </c>
      <c r="C2948" s="67">
        <f t="shared" si="165"/>
        <v>2013</v>
      </c>
      <c r="D2948" s="68">
        <v>13.076499999999999</v>
      </c>
      <c r="E2948" s="68">
        <v>13.0547</v>
      </c>
      <c r="F2948" s="68">
        <v>13.02</v>
      </c>
    </row>
    <row r="2949" spans="1:6">
      <c r="A2949" s="57" t="s">
        <v>5528</v>
      </c>
      <c r="B2949" s="58">
        <f t="shared" si="164"/>
        <v>41636</v>
      </c>
      <c r="C2949" s="59">
        <f t="shared" si="165"/>
        <v>2013</v>
      </c>
      <c r="D2949" s="60" t="s">
        <v>362</v>
      </c>
      <c r="E2949" s="60" t="s">
        <v>362</v>
      </c>
      <c r="F2949" s="61">
        <v>13.0547</v>
      </c>
    </row>
    <row r="2950" spans="1:6">
      <c r="A2950" s="65" t="s">
        <v>5529</v>
      </c>
      <c r="B2950" s="66">
        <f t="shared" si="164"/>
        <v>41637</v>
      </c>
      <c r="C2950" s="67">
        <f t="shared" si="165"/>
        <v>2013</v>
      </c>
      <c r="D2950" s="70" t="s">
        <v>362</v>
      </c>
      <c r="E2950" s="70" t="s">
        <v>362</v>
      </c>
      <c r="F2950" s="68">
        <v>13.0547</v>
      </c>
    </row>
    <row r="2951" spans="1:6">
      <c r="A2951" s="57" t="s">
        <v>5530</v>
      </c>
      <c r="B2951" s="58">
        <f t="shared" si="164"/>
        <v>41638</v>
      </c>
      <c r="C2951" s="59">
        <f t="shared" si="165"/>
        <v>2013</v>
      </c>
      <c r="D2951" s="61">
        <v>13.065200000000001</v>
      </c>
      <c r="E2951" s="61">
        <v>13.076499999999999</v>
      </c>
      <c r="F2951" s="61">
        <v>13.0547</v>
      </c>
    </row>
    <row r="2952" spans="1:6">
      <c r="A2952" s="65" t="s">
        <v>5531</v>
      </c>
      <c r="B2952" s="66">
        <f t="shared" si="164"/>
        <v>41639</v>
      </c>
      <c r="C2952" s="67">
        <f t="shared" si="165"/>
        <v>2013</v>
      </c>
      <c r="D2952" s="68">
        <v>13.084300000000001</v>
      </c>
      <c r="E2952" s="68">
        <v>13.065200000000001</v>
      </c>
      <c r="F2952" s="68">
        <v>13.076499999999999</v>
      </c>
    </row>
    <row r="2953" spans="1:6">
      <c r="A2953" s="57" t="s">
        <v>5532</v>
      </c>
      <c r="B2953" s="58">
        <f t="shared" si="164"/>
        <v>41640</v>
      </c>
      <c r="C2953" s="59">
        <f t="shared" si="165"/>
        <v>2014</v>
      </c>
      <c r="D2953" s="60" t="s">
        <v>362</v>
      </c>
      <c r="E2953" s="60" t="s">
        <v>362</v>
      </c>
      <c r="F2953" s="61">
        <v>13.065200000000001</v>
      </c>
    </row>
    <row r="2954" spans="1:6">
      <c r="A2954" s="65" t="s">
        <v>5533</v>
      </c>
      <c r="B2954" s="66">
        <f t="shared" si="164"/>
        <v>41641</v>
      </c>
      <c r="C2954" s="67">
        <f t="shared" si="165"/>
        <v>2014</v>
      </c>
      <c r="D2954" s="68">
        <v>13.101100000000001</v>
      </c>
      <c r="E2954" s="68">
        <v>13.084300000000001</v>
      </c>
      <c r="F2954" s="68">
        <v>13.065200000000001</v>
      </c>
    </row>
    <row r="2955" spans="1:6">
      <c r="A2955" s="57" t="s">
        <v>5534</v>
      </c>
      <c r="B2955" s="58">
        <f t="shared" si="164"/>
        <v>41642</v>
      </c>
      <c r="C2955" s="59">
        <f t="shared" si="165"/>
        <v>2014</v>
      </c>
      <c r="D2955" s="61">
        <v>13.091100000000001</v>
      </c>
      <c r="E2955" s="61">
        <v>13.101100000000001</v>
      </c>
      <c r="F2955" s="61">
        <v>13.084300000000001</v>
      </c>
    </row>
    <row r="2956" spans="1:6">
      <c r="A2956" s="65" t="s">
        <v>5535</v>
      </c>
      <c r="B2956" s="66">
        <f t="shared" si="164"/>
        <v>41643</v>
      </c>
      <c r="C2956" s="67">
        <f t="shared" si="165"/>
        <v>2014</v>
      </c>
      <c r="D2956" s="70" t="s">
        <v>362</v>
      </c>
      <c r="E2956" s="70" t="s">
        <v>362</v>
      </c>
      <c r="F2956" s="68">
        <v>13.101100000000001</v>
      </c>
    </row>
    <row r="2957" spans="1:6">
      <c r="A2957" s="57" t="s">
        <v>5536</v>
      </c>
      <c r="B2957" s="58">
        <f t="shared" si="164"/>
        <v>41644</v>
      </c>
      <c r="C2957" s="59">
        <f t="shared" si="165"/>
        <v>2014</v>
      </c>
      <c r="D2957" s="60" t="s">
        <v>362</v>
      </c>
      <c r="E2957" s="60" t="s">
        <v>362</v>
      </c>
      <c r="F2957" s="61">
        <v>13.101100000000001</v>
      </c>
    </row>
    <row r="2958" spans="1:6">
      <c r="A2958" s="65" t="s">
        <v>5537</v>
      </c>
      <c r="B2958" s="66">
        <f t="shared" si="164"/>
        <v>41645</v>
      </c>
      <c r="C2958" s="67">
        <f t="shared" si="165"/>
        <v>2014</v>
      </c>
      <c r="D2958" s="68">
        <v>13.0905</v>
      </c>
      <c r="E2958" s="68">
        <v>13.091100000000001</v>
      </c>
      <c r="F2958" s="68">
        <v>13.101100000000001</v>
      </c>
    </row>
    <row r="2959" spans="1:6">
      <c r="A2959" s="57" t="s">
        <v>5538</v>
      </c>
      <c r="B2959" s="58">
        <f t="shared" si="164"/>
        <v>41646</v>
      </c>
      <c r="C2959" s="59">
        <f t="shared" si="165"/>
        <v>2014</v>
      </c>
      <c r="D2959" s="61">
        <v>13.0337</v>
      </c>
      <c r="E2959" s="61">
        <v>13.0905</v>
      </c>
      <c r="F2959" s="61">
        <v>13.091100000000001</v>
      </c>
    </row>
    <row r="2960" spans="1:6">
      <c r="A2960" s="65" t="s">
        <v>5539</v>
      </c>
      <c r="B2960" s="66">
        <f t="shared" si="164"/>
        <v>41647</v>
      </c>
      <c r="C2960" s="67">
        <f t="shared" si="165"/>
        <v>2014</v>
      </c>
      <c r="D2960" s="68">
        <v>13.0846</v>
      </c>
      <c r="E2960" s="68">
        <v>13.0337</v>
      </c>
      <c r="F2960" s="68">
        <v>13.0905</v>
      </c>
    </row>
    <row r="2961" spans="1:6">
      <c r="A2961" s="57" t="s">
        <v>5540</v>
      </c>
      <c r="B2961" s="58">
        <f t="shared" si="164"/>
        <v>41648</v>
      </c>
      <c r="C2961" s="59">
        <f t="shared" si="165"/>
        <v>2014</v>
      </c>
      <c r="D2961" s="61">
        <v>13.1403</v>
      </c>
      <c r="E2961" s="61">
        <v>13.0846</v>
      </c>
      <c r="F2961" s="61">
        <v>13.0337</v>
      </c>
    </row>
    <row r="2962" spans="1:6">
      <c r="A2962" s="65" t="s">
        <v>5541</v>
      </c>
      <c r="B2962" s="66">
        <f t="shared" si="164"/>
        <v>41649</v>
      </c>
      <c r="C2962" s="67">
        <f t="shared" si="165"/>
        <v>2014</v>
      </c>
      <c r="D2962" s="68">
        <v>13.006500000000001</v>
      </c>
      <c r="E2962" s="68">
        <v>13.1403</v>
      </c>
      <c r="F2962" s="68">
        <v>13.0846</v>
      </c>
    </row>
    <row r="2963" spans="1:6">
      <c r="A2963" s="57" t="s">
        <v>5542</v>
      </c>
      <c r="B2963" s="58">
        <f t="shared" si="164"/>
        <v>41650</v>
      </c>
      <c r="C2963" s="59">
        <f t="shared" si="165"/>
        <v>2014</v>
      </c>
      <c r="D2963" s="60" t="s">
        <v>362</v>
      </c>
      <c r="E2963" s="60" t="s">
        <v>362</v>
      </c>
      <c r="F2963" s="61">
        <v>13.1403</v>
      </c>
    </row>
    <row r="2964" spans="1:6">
      <c r="A2964" s="65" t="s">
        <v>5543</v>
      </c>
      <c r="B2964" s="66">
        <f t="shared" si="164"/>
        <v>41651</v>
      </c>
      <c r="C2964" s="67">
        <f t="shared" si="165"/>
        <v>2014</v>
      </c>
      <c r="D2964" s="70" t="s">
        <v>362</v>
      </c>
      <c r="E2964" s="70" t="s">
        <v>362</v>
      </c>
      <c r="F2964" s="68">
        <v>13.1403</v>
      </c>
    </row>
    <row r="2965" spans="1:6">
      <c r="A2965" s="57" t="s">
        <v>5544</v>
      </c>
      <c r="B2965" s="58">
        <f t="shared" si="164"/>
        <v>41652</v>
      </c>
      <c r="C2965" s="59">
        <f t="shared" si="165"/>
        <v>2014</v>
      </c>
      <c r="D2965" s="61">
        <v>12.988899999999999</v>
      </c>
      <c r="E2965" s="61">
        <v>13.006500000000001</v>
      </c>
      <c r="F2965" s="61">
        <v>13.1403</v>
      </c>
    </row>
    <row r="2966" spans="1:6">
      <c r="A2966" s="65" t="s">
        <v>5545</v>
      </c>
      <c r="B2966" s="66">
        <f t="shared" si="164"/>
        <v>41653</v>
      </c>
      <c r="C2966" s="67">
        <f t="shared" si="165"/>
        <v>2014</v>
      </c>
      <c r="D2966" s="68">
        <v>13.095599999999999</v>
      </c>
      <c r="E2966" s="68">
        <v>12.988899999999999</v>
      </c>
      <c r="F2966" s="68">
        <v>13.006500000000001</v>
      </c>
    </row>
    <row r="2967" spans="1:6">
      <c r="A2967" s="57" t="s">
        <v>5546</v>
      </c>
      <c r="B2967" s="58">
        <f t="shared" si="164"/>
        <v>41654</v>
      </c>
      <c r="C2967" s="59">
        <f t="shared" si="165"/>
        <v>2014</v>
      </c>
      <c r="D2967" s="61">
        <v>13.168900000000001</v>
      </c>
      <c r="E2967" s="61">
        <v>13.095599999999999</v>
      </c>
      <c r="F2967" s="61">
        <v>12.988899999999999</v>
      </c>
    </row>
    <row r="2968" spans="1:6">
      <c r="A2968" s="65" t="s">
        <v>5547</v>
      </c>
      <c r="B2968" s="66">
        <f t="shared" si="164"/>
        <v>41655</v>
      </c>
      <c r="C2968" s="67">
        <f t="shared" si="165"/>
        <v>2014</v>
      </c>
      <c r="D2968" s="68">
        <v>13.290699999999999</v>
      </c>
      <c r="E2968" s="68">
        <v>13.168900000000001</v>
      </c>
      <c r="F2968" s="68">
        <v>13.095599999999999</v>
      </c>
    </row>
    <row r="2969" spans="1:6">
      <c r="A2969" s="57" t="s">
        <v>5548</v>
      </c>
      <c r="B2969" s="58">
        <f t="shared" si="164"/>
        <v>41656</v>
      </c>
      <c r="C2969" s="59">
        <f t="shared" si="165"/>
        <v>2014</v>
      </c>
      <c r="D2969" s="61">
        <v>13.2737</v>
      </c>
      <c r="E2969" s="61">
        <v>13.290699999999999</v>
      </c>
      <c r="F2969" s="61">
        <v>13.168900000000001</v>
      </c>
    </row>
    <row r="2970" spans="1:6">
      <c r="A2970" s="65" t="s">
        <v>5549</v>
      </c>
      <c r="B2970" s="66">
        <f t="shared" si="164"/>
        <v>41657</v>
      </c>
      <c r="C2970" s="67">
        <f t="shared" si="165"/>
        <v>2014</v>
      </c>
      <c r="D2970" s="70" t="s">
        <v>362</v>
      </c>
      <c r="E2970" s="70" t="s">
        <v>362</v>
      </c>
      <c r="F2970" s="68">
        <v>13.290699999999999</v>
      </c>
    </row>
    <row r="2971" spans="1:6">
      <c r="A2971" s="57" t="s">
        <v>5550</v>
      </c>
      <c r="B2971" s="58">
        <f t="shared" si="164"/>
        <v>41658</v>
      </c>
      <c r="C2971" s="59">
        <f t="shared" si="165"/>
        <v>2014</v>
      </c>
      <c r="D2971" s="60" t="s">
        <v>362</v>
      </c>
      <c r="E2971" s="60" t="s">
        <v>362</v>
      </c>
      <c r="F2971" s="61">
        <v>13.290699999999999</v>
      </c>
    </row>
    <row r="2972" spans="1:6">
      <c r="A2972" s="65" t="s">
        <v>5551</v>
      </c>
      <c r="B2972" s="66">
        <f t="shared" si="164"/>
        <v>41659</v>
      </c>
      <c r="C2972" s="67">
        <f t="shared" si="165"/>
        <v>2014</v>
      </c>
      <c r="D2972" s="68">
        <v>13.242000000000001</v>
      </c>
      <c r="E2972" s="68">
        <v>13.2737</v>
      </c>
      <c r="F2972" s="68">
        <v>13.290699999999999</v>
      </c>
    </row>
    <row r="2973" spans="1:6">
      <c r="A2973" s="57" t="s">
        <v>5552</v>
      </c>
      <c r="B2973" s="58">
        <f t="shared" si="164"/>
        <v>41660</v>
      </c>
      <c r="C2973" s="59">
        <f t="shared" si="165"/>
        <v>2014</v>
      </c>
      <c r="D2973" s="61">
        <v>13.298400000000001</v>
      </c>
      <c r="E2973" s="61">
        <v>13.242000000000001</v>
      </c>
      <c r="F2973" s="61">
        <v>13.2737</v>
      </c>
    </row>
    <row r="2974" spans="1:6">
      <c r="A2974" s="65" t="s">
        <v>5553</v>
      </c>
      <c r="B2974" s="66">
        <f t="shared" si="164"/>
        <v>41661</v>
      </c>
      <c r="C2974" s="67">
        <f t="shared" si="165"/>
        <v>2014</v>
      </c>
      <c r="D2974" s="68">
        <v>13.3194</v>
      </c>
      <c r="E2974" s="68">
        <v>13.298400000000001</v>
      </c>
      <c r="F2974" s="68">
        <v>13.242000000000001</v>
      </c>
    </row>
    <row r="2975" spans="1:6">
      <c r="A2975" s="57" t="s">
        <v>5554</v>
      </c>
      <c r="B2975" s="58">
        <f t="shared" ref="B2975:B3038" si="166">DATE(RIGHT(A2975,4),LEFT(RIGHT(A2975,7),2),LEFT(A2975,2))</f>
        <v>41662</v>
      </c>
      <c r="C2975" s="59">
        <f t="shared" ref="C2975:C3038" si="167">YEAR(B2975)</f>
        <v>2014</v>
      </c>
      <c r="D2975" s="61">
        <v>13.372199999999999</v>
      </c>
      <c r="E2975" s="61">
        <v>13.3194</v>
      </c>
      <c r="F2975" s="61">
        <v>13.298400000000001</v>
      </c>
    </row>
    <row r="2976" spans="1:6">
      <c r="A2976" s="65" t="s">
        <v>5555</v>
      </c>
      <c r="B2976" s="66">
        <f t="shared" si="166"/>
        <v>41663</v>
      </c>
      <c r="C2976" s="67">
        <f t="shared" si="167"/>
        <v>2014</v>
      </c>
      <c r="D2976" s="68">
        <v>13.493</v>
      </c>
      <c r="E2976" s="68">
        <v>13.372199999999999</v>
      </c>
      <c r="F2976" s="68">
        <v>13.3194</v>
      </c>
    </row>
    <row r="2977" spans="1:6">
      <c r="A2977" s="57" t="s">
        <v>5556</v>
      </c>
      <c r="B2977" s="58">
        <f t="shared" si="166"/>
        <v>41664</v>
      </c>
      <c r="C2977" s="59">
        <f t="shared" si="167"/>
        <v>2014</v>
      </c>
      <c r="D2977" s="60" t="s">
        <v>362</v>
      </c>
      <c r="E2977" s="60" t="s">
        <v>362</v>
      </c>
      <c r="F2977" s="61">
        <v>13.372199999999999</v>
      </c>
    </row>
    <row r="2978" spans="1:6">
      <c r="A2978" s="65" t="s">
        <v>5557</v>
      </c>
      <c r="B2978" s="66">
        <f t="shared" si="166"/>
        <v>41665</v>
      </c>
      <c r="C2978" s="67">
        <f t="shared" si="167"/>
        <v>2014</v>
      </c>
      <c r="D2978" s="70" t="s">
        <v>362</v>
      </c>
      <c r="E2978" s="70" t="s">
        <v>362</v>
      </c>
      <c r="F2978" s="68">
        <v>13.372199999999999</v>
      </c>
    </row>
    <row r="2979" spans="1:6">
      <c r="A2979" s="57" t="s">
        <v>5558</v>
      </c>
      <c r="B2979" s="58">
        <f t="shared" si="166"/>
        <v>41666</v>
      </c>
      <c r="C2979" s="59">
        <f t="shared" si="167"/>
        <v>2014</v>
      </c>
      <c r="D2979" s="61">
        <v>13.440799999999999</v>
      </c>
      <c r="E2979" s="61">
        <v>13.493</v>
      </c>
      <c r="F2979" s="61">
        <v>13.372199999999999</v>
      </c>
    </row>
    <row r="2980" spans="1:6">
      <c r="A2980" s="65" t="s">
        <v>5559</v>
      </c>
      <c r="B2980" s="66">
        <f t="shared" si="166"/>
        <v>41667</v>
      </c>
      <c r="C2980" s="67">
        <f t="shared" si="167"/>
        <v>2014</v>
      </c>
      <c r="D2980" s="68">
        <v>13.3104</v>
      </c>
      <c r="E2980" s="68">
        <v>13.440799999999999</v>
      </c>
      <c r="F2980" s="68">
        <v>13.493</v>
      </c>
    </row>
    <row r="2981" spans="1:6">
      <c r="A2981" s="57" t="s">
        <v>5560</v>
      </c>
      <c r="B2981" s="58">
        <f t="shared" si="166"/>
        <v>41668</v>
      </c>
      <c r="C2981" s="59">
        <f t="shared" si="167"/>
        <v>2014</v>
      </c>
      <c r="D2981" s="61">
        <v>13.367100000000001</v>
      </c>
      <c r="E2981" s="61">
        <v>13.3104</v>
      </c>
      <c r="F2981" s="61">
        <v>13.440799999999999</v>
      </c>
    </row>
    <row r="2982" spans="1:6">
      <c r="A2982" s="65" t="s">
        <v>5561</v>
      </c>
      <c r="B2982" s="66">
        <f t="shared" si="166"/>
        <v>41669</v>
      </c>
      <c r="C2982" s="67">
        <f t="shared" si="167"/>
        <v>2014</v>
      </c>
      <c r="D2982" s="68">
        <v>13.3207</v>
      </c>
      <c r="E2982" s="68">
        <v>13.367100000000001</v>
      </c>
      <c r="F2982" s="68">
        <v>13.3104</v>
      </c>
    </row>
    <row r="2983" spans="1:6">
      <c r="A2983" s="57" t="s">
        <v>5562</v>
      </c>
      <c r="B2983" s="58">
        <f t="shared" si="166"/>
        <v>41670</v>
      </c>
      <c r="C2983" s="59">
        <f t="shared" si="167"/>
        <v>2014</v>
      </c>
      <c r="D2983" s="61">
        <v>13.376899999999999</v>
      </c>
      <c r="E2983" s="61">
        <v>13.3207</v>
      </c>
      <c r="F2983" s="61">
        <v>13.367100000000001</v>
      </c>
    </row>
    <row r="2984" spans="1:6">
      <c r="A2984" s="65" t="s">
        <v>5563</v>
      </c>
      <c r="B2984" s="66">
        <f t="shared" si="166"/>
        <v>41671</v>
      </c>
      <c r="C2984" s="67">
        <f t="shared" si="167"/>
        <v>2014</v>
      </c>
      <c r="D2984" s="70" t="s">
        <v>362</v>
      </c>
      <c r="E2984" s="70" t="s">
        <v>362</v>
      </c>
      <c r="F2984" s="68">
        <v>13.3207</v>
      </c>
    </row>
    <row r="2985" spans="1:6">
      <c r="A2985" s="57" t="s">
        <v>5564</v>
      </c>
      <c r="B2985" s="58">
        <f t="shared" si="166"/>
        <v>41672</v>
      </c>
      <c r="C2985" s="59">
        <f t="shared" si="167"/>
        <v>2014</v>
      </c>
      <c r="D2985" s="60" t="s">
        <v>362</v>
      </c>
      <c r="E2985" s="60" t="s">
        <v>362</v>
      </c>
      <c r="F2985" s="61">
        <v>13.3207</v>
      </c>
    </row>
    <row r="2986" spans="1:6">
      <c r="A2986" s="65" t="s">
        <v>5565</v>
      </c>
      <c r="B2986" s="66">
        <f t="shared" si="166"/>
        <v>41673</v>
      </c>
      <c r="C2986" s="67">
        <f t="shared" si="167"/>
        <v>2014</v>
      </c>
      <c r="D2986" s="70" t="s">
        <v>362</v>
      </c>
      <c r="E2986" s="70" t="s">
        <v>362</v>
      </c>
      <c r="F2986" s="68">
        <v>13.3207</v>
      </c>
    </row>
    <row r="2987" spans="1:6">
      <c r="A2987" s="57" t="s">
        <v>5566</v>
      </c>
      <c r="B2987" s="58">
        <f t="shared" si="166"/>
        <v>41674</v>
      </c>
      <c r="C2987" s="59">
        <f t="shared" si="167"/>
        <v>2014</v>
      </c>
      <c r="D2987" s="61">
        <v>13.392799999999999</v>
      </c>
      <c r="E2987" s="61">
        <v>13.376899999999999</v>
      </c>
      <c r="F2987" s="61">
        <v>13.3207</v>
      </c>
    </row>
    <row r="2988" spans="1:6">
      <c r="A2988" s="65" t="s">
        <v>5567</v>
      </c>
      <c r="B2988" s="66">
        <f t="shared" si="166"/>
        <v>41675</v>
      </c>
      <c r="C2988" s="67">
        <f t="shared" si="167"/>
        <v>2014</v>
      </c>
      <c r="D2988" s="68">
        <v>13.3705</v>
      </c>
      <c r="E2988" s="68">
        <v>13.392799999999999</v>
      </c>
      <c r="F2988" s="68">
        <v>13.376899999999999</v>
      </c>
    </row>
    <row r="2989" spans="1:6">
      <c r="A2989" s="57" t="s">
        <v>5568</v>
      </c>
      <c r="B2989" s="58">
        <f t="shared" si="166"/>
        <v>41676</v>
      </c>
      <c r="C2989" s="59">
        <f t="shared" si="167"/>
        <v>2014</v>
      </c>
      <c r="D2989" s="61">
        <v>13.2211</v>
      </c>
      <c r="E2989" s="61">
        <v>13.3705</v>
      </c>
      <c r="F2989" s="61">
        <v>13.392799999999999</v>
      </c>
    </row>
    <row r="2990" spans="1:6">
      <c r="A2990" s="65" t="s">
        <v>5569</v>
      </c>
      <c r="B2990" s="66">
        <f t="shared" si="166"/>
        <v>41677</v>
      </c>
      <c r="C2990" s="67">
        <f t="shared" si="167"/>
        <v>2014</v>
      </c>
      <c r="D2990" s="68">
        <v>13.3285</v>
      </c>
      <c r="E2990" s="68">
        <v>13.2211</v>
      </c>
      <c r="F2990" s="68">
        <v>13.3705</v>
      </c>
    </row>
    <row r="2991" spans="1:6">
      <c r="A2991" s="57" t="s">
        <v>5570</v>
      </c>
      <c r="B2991" s="58">
        <f t="shared" si="166"/>
        <v>41678</v>
      </c>
      <c r="C2991" s="59">
        <f t="shared" si="167"/>
        <v>2014</v>
      </c>
      <c r="D2991" s="60" t="s">
        <v>362</v>
      </c>
      <c r="E2991" s="60" t="s">
        <v>362</v>
      </c>
      <c r="F2991" s="61">
        <v>13.2211</v>
      </c>
    </row>
    <row r="2992" spans="1:6">
      <c r="A2992" s="65" t="s">
        <v>5571</v>
      </c>
      <c r="B2992" s="66">
        <f t="shared" si="166"/>
        <v>41679</v>
      </c>
      <c r="C2992" s="67">
        <f t="shared" si="167"/>
        <v>2014</v>
      </c>
      <c r="D2992" s="70" t="s">
        <v>362</v>
      </c>
      <c r="E2992" s="70" t="s">
        <v>362</v>
      </c>
      <c r="F2992" s="68">
        <v>13.2211</v>
      </c>
    </row>
    <row r="2993" spans="1:6">
      <c r="A2993" s="57" t="s">
        <v>5572</v>
      </c>
      <c r="B2993" s="58">
        <f t="shared" si="166"/>
        <v>41680</v>
      </c>
      <c r="C2993" s="59">
        <f t="shared" si="167"/>
        <v>2014</v>
      </c>
      <c r="D2993" s="61">
        <v>13.3134</v>
      </c>
      <c r="E2993" s="61">
        <v>13.3285</v>
      </c>
      <c r="F2993" s="61">
        <v>13.2211</v>
      </c>
    </row>
    <row r="2994" spans="1:6">
      <c r="A2994" s="65" t="s">
        <v>5573</v>
      </c>
      <c r="B2994" s="66">
        <f t="shared" si="166"/>
        <v>41681</v>
      </c>
      <c r="C2994" s="67">
        <f t="shared" si="167"/>
        <v>2014</v>
      </c>
      <c r="D2994" s="68">
        <v>13.291600000000001</v>
      </c>
      <c r="E2994" s="68">
        <v>13.3134</v>
      </c>
      <c r="F2994" s="68">
        <v>13.3285</v>
      </c>
    </row>
    <row r="2995" spans="1:6">
      <c r="A2995" s="57" t="s">
        <v>5574</v>
      </c>
      <c r="B2995" s="58">
        <f t="shared" si="166"/>
        <v>41682</v>
      </c>
      <c r="C2995" s="59">
        <f t="shared" si="167"/>
        <v>2014</v>
      </c>
      <c r="D2995" s="61">
        <v>13.3056</v>
      </c>
      <c r="E2995" s="61">
        <v>13.291600000000001</v>
      </c>
      <c r="F2995" s="61">
        <v>13.3134</v>
      </c>
    </row>
    <row r="2996" spans="1:6">
      <c r="A2996" s="65" t="s">
        <v>5575</v>
      </c>
      <c r="B2996" s="66">
        <f t="shared" si="166"/>
        <v>41683</v>
      </c>
      <c r="C2996" s="67">
        <f t="shared" si="167"/>
        <v>2014</v>
      </c>
      <c r="D2996" s="68">
        <v>13.332000000000001</v>
      </c>
      <c r="E2996" s="68">
        <v>13.3056</v>
      </c>
      <c r="F2996" s="68">
        <v>13.291600000000001</v>
      </c>
    </row>
    <row r="2997" spans="1:6">
      <c r="A2997" s="57" t="s">
        <v>5576</v>
      </c>
      <c r="B2997" s="58">
        <f t="shared" si="166"/>
        <v>41684</v>
      </c>
      <c r="C2997" s="59">
        <f t="shared" si="167"/>
        <v>2014</v>
      </c>
      <c r="D2997" s="61">
        <v>13.2477</v>
      </c>
      <c r="E2997" s="61">
        <v>13.332000000000001</v>
      </c>
      <c r="F2997" s="61">
        <v>13.3056</v>
      </c>
    </row>
    <row r="2998" spans="1:6">
      <c r="A2998" s="65" t="s">
        <v>5577</v>
      </c>
      <c r="B2998" s="66">
        <f t="shared" si="166"/>
        <v>41685</v>
      </c>
      <c r="C2998" s="67">
        <f t="shared" si="167"/>
        <v>2014</v>
      </c>
      <c r="D2998" s="70" t="s">
        <v>362</v>
      </c>
      <c r="E2998" s="70" t="s">
        <v>362</v>
      </c>
      <c r="F2998" s="68">
        <v>13.332000000000001</v>
      </c>
    </row>
    <row r="2999" spans="1:6">
      <c r="A2999" s="57" t="s">
        <v>5578</v>
      </c>
      <c r="B2999" s="58">
        <f t="shared" si="166"/>
        <v>41686</v>
      </c>
      <c r="C2999" s="59">
        <f t="shared" si="167"/>
        <v>2014</v>
      </c>
      <c r="D2999" s="60" t="s">
        <v>362</v>
      </c>
      <c r="E2999" s="60" t="s">
        <v>362</v>
      </c>
      <c r="F2999" s="61">
        <v>13.332000000000001</v>
      </c>
    </row>
    <row r="3000" spans="1:6">
      <c r="A3000" s="65" t="s">
        <v>5579</v>
      </c>
      <c r="B3000" s="66">
        <f t="shared" si="166"/>
        <v>41687</v>
      </c>
      <c r="C3000" s="67">
        <f t="shared" si="167"/>
        <v>2014</v>
      </c>
      <c r="D3000" s="68">
        <v>13.194900000000001</v>
      </c>
      <c r="E3000" s="68">
        <v>13.2477</v>
      </c>
      <c r="F3000" s="68">
        <v>13.332000000000001</v>
      </c>
    </row>
    <row r="3001" spans="1:6">
      <c r="A3001" s="57" t="s">
        <v>5580</v>
      </c>
      <c r="B3001" s="58">
        <f t="shared" si="166"/>
        <v>41688</v>
      </c>
      <c r="C3001" s="59">
        <f t="shared" si="167"/>
        <v>2014</v>
      </c>
      <c r="D3001" s="61">
        <v>13.226100000000001</v>
      </c>
      <c r="E3001" s="61">
        <v>13.194900000000001</v>
      </c>
      <c r="F3001" s="61">
        <v>13.2477</v>
      </c>
    </row>
    <row r="3002" spans="1:6">
      <c r="A3002" s="65" t="s">
        <v>5581</v>
      </c>
      <c r="B3002" s="66">
        <f t="shared" si="166"/>
        <v>41689</v>
      </c>
      <c r="C3002" s="67">
        <f t="shared" si="167"/>
        <v>2014</v>
      </c>
      <c r="D3002" s="68">
        <v>13.2714</v>
      </c>
      <c r="E3002" s="68">
        <v>13.226100000000001</v>
      </c>
      <c r="F3002" s="68">
        <v>13.194900000000001</v>
      </c>
    </row>
    <row r="3003" spans="1:6">
      <c r="A3003" s="57" t="s">
        <v>5582</v>
      </c>
      <c r="B3003" s="58">
        <f t="shared" si="166"/>
        <v>41690</v>
      </c>
      <c r="C3003" s="59">
        <f t="shared" si="167"/>
        <v>2014</v>
      </c>
      <c r="D3003" s="61">
        <v>13.2913</v>
      </c>
      <c r="E3003" s="61">
        <v>13.2714</v>
      </c>
      <c r="F3003" s="61">
        <v>13.226100000000001</v>
      </c>
    </row>
    <row r="3004" spans="1:6">
      <c r="A3004" s="65" t="s">
        <v>5583</v>
      </c>
      <c r="B3004" s="66">
        <f t="shared" si="166"/>
        <v>41691</v>
      </c>
      <c r="C3004" s="67">
        <f t="shared" si="167"/>
        <v>2014</v>
      </c>
      <c r="D3004" s="68">
        <v>13.2704</v>
      </c>
      <c r="E3004" s="68">
        <v>13.2913</v>
      </c>
      <c r="F3004" s="68">
        <v>13.2714</v>
      </c>
    </row>
    <row r="3005" spans="1:6">
      <c r="A3005" s="57" t="s">
        <v>5584</v>
      </c>
      <c r="B3005" s="58">
        <f t="shared" si="166"/>
        <v>41692</v>
      </c>
      <c r="C3005" s="59">
        <f t="shared" si="167"/>
        <v>2014</v>
      </c>
      <c r="D3005" s="60" t="s">
        <v>362</v>
      </c>
      <c r="E3005" s="60" t="s">
        <v>362</v>
      </c>
      <c r="F3005" s="61">
        <v>13.2913</v>
      </c>
    </row>
    <row r="3006" spans="1:6">
      <c r="A3006" s="65" t="s">
        <v>5585</v>
      </c>
      <c r="B3006" s="66">
        <f t="shared" si="166"/>
        <v>41693</v>
      </c>
      <c r="C3006" s="67">
        <f t="shared" si="167"/>
        <v>2014</v>
      </c>
      <c r="D3006" s="70" t="s">
        <v>362</v>
      </c>
      <c r="E3006" s="70" t="s">
        <v>362</v>
      </c>
      <c r="F3006" s="68">
        <v>13.2913</v>
      </c>
    </row>
    <row r="3007" spans="1:6">
      <c r="A3007" s="57" t="s">
        <v>5586</v>
      </c>
      <c r="B3007" s="58">
        <f t="shared" si="166"/>
        <v>41694</v>
      </c>
      <c r="C3007" s="59">
        <f t="shared" si="167"/>
        <v>2014</v>
      </c>
      <c r="D3007" s="61">
        <v>13.209</v>
      </c>
      <c r="E3007" s="61">
        <v>13.2704</v>
      </c>
      <c r="F3007" s="61">
        <v>13.2913</v>
      </c>
    </row>
    <row r="3008" spans="1:6">
      <c r="A3008" s="65" t="s">
        <v>5587</v>
      </c>
      <c r="B3008" s="66">
        <f t="shared" si="166"/>
        <v>41695</v>
      </c>
      <c r="C3008" s="67">
        <f t="shared" si="167"/>
        <v>2014</v>
      </c>
      <c r="D3008" s="68">
        <v>13.2248</v>
      </c>
      <c r="E3008" s="68">
        <v>13.209</v>
      </c>
      <c r="F3008" s="68">
        <v>13.2704</v>
      </c>
    </row>
    <row r="3009" spans="1:6">
      <c r="A3009" s="57" t="s">
        <v>5588</v>
      </c>
      <c r="B3009" s="58">
        <f t="shared" si="166"/>
        <v>41696</v>
      </c>
      <c r="C3009" s="59">
        <f t="shared" si="167"/>
        <v>2014</v>
      </c>
      <c r="D3009" s="61">
        <v>13.299200000000001</v>
      </c>
      <c r="E3009" s="61">
        <v>13.2248</v>
      </c>
      <c r="F3009" s="61">
        <v>13.209</v>
      </c>
    </row>
    <row r="3010" spans="1:6">
      <c r="A3010" s="65" t="s">
        <v>5589</v>
      </c>
      <c r="B3010" s="66">
        <f t="shared" si="166"/>
        <v>41697</v>
      </c>
      <c r="C3010" s="67">
        <f t="shared" si="167"/>
        <v>2014</v>
      </c>
      <c r="D3010" s="68">
        <v>13.3066</v>
      </c>
      <c r="E3010" s="68">
        <v>13.299200000000001</v>
      </c>
      <c r="F3010" s="68">
        <v>13.2248</v>
      </c>
    </row>
    <row r="3011" spans="1:6">
      <c r="A3011" s="57" t="s">
        <v>5590</v>
      </c>
      <c r="B3011" s="58">
        <f t="shared" si="166"/>
        <v>41698</v>
      </c>
      <c r="C3011" s="59">
        <f t="shared" si="167"/>
        <v>2014</v>
      </c>
      <c r="D3011" s="61">
        <v>13.2379</v>
      </c>
      <c r="E3011" s="61">
        <v>13.3066</v>
      </c>
      <c r="F3011" s="61">
        <v>13.299200000000001</v>
      </c>
    </row>
    <row r="3012" spans="1:6">
      <c r="A3012" s="65" t="s">
        <v>5591</v>
      </c>
      <c r="B3012" s="66">
        <f t="shared" si="166"/>
        <v>41699</v>
      </c>
      <c r="C3012" s="67">
        <f t="shared" si="167"/>
        <v>2014</v>
      </c>
      <c r="D3012" s="70" t="s">
        <v>362</v>
      </c>
      <c r="E3012" s="70" t="s">
        <v>362</v>
      </c>
      <c r="F3012" s="68">
        <v>13.3066</v>
      </c>
    </row>
    <row r="3013" spans="1:6">
      <c r="A3013" s="57" t="s">
        <v>5592</v>
      </c>
      <c r="B3013" s="58">
        <f t="shared" si="166"/>
        <v>41700</v>
      </c>
      <c r="C3013" s="59">
        <f t="shared" si="167"/>
        <v>2014</v>
      </c>
      <c r="D3013" s="60" t="s">
        <v>362</v>
      </c>
      <c r="E3013" s="60" t="s">
        <v>362</v>
      </c>
      <c r="F3013" s="61">
        <v>13.3066</v>
      </c>
    </row>
    <row r="3014" spans="1:6">
      <c r="A3014" s="65" t="s">
        <v>5593</v>
      </c>
      <c r="B3014" s="66">
        <f t="shared" si="166"/>
        <v>41701</v>
      </c>
      <c r="C3014" s="67">
        <f t="shared" si="167"/>
        <v>2014</v>
      </c>
      <c r="D3014" s="68">
        <v>13.3201</v>
      </c>
      <c r="E3014" s="68">
        <v>13.2379</v>
      </c>
      <c r="F3014" s="68">
        <v>13.3066</v>
      </c>
    </row>
    <row r="3015" spans="1:6">
      <c r="A3015" s="57" t="s">
        <v>5594</v>
      </c>
      <c r="B3015" s="58">
        <f t="shared" si="166"/>
        <v>41702</v>
      </c>
      <c r="C3015" s="59">
        <f t="shared" si="167"/>
        <v>2014</v>
      </c>
      <c r="D3015" s="61">
        <v>13.2752</v>
      </c>
      <c r="E3015" s="61">
        <v>13.3201</v>
      </c>
      <c r="F3015" s="61">
        <v>13.2379</v>
      </c>
    </row>
    <row r="3016" spans="1:6">
      <c r="A3016" s="65" t="s">
        <v>5595</v>
      </c>
      <c r="B3016" s="66">
        <f t="shared" si="166"/>
        <v>41703</v>
      </c>
      <c r="C3016" s="67">
        <f t="shared" si="167"/>
        <v>2014</v>
      </c>
      <c r="D3016" s="68">
        <v>13.251899999999999</v>
      </c>
      <c r="E3016" s="68">
        <v>13.2752</v>
      </c>
      <c r="F3016" s="68">
        <v>13.3201</v>
      </c>
    </row>
    <row r="3017" spans="1:6">
      <c r="A3017" s="57" t="s">
        <v>5596</v>
      </c>
      <c r="B3017" s="58">
        <f t="shared" si="166"/>
        <v>41704</v>
      </c>
      <c r="C3017" s="59">
        <f t="shared" si="167"/>
        <v>2014</v>
      </c>
      <c r="D3017" s="61">
        <v>13.147600000000001</v>
      </c>
      <c r="E3017" s="61">
        <v>13.251899999999999</v>
      </c>
      <c r="F3017" s="61">
        <v>13.2752</v>
      </c>
    </row>
    <row r="3018" spans="1:6">
      <c r="A3018" s="65" t="s">
        <v>5597</v>
      </c>
      <c r="B3018" s="66">
        <f t="shared" si="166"/>
        <v>41705</v>
      </c>
      <c r="C3018" s="67">
        <f t="shared" si="167"/>
        <v>2014</v>
      </c>
      <c r="D3018" s="68">
        <v>13.179500000000001</v>
      </c>
      <c r="E3018" s="68">
        <v>13.147600000000001</v>
      </c>
      <c r="F3018" s="68">
        <v>13.251899999999999</v>
      </c>
    </row>
    <row r="3019" spans="1:6">
      <c r="A3019" s="57" t="s">
        <v>5598</v>
      </c>
      <c r="B3019" s="58">
        <f t="shared" si="166"/>
        <v>41706</v>
      </c>
      <c r="C3019" s="59">
        <f t="shared" si="167"/>
        <v>2014</v>
      </c>
      <c r="D3019" s="60" t="s">
        <v>362</v>
      </c>
      <c r="E3019" s="60" t="s">
        <v>362</v>
      </c>
      <c r="F3019" s="61">
        <v>13.147600000000001</v>
      </c>
    </row>
    <row r="3020" spans="1:6">
      <c r="A3020" s="65" t="s">
        <v>5599</v>
      </c>
      <c r="B3020" s="66">
        <f t="shared" si="166"/>
        <v>41707</v>
      </c>
      <c r="C3020" s="67">
        <f t="shared" si="167"/>
        <v>2014</v>
      </c>
      <c r="D3020" s="70" t="s">
        <v>362</v>
      </c>
      <c r="E3020" s="70" t="s">
        <v>362</v>
      </c>
      <c r="F3020" s="68">
        <v>13.147600000000001</v>
      </c>
    </row>
    <row r="3021" spans="1:6">
      <c r="A3021" s="57" t="s">
        <v>5600</v>
      </c>
      <c r="B3021" s="58">
        <f t="shared" si="166"/>
        <v>41708</v>
      </c>
      <c r="C3021" s="59">
        <f t="shared" si="167"/>
        <v>2014</v>
      </c>
      <c r="D3021" s="61">
        <v>13.2248</v>
      </c>
      <c r="E3021" s="61">
        <v>13.179500000000001</v>
      </c>
      <c r="F3021" s="61">
        <v>13.147600000000001</v>
      </c>
    </row>
    <row r="3022" spans="1:6">
      <c r="A3022" s="65" t="s">
        <v>5601</v>
      </c>
      <c r="B3022" s="66">
        <f t="shared" si="166"/>
        <v>41709</v>
      </c>
      <c r="C3022" s="67">
        <f t="shared" si="167"/>
        <v>2014</v>
      </c>
      <c r="D3022" s="68">
        <v>13.243</v>
      </c>
      <c r="E3022" s="68">
        <v>13.2248</v>
      </c>
      <c r="F3022" s="68">
        <v>13.179500000000001</v>
      </c>
    </row>
    <row r="3023" spans="1:6">
      <c r="A3023" s="57" t="s">
        <v>5602</v>
      </c>
      <c r="B3023" s="58">
        <f t="shared" si="166"/>
        <v>41710</v>
      </c>
      <c r="C3023" s="59">
        <f t="shared" si="167"/>
        <v>2014</v>
      </c>
      <c r="D3023" s="61">
        <v>13.2659</v>
      </c>
      <c r="E3023" s="61">
        <v>13.243</v>
      </c>
      <c r="F3023" s="61">
        <v>13.2248</v>
      </c>
    </row>
    <row r="3024" spans="1:6">
      <c r="A3024" s="65" t="s">
        <v>5603</v>
      </c>
      <c r="B3024" s="66">
        <f t="shared" si="166"/>
        <v>41711</v>
      </c>
      <c r="C3024" s="67">
        <f t="shared" si="167"/>
        <v>2014</v>
      </c>
      <c r="D3024" s="68">
        <v>13.2456</v>
      </c>
      <c r="E3024" s="68">
        <v>13.2659</v>
      </c>
      <c r="F3024" s="68">
        <v>13.243</v>
      </c>
    </row>
    <row r="3025" spans="1:6">
      <c r="A3025" s="57" t="s">
        <v>5604</v>
      </c>
      <c r="B3025" s="58">
        <f t="shared" si="166"/>
        <v>41712</v>
      </c>
      <c r="C3025" s="59">
        <f t="shared" si="167"/>
        <v>2014</v>
      </c>
      <c r="D3025" s="61">
        <v>13.234</v>
      </c>
      <c r="E3025" s="61">
        <v>13.2456</v>
      </c>
      <c r="F3025" s="61">
        <v>13.2659</v>
      </c>
    </row>
    <row r="3026" spans="1:6">
      <c r="A3026" s="65" t="s">
        <v>5605</v>
      </c>
      <c r="B3026" s="66">
        <f t="shared" si="166"/>
        <v>41713</v>
      </c>
      <c r="C3026" s="67">
        <f t="shared" si="167"/>
        <v>2014</v>
      </c>
      <c r="D3026" s="70" t="s">
        <v>362</v>
      </c>
      <c r="E3026" s="70" t="s">
        <v>362</v>
      </c>
      <c r="F3026" s="68">
        <v>13.2456</v>
      </c>
    </row>
    <row r="3027" spans="1:6">
      <c r="A3027" s="57" t="s">
        <v>5606</v>
      </c>
      <c r="B3027" s="58">
        <f t="shared" si="166"/>
        <v>41714</v>
      </c>
      <c r="C3027" s="59">
        <f t="shared" si="167"/>
        <v>2014</v>
      </c>
      <c r="D3027" s="60" t="s">
        <v>362</v>
      </c>
      <c r="E3027" s="60" t="s">
        <v>362</v>
      </c>
      <c r="F3027" s="61">
        <v>13.2456</v>
      </c>
    </row>
    <row r="3028" spans="1:6">
      <c r="A3028" s="65" t="s">
        <v>5607</v>
      </c>
      <c r="B3028" s="66">
        <f t="shared" si="166"/>
        <v>41715</v>
      </c>
      <c r="C3028" s="67">
        <f t="shared" si="167"/>
        <v>2014</v>
      </c>
      <c r="D3028" s="70" t="s">
        <v>362</v>
      </c>
      <c r="E3028" s="70" t="s">
        <v>362</v>
      </c>
      <c r="F3028" s="68">
        <v>13.2456</v>
      </c>
    </row>
    <row r="3029" spans="1:6">
      <c r="A3029" s="57" t="s">
        <v>5608</v>
      </c>
      <c r="B3029" s="58">
        <f t="shared" si="166"/>
        <v>41716</v>
      </c>
      <c r="C3029" s="59">
        <f t="shared" si="167"/>
        <v>2014</v>
      </c>
      <c r="D3029" s="61">
        <v>13.1675</v>
      </c>
      <c r="E3029" s="61">
        <v>13.234</v>
      </c>
      <c r="F3029" s="61">
        <v>13.2456</v>
      </c>
    </row>
    <row r="3030" spans="1:6">
      <c r="A3030" s="65" t="s">
        <v>5609</v>
      </c>
      <c r="B3030" s="66">
        <f t="shared" si="166"/>
        <v>41717</v>
      </c>
      <c r="C3030" s="67">
        <f t="shared" si="167"/>
        <v>2014</v>
      </c>
      <c r="D3030" s="68">
        <v>13.169499999999999</v>
      </c>
      <c r="E3030" s="68">
        <v>13.1675</v>
      </c>
      <c r="F3030" s="68">
        <v>13.234</v>
      </c>
    </row>
    <row r="3031" spans="1:6">
      <c r="A3031" s="57" t="s">
        <v>5610</v>
      </c>
      <c r="B3031" s="58">
        <f t="shared" si="166"/>
        <v>41718</v>
      </c>
      <c r="C3031" s="59">
        <f t="shared" si="167"/>
        <v>2014</v>
      </c>
      <c r="D3031" s="61">
        <v>13.270300000000001</v>
      </c>
      <c r="E3031" s="61">
        <v>13.169499999999999</v>
      </c>
      <c r="F3031" s="61">
        <v>13.1675</v>
      </c>
    </row>
    <row r="3032" spans="1:6">
      <c r="A3032" s="65" t="s">
        <v>5611</v>
      </c>
      <c r="B3032" s="66">
        <f t="shared" si="166"/>
        <v>41719</v>
      </c>
      <c r="C3032" s="67">
        <f t="shared" si="167"/>
        <v>2014</v>
      </c>
      <c r="D3032" s="68">
        <v>13.22</v>
      </c>
      <c r="E3032" s="68">
        <v>13.270300000000001</v>
      </c>
      <c r="F3032" s="68">
        <v>13.169499999999999</v>
      </c>
    </row>
    <row r="3033" spans="1:6">
      <c r="A3033" s="57" t="s">
        <v>5612</v>
      </c>
      <c r="B3033" s="58">
        <f t="shared" si="166"/>
        <v>41720</v>
      </c>
      <c r="C3033" s="59">
        <f t="shared" si="167"/>
        <v>2014</v>
      </c>
      <c r="D3033" s="60" t="s">
        <v>362</v>
      </c>
      <c r="E3033" s="60" t="s">
        <v>362</v>
      </c>
      <c r="F3033" s="61">
        <v>13.270300000000001</v>
      </c>
    </row>
    <row r="3034" spans="1:6">
      <c r="A3034" s="65" t="s">
        <v>5613</v>
      </c>
      <c r="B3034" s="66">
        <f t="shared" si="166"/>
        <v>41721</v>
      </c>
      <c r="C3034" s="67">
        <f t="shared" si="167"/>
        <v>2014</v>
      </c>
      <c r="D3034" s="70" t="s">
        <v>362</v>
      </c>
      <c r="E3034" s="70" t="s">
        <v>362</v>
      </c>
      <c r="F3034" s="68">
        <v>13.270300000000001</v>
      </c>
    </row>
    <row r="3035" spans="1:6">
      <c r="A3035" s="57" t="s">
        <v>5614</v>
      </c>
      <c r="B3035" s="58">
        <f t="shared" si="166"/>
        <v>41722</v>
      </c>
      <c r="C3035" s="59">
        <f t="shared" si="167"/>
        <v>2014</v>
      </c>
      <c r="D3035" s="61">
        <v>13.2019</v>
      </c>
      <c r="E3035" s="61">
        <v>13.22</v>
      </c>
      <c r="F3035" s="61">
        <v>13.270300000000001</v>
      </c>
    </row>
    <row r="3036" spans="1:6">
      <c r="A3036" s="65" t="s">
        <v>5615</v>
      </c>
      <c r="B3036" s="66">
        <f t="shared" si="166"/>
        <v>41723</v>
      </c>
      <c r="C3036" s="67">
        <f t="shared" si="167"/>
        <v>2014</v>
      </c>
      <c r="D3036" s="68">
        <v>13.1349</v>
      </c>
      <c r="E3036" s="68">
        <v>13.2019</v>
      </c>
      <c r="F3036" s="68">
        <v>13.22</v>
      </c>
    </row>
    <row r="3037" spans="1:6">
      <c r="A3037" s="57" t="s">
        <v>5616</v>
      </c>
      <c r="B3037" s="58">
        <f t="shared" si="166"/>
        <v>41724</v>
      </c>
      <c r="C3037" s="59">
        <f t="shared" si="167"/>
        <v>2014</v>
      </c>
      <c r="D3037" s="61">
        <v>13.1273</v>
      </c>
      <c r="E3037" s="61">
        <v>13.1349</v>
      </c>
      <c r="F3037" s="61">
        <v>13.2019</v>
      </c>
    </row>
    <row r="3038" spans="1:6">
      <c r="A3038" s="65" t="s">
        <v>5617</v>
      </c>
      <c r="B3038" s="66">
        <f t="shared" si="166"/>
        <v>41725</v>
      </c>
      <c r="C3038" s="67">
        <f t="shared" si="167"/>
        <v>2014</v>
      </c>
      <c r="D3038" s="68">
        <v>13.0837</v>
      </c>
      <c r="E3038" s="68">
        <v>13.1273</v>
      </c>
      <c r="F3038" s="68">
        <v>13.1349</v>
      </c>
    </row>
    <row r="3039" spans="1:6">
      <c r="A3039" s="57" t="s">
        <v>5618</v>
      </c>
      <c r="B3039" s="58">
        <f t="shared" ref="B3039:B3102" si="168">DATE(RIGHT(A3039,4),LEFT(RIGHT(A3039,7),2),LEFT(A3039,2))</f>
        <v>41726</v>
      </c>
      <c r="C3039" s="59">
        <f t="shared" ref="C3039:C3102" si="169">YEAR(B3039)</f>
        <v>2014</v>
      </c>
      <c r="D3039" s="61">
        <v>13.084099999999999</v>
      </c>
      <c r="E3039" s="61">
        <v>13.0837</v>
      </c>
      <c r="F3039" s="61">
        <v>13.1273</v>
      </c>
    </row>
    <row r="3040" spans="1:6">
      <c r="A3040" s="65" t="s">
        <v>5619</v>
      </c>
      <c r="B3040" s="66">
        <f t="shared" si="168"/>
        <v>41727</v>
      </c>
      <c r="C3040" s="67">
        <f t="shared" si="169"/>
        <v>2014</v>
      </c>
      <c r="D3040" s="70" t="s">
        <v>362</v>
      </c>
      <c r="E3040" s="70" t="s">
        <v>362</v>
      </c>
      <c r="F3040" s="68">
        <v>13.0837</v>
      </c>
    </row>
    <row r="3041" spans="1:6">
      <c r="A3041" s="57" t="s">
        <v>5620</v>
      </c>
      <c r="B3041" s="58">
        <f t="shared" si="168"/>
        <v>41728</v>
      </c>
      <c r="C3041" s="59">
        <f t="shared" si="169"/>
        <v>2014</v>
      </c>
      <c r="D3041" s="60" t="s">
        <v>362</v>
      </c>
      <c r="E3041" s="60" t="s">
        <v>362</v>
      </c>
      <c r="F3041" s="61">
        <v>13.0837</v>
      </c>
    </row>
    <row r="3042" spans="1:6">
      <c r="A3042" s="65" t="s">
        <v>5621</v>
      </c>
      <c r="B3042" s="66">
        <f t="shared" si="168"/>
        <v>41729</v>
      </c>
      <c r="C3042" s="67">
        <f t="shared" si="169"/>
        <v>2014</v>
      </c>
      <c r="D3042" s="68">
        <v>13.0549</v>
      </c>
      <c r="E3042" s="68">
        <v>13.084099999999999</v>
      </c>
      <c r="F3042" s="68">
        <v>13.0837</v>
      </c>
    </row>
    <row r="3043" spans="1:6">
      <c r="A3043" s="57" t="s">
        <v>5622</v>
      </c>
      <c r="B3043" s="58">
        <f t="shared" si="168"/>
        <v>41730</v>
      </c>
      <c r="C3043" s="59">
        <f t="shared" si="169"/>
        <v>2014</v>
      </c>
      <c r="D3043" s="61">
        <v>13.0313</v>
      </c>
      <c r="E3043" s="61">
        <v>13.0549</v>
      </c>
      <c r="F3043" s="61">
        <v>13.084099999999999</v>
      </c>
    </row>
    <row r="3044" spans="1:6">
      <c r="A3044" s="65" t="s">
        <v>5623</v>
      </c>
      <c r="B3044" s="66">
        <f t="shared" si="168"/>
        <v>41731</v>
      </c>
      <c r="C3044" s="67">
        <f t="shared" si="169"/>
        <v>2014</v>
      </c>
      <c r="D3044" s="68">
        <v>13.0991</v>
      </c>
      <c r="E3044" s="68">
        <v>13.0313</v>
      </c>
      <c r="F3044" s="68">
        <v>13.0549</v>
      </c>
    </row>
    <row r="3045" spans="1:6">
      <c r="A3045" s="57" t="s">
        <v>5624</v>
      </c>
      <c r="B3045" s="58">
        <f t="shared" si="168"/>
        <v>41732</v>
      </c>
      <c r="C3045" s="59">
        <f t="shared" si="169"/>
        <v>2014</v>
      </c>
      <c r="D3045" s="61">
        <v>13.132400000000001</v>
      </c>
      <c r="E3045" s="61">
        <v>13.0991</v>
      </c>
      <c r="F3045" s="61">
        <v>13.0313</v>
      </c>
    </row>
    <row r="3046" spans="1:6">
      <c r="A3046" s="65" t="s">
        <v>5625</v>
      </c>
      <c r="B3046" s="66">
        <f t="shared" si="168"/>
        <v>41733</v>
      </c>
      <c r="C3046" s="67">
        <f t="shared" si="169"/>
        <v>2014</v>
      </c>
      <c r="D3046" s="68">
        <v>13.0345</v>
      </c>
      <c r="E3046" s="68">
        <v>13.132400000000001</v>
      </c>
      <c r="F3046" s="68">
        <v>13.0991</v>
      </c>
    </row>
    <row r="3047" spans="1:6">
      <c r="A3047" s="57" t="s">
        <v>5626</v>
      </c>
      <c r="B3047" s="58">
        <f t="shared" si="168"/>
        <v>41734</v>
      </c>
      <c r="C3047" s="59">
        <f t="shared" si="169"/>
        <v>2014</v>
      </c>
      <c r="D3047" s="60" t="s">
        <v>362</v>
      </c>
      <c r="E3047" s="60" t="s">
        <v>362</v>
      </c>
      <c r="F3047" s="61">
        <v>13.132400000000001</v>
      </c>
    </row>
    <row r="3048" spans="1:6">
      <c r="A3048" s="65" t="s">
        <v>5627</v>
      </c>
      <c r="B3048" s="66">
        <f t="shared" si="168"/>
        <v>41735</v>
      </c>
      <c r="C3048" s="67">
        <f t="shared" si="169"/>
        <v>2014</v>
      </c>
      <c r="D3048" s="70" t="s">
        <v>362</v>
      </c>
      <c r="E3048" s="70" t="s">
        <v>362</v>
      </c>
      <c r="F3048" s="68">
        <v>13.132400000000001</v>
      </c>
    </row>
    <row r="3049" spans="1:6">
      <c r="A3049" s="57" t="s">
        <v>5628</v>
      </c>
      <c r="B3049" s="58">
        <f t="shared" si="168"/>
        <v>41736</v>
      </c>
      <c r="C3049" s="59">
        <f t="shared" si="169"/>
        <v>2014</v>
      </c>
      <c r="D3049" s="61">
        <v>13.017899999999999</v>
      </c>
      <c r="E3049" s="61">
        <v>13.0345</v>
      </c>
      <c r="F3049" s="61">
        <v>13.132400000000001</v>
      </c>
    </row>
    <row r="3050" spans="1:6">
      <c r="A3050" s="65" t="s">
        <v>5629</v>
      </c>
      <c r="B3050" s="66">
        <f t="shared" si="168"/>
        <v>41737</v>
      </c>
      <c r="C3050" s="67">
        <f t="shared" si="169"/>
        <v>2014</v>
      </c>
      <c r="D3050" s="68">
        <v>12.9642</v>
      </c>
      <c r="E3050" s="68">
        <v>13.017899999999999</v>
      </c>
      <c r="F3050" s="68">
        <v>13.0345</v>
      </c>
    </row>
    <row r="3051" spans="1:6">
      <c r="A3051" s="57" t="s">
        <v>5630</v>
      </c>
      <c r="B3051" s="58">
        <f t="shared" si="168"/>
        <v>41738</v>
      </c>
      <c r="C3051" s="59">
        <f t="shared" si="169"/>
        <v>2014</v>
      </c>
      <c r="D3051" s="61">
        <v>13.0604</v>
      </c>
      <c r="E3051" s="61">
        <v>12.9642</v>
      </c>
      <c r="F3051" s="61">
        <v>13.017899999999999</v>
      </c>
    </row>
    <row r="3052" spans="1:6">
      <c r="A3052" s="65" t="s">
        <v>5631</v>
      </c>
      <c r="B3052" s="66">
        <f t="shared" si="168"/>
        <v>41739</v>
      </c>
      <c r="C3052" s="67">
        <f t="shared" si="169"/>
        <v>2014</v>
      </c>
      <c r="D3052" s="68">
        <v>13.045299999999999</v>
      </c>
      <c r="E3052" s="68">
        <v>13.0604</v>
      </c>
      <c r="F3052" s="68">
        <v>12.9642</v>
      </c>
    </row>
    <row r="3053" spans="1:6">
      <c r="A3053" s="57" t="s">
        <v>5632</v>
      </c>
      <c r="B3053" s="58">
        <f t="shared" si="168"/>
        <v>41740</v>
      </c>
      <c r="C3053" s="59">
        <f t="shared" si="169"/>
        <v>2014</v>
      </c>
      <c r="D3053" s="61">
        <v>13.078799999999999</v>
      </c>
      <c r="E3053" s="61">
        <v>13.045299999999999</v>
      </c>
      <c r="F3053" s="61">
        <v>13.0604</v>
      </c>
    </row>
    <row r="3054" spans="1:6">
      <c r="A3054" s="65" t="s">
        <v>5633</v>
      </c>
      <c r="B3054" s="66">
        <f t="shared" si="168"/>
        <v>41741</v>
      </c>
      <c r="C3054" s="67">
        <f t="shared" si="169"/>
        <v>2014</v>
      </c>
      <c r="D3054" s="70" t="s">
        <v>362</v>
      </c>
      <c r="E3054" s="70" t="s">
        <v>362</v>
      </c>
      <c r="F3054" s="68">
        <v>13.045299999999999</v>
      </c>
    </row>
    <row r="3055" spans="1:6">
      <c r="A3055" s="57" t="s">
        <v>5634</v>
      </c>
      <c r="B3055" s="58">
        <f t="shared" si="168"/>
        <v>41742</v>
      </c>
      <c r="C3055" s="59">
        <f t="shared" si="169"/>
        <v>2014</v>
      </c>
      <c r="D3055" s="60" t="s">
        <v>362</v>
      </c>
      <c r="E3055" s="60" t="s">
        <v>362</v>
      </c>
      <c r="F3055" s="61">
        <v>13.045299999999999</v>
      </c>
    </row>
    <row r="3056" spans="1:6">
      <c r="A3056" s="65" t="s">
        <v>5635</v>
      </c>
      <c r="B3056" s="66">
        <f t="shared" si="168"/>
        <v>41743</v>
      </c>
      <c r="C3056" s="67">
        <f t="shared" si="169"/>
        <v>2014</v>
      </c>
      <c r="D3056" s="68">
        <v>13.049300000000001</v>
      </c>
      <c r="E3056" s="68">
        <v>13.078799999999999</v>
      </c>
      <c r="F3056" s="68">
        <v>13.045299999999999</v>
      </c>
    </row>
    <row r="3057" spans="1:6">
      <c r="A3057" s="57" t="s">
        <v>5636</v>
      </c>
      <c r="B3057" s="58">
        <f t="shared" si="168"/>
        <v>41744</v>
      </c>
      <c r="C3057" s="59">
        <f t="shared" si="169"/>
        <v>2014</v>
      </c>
      <c r="D3057" s="61">
        <v>13.098599999999999</v>
      </c>
      <c r="E3057" s="61">
        <v>13.049300000000001</v>
      </c>
      <c r="F3057" s="61">
        <v>13.078799999999999</v>
      </c>
    </row>
    <row r="3058" spans="1:6">
      <c r="A3058" s="65" t="s">
        <v>5637</v>
      </c>
      <c r="B3058" s="66">
        <f t="shared" si="168"/>
        <v>41745</v>
      </c>
      <c r="C3058" s="67">
        <f t="shared" si="169"/>
        <v>2014</v>
      </c>
      <c r="D3058" s="68">
        <v>13.0603</v>
      </c>
      <c r="E3058" s="68">
        <v>13.098599999999999</v>
      </c>
      <c r="F3058" s="68">
        <v>13.049300000000001</v>
      </c>
    </row>
    <row r="3059" spans="1:6">
      <c r="A3059" s="57" t="s">
        <v>5638</v>
      </c>
      <c r="B3059" s="58">
        <f t="shared" si="168"/>
        <v>41746</v>
      </c>
      <c r="C3059" s="59">
        <f t="shared" si="169"/>
        <v>2014</v>
      </c>
      <c r="D3059" s="60" t="s">
        <v>362</v>
      </c>
      <c r="E3059" s="60" t="s">
        <v>362</v>
      </c>
      <c r="F3059" s="61">
        <v>13.098599999999999</v>
      </c>
    </row>
    <row r="3060" spans="1:6">
      <c r="A3060" s="65" t="s">
        <v>5639</v>
      </c>
      <c r="B3060" s="66">
        <f t="shared" si="168"/>
        <v>41747</v>
      </c>
      <c r="C3060" s="67">
        <f t="shared" si="169"/>
        <v>2014</v>
      </c>
      <c r="D3060" s="70" t="s">
        <v>362</v>
      </c>
      <c r="E3060" s="70" t="s">
        <v>362</v>
      </c>
      <c r="F3060" s="68">
        <v>13.098599999999999</v>
      </c>
    </row>
    <row r="3061" spans="1:6">
      <c r="A3061" s="57" t="s">
        <v>5640</v>
      </c>
      <c r="B3061" s="58">
        <f t="shared" si="168"/>
        <v>41748</v>
      </c>
      <c r="C3061" s="59">
        <f t="shared" si="169"/>
        <v>2014</v>
      </c>
      <c r="D3061" s="60" t="s">
        <v>362</v>
      </c>
      <c r="E3061" s="60" t="s">
        <v>362</v>
      </c>
      <c r="F3061" s="61">
        <v>13.098599999999999</v>
      </c>
    </row>
    <row r="3062" spans="1:6">
      <c r="A3062" s="65" t="s">
        <v>5641</v>
      </c>
      <c r="B3062" s="66">
        <f t="shared" si="168"/>
        <v>41749</v>
      </c>
      <c r="C3062" s="67">
        <f t="shared" si="169"/>
        <v>2014</v>
      </c>
      <c r="D3062" s="70" t="s">
        <v>362</v>
      </c>
      <c r="E3062" s="70" t="s">
        <v>362</v>
      </c>
      <c r="F3062" s="68">
        <v>13.098599999999999</v>
      </c>
    </row>
    <row r="3063" spans="1:6">
      <c r="A3063" s="57" t="s">
        <v>5642</v>
      </c>
      <c r="B3063" s="58">
        <f t="shared" si="168"/>
        <v>41750</v>
      </c>
      <c r="C3063" s="59">
        <f t="shared" si="169"/>
        <v>2014</v>
      </c>
      <c r="D3063" s="61">
        <v>13.0413</v>
      </c>
      <c r="E3063" s="61">
        <v>13.0603</v>
      </c>
      <c r="F3063" s="61">
        <v>13.098599999999999</v>
      </c>
    </row>
    <row r="3064" spans="1:6">
      <c r="A3064" s="65" t="s">
        <v>5643</v>
      </c>
      <c r="B3064" s="66">
        <f t="shared" si="168"/>
        <v>41751</v>
      </c>
      <c r="C3064" s="67">
        <f t="shared" si="169"/>
        <v>2014</v>
      </c>
      <c r="D3064" s="68">
        <v>13.0448</v>
      </c>
      <c r="E3064" s="68">
        <v>13.0413</v>
      </c>
      <c r="F3064" s="68">
        <v>13.0603</v>
      </c>
    </row>
    <row r="3065" spans="1:6">
      <c r="A3065" s="57" t="s">
        <v>5644</v>
      </c>
      <c r="B3065" s="58">
        <f t="shared" si="168"/>
        <v>41752</v>
      </c>
      <c r="C3065" s="59">
        <f t="shared" si="169"/>
        <v>2014</v>
      </c>
      <c r="D3065" s="61">
        <v>13.0908</v>
      </c>
      <c r="E3065" s="61">
        <v>13.0448</v>
      </c>
      <c r="F3065" s="61">
        <v>13.0413</v>
      </c>
    </row>
    <row r="3066" spans="1:6">
      <c r="A3066" s="65" t="s">
        <v>5645</v>
      </c>
      <c r="B3066" s="66">
        <f t="shared" si="168"/>
        <v>41753</v>
      </c>
      <c r="C3066" s="67">
        <f t="shared" si="169"/>
        <v>2014</v>
      </c>
      <c r="D3066" s="68">
        <v>13.101000000000001</v>
      </c>
      <c r="E3066" s="68">
        <v>13.0908</v>
      </c>
      <c r="F3066" s="68">
        <v>13.0448</v>
      </c>
    </row>
    <row r="3067" spans="1:6">
      <c r="A3067" s="57" t="s">
        <v>5646</v>
      </c>
      <c r="B3067" s="58">
        <f t="shared" si="168"/>
        <v>41754</v>
      </c>
      <c r="C3067" s="59">
        <f t="shared" si="169"/>
        <v>2014</v>
      </c>
      <c r="D3067" s="61">
        <v>13.1371</v>
      </c>
      <c r="E3067" s="61">
        <v>13.101000000000001</v>
      </c>
      <c r="F3067" s="61">
        <v>13.0908</v>
      </c>
    </row>
    <row r="3068" spans="1:6">
      <c r="A3068" s="65" t="s">
        <v>5647</v>
      </c>
      <c r="B3068" s="66">
        <f t="shared" si="168"/>
        <v>41755</v>
      </c>
      <c r="C3068" s="67">
        <f t="shared" si="169"/>
        <v>2014</v>
      </c>
      <c r="D3068" s="70" t="s">
        <v>362</v>
      </c>
      <c r="E3068" s="70" t="s">
        <v>362</v>
      </c>
      <c r="F3068" s="68">
        <v>13.101000000000001</v>
      </c>
    </row>
    <row r="3069" spans="1:6">
      <c r="A3069" s="57" t="s">
        <v>5648</v>
      </c>
      <c r="B3069" s="58">
        <f t="shared" si="168"/>
        <v>41756</v>
      </c>
      <c r="C3069" s="59">
        <f t="shared" si="169"/>
        <v>2014</v>
      </c>
      <c r="D3069" s="60" t="s">
        <v>362</v>
      </c>
      <c r="E3069" s="60" t="s">
        <v>362</v>
      </c>
      <c r="F3069" s="61">
        <v>13.101000000000001</v>
      </c>
    </row>
    <row r="3070" spans="1:6">
      <c r="A3070" s="65" t="s">
        <v>5649</v>
      </c>
      <c r="B3070" s="66">
        <f t="shared" si="168"/>
        <v>41757</v>
      </c>
      <c r="C3070" s="67">
        <f t="shared" si="169"/>
        <v>2014</v>
      </c>
      <c r="D3070" s="68">
        <v>13.1356</v>
      </c>
      <c r="E3070" s="68">
        <v>13.1371</v>
      </c>
      <c r="F3070" s="68">
        <v>13.101000000000001</v>
      </c>
    </row>
    <row r="3071" spans="1:6">
      <c r="A3071" s="57" t="s">
        <v>5650</v>
      </c>
      <c r="B3071" s="58">
        <f t="shared" si="168"/>
        <v>41758</v>
      </c>
      <c r="C3071" s="59">
        <f t="shared" si="169"/>
        <v>2014</v>
      </c>
      <c r="D3071" s="61">
        <v>13.103899999999999</v>
      </c>
      <c r="E3071" s="61">
        <v>13.1356</v>
      </c>
      <c r="F3071" s="61">
        <v>13.1371</v>
      </c>
    </row>
    <row r="3072" spans="1:6">
      <c r="A3072" s="65" t="s">
        <v>5651</v>
      </c>
      <c r="B3072" s="66">
        <f t="shared" si="168"/>
        <v>41759</v>
      </c>
      <c r="C3072" s="67">
        <f t="shared" si="169"/>
        <v>2014</v>
      </c>
      <c r="D3072" s="68">
        <v>13.0901</v>
      </c>
      <c r="E3072" s="68">
        <v>13.103899999999999</v>
      </c>
      <c r="F3072" s="68">
        <v>13.1356</v>
      </c>
    </row>
    <row r="3073" spans="1:6">
      <c r="A3073" s="57" t="s">
        <v>5652</v>
      </c>
      <c r="B3073" s="58">
        <f t="shared" si="168"/>
        <v>41760</v>
      </c>
      <c r="C3073" s="59">
        <f t="shared" si="169"/>
        <v>2014</v>
      </c>
      <c r="D3073" s="60" t="s">
        <v>362</v>
      </c>
      <c r="E3073" s="60" t="s">
        <v>362</v>
      </c>
      <c r="F3073" s="61">
        <v>13.103899999999999</v>
      </c>
    </row>
    <row r="3074" spans="1:6">
      <c r="A3074" s="65" t="s">
        <v>5653</v>
      </c>
      <c r="B3074" s="66">
        <f t="shared" si="168"/>
        <v>41761</v>
      </c>
      <c r="C3074" s="67">
        <f t="shared" si="169"/>
        <v>2014</v>
      </c>
      <c r="D3074" s="68">
        <v>12.998100000000001</v>
      </c>
      <c r="E3074" s="68">
        <v>13.0901</v>
      </c>
      <c r="F3074" s="68">
        <v>13.103899999999999</v>
      </c>
    </row>
    <row r="3075" spans="1:6">
      <c r="A3075" s="57" t="s">
        <v>5654</v>
      </c>
      <c r="B3075" s="58">
        <f t="shared" si="168"/>
        <v>41762</v>
      </c>
      <c r="C3075" s="59">
        <f t="shared" si="169"/>
        <v>2014</v>
      </c>
      <c r="D3075" s="60" t="s">
        <v>362</v>
      </c>
      <c r="E3075" s="60" t="s">
        <v>362</v>
      </c>
      <c r="F3075" s="61">
        <v>13.0901</v>
      </c>
    </row>
    <row r="3076" spans="1:6">
      <c r="A3076" s="65" t="s">
        <v>5655</v>
      </c>
      <c r="B3076" s="66">
        <f t="shared" si="168"/>
        <v>41763</v>
      </c>
      <c r="C3076" s="67">
        <f t="shared" si="169"/>
        <v>2014</v>
      </c>
      <c r="D3076" s="70" t="s">
        <v>362</v>
      </c>
      <c r="E3076" s="70" t="s">
        <v>362</v>
      </c>
      <c r="F3076" s="68">
        <v>13.0901</v>
      </c>
    </row>
    <row r="3077" spans="1:6">
      <c r="A3077" s="57" t="s">
        <v>5656</v>
      </c>
      <c r="B3077" s="58">
        <f t="shared" si="168"/>
        <v>41764</v>
      </c>
      <c r="C3077" s="59">
        <f t="shared" si="169"/>
        <v>2014</v>
      </c>
      <c r="D3077" s="61">
        <v>13.010199999999999</v>
      </c>
      <c r="E3077" s="61">
        <v>12.998100000000001</v>
      </c>
      <c r="F3077" s="61">
        <v>13.0901</v>
      </c>
    </row>
    <row r="3078" spans="1:6">
      <c r="A3078" s="65" t="s">
        <v>5657</v>
      </c>
      <c r="B3078" s="66">
        <f t="shared" si="168"/>
        <v>41765</v>
      </c>
      <c r="C3078" s="67">
        <f t="shared" si="169"/>
        <v>2014</v>
      </c>
      <c r="D3078" s="68">
        <v>13.0129</v>
      </c>
      <c r="E3078" s="68">
        <v>13.010199999999999</v>
      </c>
      <c r="F3078" s="68">
        <v>12.998100000000001</v>
      </c>
    </row>
    <row r="3079" spans="1:6">
      <c r="A3079" s="57" t="s">
        <v>5658</v>
      </c>
      <c r="B3079" s="58">
        <f t="shared" si="168"/>
        <v>41766</v>
      </c>
      <c r="C3079" s="59">
        <f t="shared" si="169"/>
        <v>2014</v>
      </c>
      <c r="D3079" s="61">
        <v>12.9876</v>
      </c>
      <c r="E3079" s="61">
        <v>13.0129</v>
      </c>
      <c r="F3079" s="61">
        <v>13.010199999999999</v>
      </c>
    </row>
    <row r="3080" spans="1:6">
      <c r="A3080" s="65" t="s">
        <v>5659</v>
      </c>
      <c r="B3080" s="66">
        <f t="shared" si="168"/>
        <v>41767</v>
      </c>
      <c r="C3080" s="67">
        <f t="shared" si="169"/>
        <v>2014</v>
      </c>
      <c r="D3080" s="68">
        <v>12.947699999999999</v>
      </c>
      <c r="E3080" s="68">
        <v>12.9876</v>
      </c>
      <c r="F3080" s="68">
        <v>13.0129</v>
      </c>
    </row>
    <row r="3081" spans="1:6">
      <c r="A3081" s="57" t="s">
        <v>5660</v>
      </c>
      <c r="B3081" s="58">
        <f t="shared" si="168"/>
        <v>41768</v>
      </c>
      <c r="C3081" s="59">
        <f t="shared" si="169"/>
        <v>2014</v>
      </c>
      <c r="D3081" s="61">
        <v>12.984299999999999</v>
      </c>
      <c r="E3081" s="61">
        <v>12.947699999999999</v>
      </c>
      <c r="F3081" s="61">
        <v>12.9876</v>
      </c>
    </row>
    <row r="3082" spans="1:6">
      <c r="A3082" s="65" t="s">
        <v>5661</v>
      </c>
      <c r="B3082" s="66">
        <f t="shared" si="168"/>
        <v>41769</v>
      </c>
      <c r="C3082" s="67">
        <f t="shared" si="169"/>
        <v>2014</v>
      </c>
      <c r="D3082" s="70" t="s">
        <v>362</v>
      </c>
      <c r="E3082" s="70" t="s">
        <v>362</v>
      </c>
      <c r="F3082" s="68">
        <v>12.947699999999999</v>
      </c>
    </row>
    <row r="3083" spans="1:6">
      <c r="A3083" s="57" t="s">
        <v>5662</v>
      </c>
      <c r="B3083" s="58">
        <f t="shared" si="168"/>
        <v>41770</v>
      </c>
      <c r="C3083" s="59">
        <f t="shared" si="169"/>
        <v>2014</v>
      </c>
      <c r="D3083" s="60" t="s">
        <v>362</v>
      </c>
      <c r="E3083" s="60" t="s">
        <v>362</v>
      </c>
      <c r="F3083" s="61">
        <v>12.947699999999999</v>
      </c>
    </row>
    <row r="3084" spans="1:6">
      <c r="A3084" s="65" t="s">
        <v>5663</v>
      </c>
      <c r="B3084" s="66">
        <f t="shared" si="168"/>
        <v>41771</v>
      </c>
      <c r="C3084" s="67">
        <f t="shared" si="169"/>
        <v>2014</v>
      </c>
      <c r="D3084" s="68">
        <v>12.9534</v>
      </c>
      <c r="E3084" s="68">
        <v>12.984299999999999</v>
      </c>
      <c r="F3084" s="68">
        <v>12.947699999999999</v>
      </c>
    </row>
    <row r="3085" spans="1:6">
      <c r="A3085" s="57" t="s">
        <v>5664</v>
      </c>
      <c r="B3085" s="58">
        <f t="shared" si="168"/>
        <v>41772</v>
      </c>
      <c r="C3085" s="59">
        <f t="shared" si="169"/>
        <v>2014</v>
      </c>
      <c r="D3085" s="61">
        <v>12.923400000000001</v>
      </c>
      <c r="E3085" s="61">
        <v>12.9534</v>
      </c>
      <c r="F3085" s="61">
        <v>12.984299999999999</v>
      </c>
    </row>
    <row r="3086" spans="1:6">
      <c r="A3086" s="65" t="s">
        <v>5665</v>
      </c>
      <c r="B3086" s="66">
        <f t="shared" si="168"/>
        <v>41773</v>
      </c>
      <c r="C3086" s="67">
        <f t="shared" si="169"/>
        <v>2014</v>
      </c>
      <c r="D3086" s="68">
        <v>12.8993</v>
      </c>
      <c r="E3086" s="68">
        <v>12.923400000000001</v>
      </c>
      <c r="F3086" s="68">
        <v>12.9534</v>
      </c>
    </row>
    <row r="3087" spans="1:6">
      <c r="A3087" s="57" t="s">
        <v>5666</v>
      </c>
      <c r="B3087" s="58">
        <f t="shared" si="168"/>
        <v>41774</v>
      </c>
      <c r="C3087" s="59">
        <f t="shared" si="169"/>
        <v>2014</v>
      </c>
      <c r="D3087" s="61">
        <v>12.9755</v>
      </c>
      <c r="E3087" s="61">
        <v>12.8993</v>
      </c>
      <c r="F3087" s="61">
        <v>12.923400000000001</v>
      </c>
    </row>
    <row r="3088" spans="1:6">
      <c r="A3088" s="65" t="s">
        <v>5667</v>
      </c>
      <c r="B3088" s="66">
        <f t="shared" si="168"/>
        <v>41775</v>
      </c>
      <c r="C3088" s="67">
        <f t="shared" si="169"/>
        <v>2014</v>
      </c>
      <c r="D3088" s="68">
        <v>12.9193</v>
      </c>
      <c r="E3088" s="68">
        <v>12.9755</v>
      </c>
      <c r="F3088" s="68">
        <v>12.8993</v>
      </c>
    </row>
    <row r="3089" spans="1:6">
      <c r="A3089" s="57" t="s">
        <v>5668</v>
      </c>
      <c r="B3089" s="58">
        <f t="shared" si="168"/>
        <v>41776</v>
      </c>
      <c r="C3089" s="59">
        <f t="shared" si="169"/>
        <v>2014</v>
      </c>
      <c r="D3089" s="60" t="s">
        <v>362</v>
      </c>
      <c r="E3089" s="60" t="s">
        <v>362</v>
      </c>
      <c r="F3089" s="61">
        <v>12.9755</v>
      </c>
    </row>
    <row r="3090" spans="1:6">
      <c r="A3090" s="65" t="s">
        <v>5669</v>
      </c>
      <c r="B3090" s="66">
        <f t="shared" si="168"/>
        <v>41777</v>
      </c>
      <c r="C3090" s="67">
        <f t="shared" si="169"/>
        <v>2014</v>
      </c>
      <c r="D3090" s="70" t="s">
        <v>362</v>
      </c>
      <c r="E3090" s="70" t="s">
        <v>362</v>
      </c>
      <c r="F3090" s="68">
        <v>12.9755</v>
      </c>
    </row>
    <row r="3091" spans="1:6">
      <c r="A3091" s="57" t="s">
        <v>5670</v>
      </c>
      <c r="B3091" s="58">
        <f t="shared" si="168"/>
        <v>41778</v>
      </c>
      <c r="C3091" s="59">
        <f t="shared" si="169"/>
        <v>2014</v>
      </c>
      <c r="D3091" s="61">
        <v>12.894399999999999</v>
      </c>
      <c r="E3091" s="61">
        <v>12.9193</v>
      </c>
      <c r="F3091" s="61">
        <v>12.9755</v>
      </c>
    </row>
    <row r="3092" spans="1:6">
      <c r="A3092" s="65" t="s">
        <v>5671</v>
      </c>
      <c r="B3092" s="66">
        <f t="shared" si="168"/>
        <v>41779</v>
      </c>
      <c r="C3092" s="67">
        <f t="shared" si="169"/>
        <v>2014</v>
      </c>
      <c r="D3092" s="68">
        <v>12.942500000000001</v>
      </c>
      <c r="E3092" s="68">
        <v>12.894399999999999</v>
      </c>
      <c r="F3092" s="68">
        <v>12.9193</v>
      </c>
    </row>
    <row r="3093" spans="1:6">
      <c r="A3093" s="57" t="s">
        <v>5672</v>
      </c>
      <c r="B3093" s="58">
        <f t="shared" si="168"/>
        <v>41780</v>
      </c>
      <c r="C3093" s="59">
        <f t="shared" si="169"/>
        <v>2014</v>
      </c>
      <c r="D3093" s="61">
        <v>12.9132</v>
      </c>
      <c r="E3093" s="61">
        <v>12.942500000000001</v>
      </c>
      <c r="F3093" s="61">
        <v>12.894399999999999</v>
      </c>
    </row>
    <row r="3094" spans="1:6">
      <c r="A3094" s="65" t="s">
        <v>5673</v>
      </c>
      <c r="B3094" s="66">
        <f t="shared" si="168"/>
        <v>41781</v>
      </c>
      <c r="C3094" s="67">
        <f t="shared" si="169"/>
        <v>2014</v>
      </c>
      <c r="D3094" s="68">
        <v>12.880100000000001</v>
      </c>
      <c r="E3094" s="68">
        <v>12.9132</v>
      </c>
      <c r="F3094" s="68">
        <v>12.942500000000001</v>
      </c>
    </row>
    <row r="3095" spans="1:6">
      <c r="A3095" s="57" t="s">
        <v>5674</v>
      </c>
      <c r="B3095" s="58">
        <f t="shared" si="168"/>
        <v>41782</v>
      </c>
      <c r="C3095" s="59">
        <f t="shared" si="169"/>
        <v>2014</v>
      </c>
      <c r="D3095" s="61">
        <v>12.865600000000001</v>
      </c>
      <c r="E3095" s="61">
        <v>12.880100000000001</v>
      </c>
      <c r="F3095" s="61">
        <v>12.9132</v>
      </c>
    </row>
    <row r="3096" spans="1:6">
      <c r="A3096" s="65" t="s">
        <v>5675</v>
      </c>
      <c r="B3096" s="66">
        <f t="shared" si="168"/>
        <v>41783</v>
      </c>
      <c r="C3096" s="67">
        <f t="shared" si="169"/>
        <v>2014</v>
      </c>
      <c r="D3096" s="70" t="s">
        <v>362</v>
      </c>
      <c r="E3096" s="70" t="s">
        <v>362</v>
      </c>
      <c r="F3096" s="68">
        <v>12.880100000000001</v>
      </c>
    </row>
    <row r="3097" spans="1:6">
      <c r="A3097" s="57" t="s">
        <v>5676</v>
      </c>
      <c r="B3097" s="58">
        <f t="shared" si="168"/>
        <v>41784</v>
      </c>
      <c r="C3097" s="59">
        <f t="shared" si="169"/>
        <v>2014</v>
      </c>
      <c r="D3097" s="60" t="s">
        <v>362</v>
      </c>
      <c r="E3097" s="60" t="s">
        <v>362</v>
      </c>
      <c r="F3097" s="61">
        <v>12.880100000000001</v>
      </c>
    </row>
    <row r="3098" spans="1:6">
      <c r="A3098" s="65" t="s">
        <v>5677</v>
      </c>
      <c r="B3098" s="66">
        <f t="shared" si="168"/>
        <v>41785</v>
      </c>
      <c r="C3098" s="67">
        <f t="shared" si="169"/>
        <v>2014</v>
      </c>
      <c r="D3098" s="68">
        <v>12.861599999999999</v>
      </c>
      <c r="E3098" s="68">
        <v>12.865600000000001</v>
      </c>
      <c r="F3098" s="68">
        <v>12.880100000000001</v>
      </c>
    </row>
    <row r="3099" spans="1:6">
      <c r="A3099" s="57" t="s">
        <v>5678</v>
      </c>
      <c r="B3099" s="58">
        <f t="shared" si="168"/>
        <v>41786</v>
      </c>
      <c r="C3099" s="59">
        <f t="shared" si="169"/>
        <v>2014</v>
      </c>
      <c r="D3099" s="61">
        <v>12.8772</v>
      </c>
      <c r="E3099" s="61">
        <v>12.861599999999999</v>
      </c>
      <c r="F3099" s="61">
        <v>12.865600000000001</v>
      </c>
    </row>
    <row r="3100" spans="1:6">
      <c r="A3100" s="65" t="s">
        <v>5679</v>
      </c>
      <c r="B3100" s="66">
        <f t="shared" si="168"/>
        <v>41787</v>
      </c>
      <c r="C3100" s="67">
        <f t="shared" si="169"/>
        <v>2014</v>
      </c>
      <c r="D3100" s="68">
        <v>12.866</v>
      </c>
      <c r="E3100" s="68">
        <v>12.8772</v>
      </c>
      <c r="F3100" s="68">
        <v>12.861599999999999</v>
      </c>
    </row>
    <row r="3101" spans="1:6">
      <c r="A3101" s="57" t="s">
        <v>5680</v>
      </c>
      <c r="B3101" s="58">
        <f t="shared" si="168"/>
        <v>41788</v>
      </c>
      <c r="C3101" s="59">
        <f t="shared" si="169"/>
        <v>2014</v>
      </c>
      <c r="D3101" s="61">
        <v>12.8462</v>
      </c>
      <c r="E3101" s="61">
        <v>12.866</v>
      </c>
      <c r="F3101" s="61">
        <v>12.8772</v>
      </c>
    </row>
    <row r="3102" spans="1:6">
      <c r="A3102" s="65" t="s">
        <v>5681</v>
      </c>
      <c r="B3102" s="66">
        <f t="shared" si="168"/>
        <v>41789</v>
      </c>
      <c r="C3102" s="67">
        <f t="shared" si="169"/>
        <v>2014</v>
      </c>
      <c r="D3102" s="68">
        <v>12.860900000000001</v>
      </c>
      <c r="E3102" s="68">
        <v>12.8462</v>
      </c>
      <c r="F3102" s="68">
        <v>12.866</v>
      </c>
    </row>
    <row r="3103" spans="1:6">
      <c r="A3103" s="57" t="s">
        <v>5682</v>
      </c>
      <c r="B3103" s="58">
        <f t="shared" ref="B3103:B3166" si="170">DATE(RIGHT(A3103,4),LEFT(RIGHT(A3103,7),2),LEFT(A3103,2))</f>
        <v>41790</v>
      </c>
      <c r="C3103" s="59">
        <f t="shared" ref="C3103:C3166" si="171">YEAR(B3103)</f>
        <v>2014</v>
      </c>
      <c r="D3103" s="60" t="s">
        <v>362</v>
      </c>
      <c r="E3103" s="60" t="s">
        <v>362</v>
      </c>
      <c r="F3103" s="61">
        <v>12.8462</v>
      </c>
    </row>
    <row r="3104" spans="1:6">
      <c r="A3104" s="65" t="s">
        <v>5683</v>
      </c>
      <c r="B3104" s="66">
        <f t="shared" si="170"/>
        <v>41791</v>
      </c>
      <c r="C3104" s="67">
        <f t="shared" si="171"/>
        <v>2014</v>
      </c>
      <c r="D3104" s="70" t="s">
        <v>362</v>
      </c>
      <c r="E3104" s="70" t="s">
        <v>362</v>
      </c>
      <c r="F3104" s="68">
        <v>12.8462</v>
      </c>
    </row>
    <row r="3105" spans="1:6">
      <c r="A3105" s="57" t="s">
        <v>5684</v>
      </c>
      <c r="B3105" s="58">
        <f t="shared" si="170"/>
        <v>41792</v>
      </c>
      <c r="C3105" s="59">
        <f t="shared" si="171"/>
        <v>2014</v>
      </c>
      <c r="D3105" s="61">
        <v>12.9108</v>
      </c>
      <c r="E3105" s="61">
        <v>12.860900000000001</v>
      </c>
      <c r="F3105" s="61">
        <v>12.8462</v>
      </c>
    </row>
    <row r="3106" spans="1:6">
      <c r="A3106" s="65" t="s">
        <v>5685</v>
      </c>
      <c r="B3106" s="66">
        <f t="shared" si="170"/>
        <v>41793</v>
      </c>
      <c r="C3106" s="67">
        <f t="shared" si="171"/>
        <v>2014</v>
      </c>
      <c r="D3106" s="68">
        <v>12.944699999999999</v>
      </c>
      <c r="E3106" s="68">
        <v>12.9108</v>
      </c>
      <c r="F3106" s="68">
        <v>12.860900000000001</v>
      </c>
    </row>
    <row r="3107" spans="1:6">
      <c r="A3107" s="57" t="s">
        <v>5686</v>
      </c>
      <c r="B3107" s="58">
        <f t="shared" si="170"/>
        <v>41794</v>
      </c>
      <c r="C3107" s="59">
        <f t="shared" si="171"/>
        <v>2014</v>
      </c>
      <c r="D3107" s="61">
        <v>12.9527</v>
      </c>
      <c r="E3107" s="61">
        <v>12.944699999999999</v>
      </c>
      <c r="F3107" s="61">
        <v>12.9108</v>
      </c>
    </row>
    <row r="3108" spans="1:6">
      <c r="A3108" s="65" t="s">
        <v>5687</v>
      </c>
      <c r="B3108" s="66">
        <f t="shared" si="170"/>
        <v>41795</v>
      </c>
      <c r="C3108" s="67">
        <f t="shared" si="171"/>
        <v>2014</v>
      </c>
      <c r="D3108" s="68">
        <v>12.886799999999999</v>
      </c>
      <c r="E3108" s="68">
        <v>12.9527</v>
      </c>
      <c r="F3108" s="68">
        <v>12.944699999999999</v>
      </c>
    </row>
    <row r="3109" spans="1:6">
      <c r="A3109" s="57" t="s">
        <v>5688</v>
      </c>
      <c r="B3109" s="58">
        <f t="shared" si="170"/>
        <v>41796</v>
      </c>
      <c r="C3109" s="59">
        <f t="shared" si="171"/>
        <v>2014</v>
      </c>
      <c r="D3109" s="61">
        <v>12.898099999999999</v>
      </c>
      <c r="E3109" s="61">
        <v>12.886799999999999</v>
      </c>
      <c r="F3109" s="61">
        <v>12.9527</v>
      </c>
    </row>
    <row r="3110" spans="1:6">
      <c r="A3110" s="65" t="s">
        <v>5689</v>
      </c>
      <c r="B3110" s="66">
        <f t="shared" si="170"/>
        <v>41797</v>
      </c>
      <c r="C3110" s="67">
        <f t="shared" si="171"/>
        <v>2014</v>
      </c>
      <c r="D3110" s="70" t="s">
        <v>362</v>
      </c>
      <c r="E3110" s="70" t="s">
        <v>362</v>
      </c>
      <c r="F3110" s="68">
        <v>12.886799999999999</v>
      </c>
    </row>
    <row r="3111" spans="1:6">
      <c r="A3111" s="57" t="s">
        <v>5690</v>
      </c>
      <c r="B3111" s="58">
        <f t="shared" si="170"/>
        <v>41798</v>
      </c>
      <c r="C3111" s="59">
        <f t="shared" si="171"/>
        <v>2014</v>
      </c>
      <c r="D3111" s="60" t="s">
        <v>362</v>
      </c>
      <c r="E3111" s="60" t="s">
        <v>362</v>
      </c>
      <c r="F3111" s="61">
        <v>12.886799999999999</v>
      </c>
    </row>
    <row r="3112" spans="1:6">
      <c r="A3112" s="65" t="s">
        <v>5691</v>
      </c>
      <c r="B3112" s="66">
        <f t="shared" si="170"/>
        <v>41799</v>
      </c>
      <c r="C3112" s="67">
        <f t="shared" si="171"/>
        <v>2014</v>
      </c>
      <c r="D3112" s="68">
        <v>12.991199999999999</v>
      </c>
      <c r="E3112" s="68">
        <v>12.898099999999999</v>
      </c>
      <c r="F3112" s="68">
        <v>12.886799999999999</v>
      </c>
    </row>
    <row r="3113" spans="1:6">
      <c r="A3113" s="57" t="s">
        <v>5692</v>
      </c>
      <c r="B3113" s="58">
        <f t="shared" si="170"/>
        <v>41800</v>
      </c>
      <c r="C3113" s="59">
        <f t="shared" si="171"/>
        <v>2014</v>
      </c>
      <c r="D3113" s="61">
        <v>13.0486</v>
      </c>
      <c r="E3113" s="61">
        <v>12.991199999999999</v>
      </c>
      <c r="F3113" s="61">
        <v>12.898099999999999</v>
      </c>
    </row>
    <row r="3114" spans="1:6">
      <c r="A3114" s="65" t="s">
        <v>5693</v>
      </c>
      <c r="B3114" s="66">
        <f t="shared" si="170"/>
        <v>41801</v>
      </c>
      <c r="C3114" s="67">
        <f t="shared" si="171"/>
        <v>2014</v>
      </c>
      <c r="D3114" s="68">
        <v>13.0306</v>
      </c>
      <c r="E3114" s="68">
        <v>13.0486</v>
      </c>
      <c r="F3114" s="68">
        <v>12.991199999999999</v>
      </c>
    </row>
    <row r="3115" spans="1:6">
      <c r="A3115" s="57" t="s">
        <v>5694</v>
      </c>
      <c r="B3115" s="58">
        <f t="shared" si="170"/>
        <v>41802</v>
      </c>
      <c r="C3115" s="59">
        <f t="shared" si="171"/>
        <v>2014</v>
      </c>
      <c r="D3115" s="61">
        <v>12.9815</v>
      </c>
      <c r="E3115" s="61">
        <v>13.0306</v>
      </c>
      <c r="F3115" s="61">
        <v>13.0486</v>
      </c>
    </row>
    <row r="3116" spans="1:6">
      <c r="A3116" s="65" t="s">
        <v>5695</v>
      </c>
      <c r="B3116" s="66">
        <f t="shared" si="170"/>
        <v>41803</v>
      </c>
      <c r="C3116" s="67">
        <f t="shared" si="171"/>
        <v>2014</v>
      </c>
      <c r="D3116" s="68">
        <v>13.016400000000001</v>
      </c>
      <c r="E3116" s="68">
        <v>12.9815</v>
      </c>
      <c r="F3116" s="68">
        <v>13.0306</v>
      </c>
    </row>
    <row r="3117" spans="1:6">
      <c r="A3117" s="57" t="s">
        <v>5696</v>
      </c>
      <c r="B3117" s="58">
        <f t="shared" si="170"/>
        <v>41804</v>
      </c>
      <c r="C3117" s="59">
        <f t="shared" si="171"/>
        <v>2014</v>
      </c>
      <c r="D3117" s="60" t="s">
        <v>362</v>
      </c>
      <c r="E3117" s="60" t="s">
        <v>362</v>
      </c>
      <c r="F3117" s="61">
        <v>12.9815</v>
      </c>
    </row>
    <row r="3118" spans="1:6">
      <c r="A3118" s="65" t="s">
        <v>5697</v>
      </c>
      <c r="B3118" s="66">
        <f t="shared" si="170"/>
        <v>41805</v>
      </c>
      <c r="C3118" s="67">
        <f t="shared" si="171"/>
        <v>2014</v>
      </c>
      <c r="D3118" s="70" t="s">
        <v>362</v>
      </c>
      <c r="E3118" s="70" t="s">
        <v>362</v>
      </c>
      <c r="F3118" s="68">
        <v>12.9815</v>
      </c>
    </row>
    <row r="3119" spans="1:6">
      <c r="A3119" s="57" t="s">
        <v>5698</v>
      </c>
      <c r="B3119" s="58">
        <f t="shared" si="170"/>
        <v>41806</v>
      </c>
      <c r="C3119" s="59">
        <f t="shared" si="171"/>
        <v>2014</v>
      </c>
      <c r="D3119" s="61">
        <v>13.032299999999999</v>
      </c>
      <c r="E3119" s="61">
        <v>13.016400000000001</v>
      </c>
      <c r="F3119" s="61">
        <v>12.9815</v>
      </c>
    </row>
    <row r="3120" spans="1:6">
      <c r="A3120" s="65" t="s">
        <v>5699</v>
      </c>
      <c r="B3120" s="66">
        <f t="shared" si="170"/>
        <v>41807</v>
      </c>
      <c r="C3120" s="67">
        <f t="shared" si="171"/>
        <v>2014</v>
      </c>
      <c r="D3120" s="68">
        <v>13.1007</v>
      </c>
      <c r="E3120" s="68">
        <v>13.032299999999999</v>
      </c>
      <c r="F3120" s="68">
        <v>13.016400000000001</v>
      </c>
    </row>
    <row r="3121" spans="1:6">
      <c r="A3121" s="57" t="s">
        <v>5700</v>
      </c>
      <c r="B3121" s="58">
        <f t="shared" si="170"/>
        <v>41808</v>
      </c>
      <c r="C3121" s="59">
        <f t="shared" si="171"/>
        <v>2014</v>
      </c>
      <c r="D3121" s="61">
        <v>13.0672</v>
      </c>
      <c r="E3121" s="61">
        <v>13.1007</v>
      </c>
      <c r="F3121" s="61">
        <v>13.032299999999999</v>
      </c>
    </row>
    <row r="3122" spans="1:6">
      <c r="A3122" s="65" t="s">
        <v>5701</v>
      </c>
      <c r="B3122" s="66">
        <f t="shared" si="170"/>
        <v>41809</v>
      </c>
      <c r="C3122" s="67">
        <f t="shared" si="171"/>
        <v>2014</v>
      </c>
      <c r="D3122" s="68">
        <v>12.9885</v>
      </c>
      <c r="E3122" s="68">
        <v>13.0672</v>
      </c>
      <c r="F3122" s="68">
        <v>13.1007</v>
      </c>
    </row>
    <row r="3123" spans="1:6">
      <c r="A3123" s="57" t="s">
        <v>5702</v>
      </c>
      <c r="B3123" s="58">
        <f t="shared" si="170"/>
        <v>41810</v>
      </c>
      <c r="C3123" s="59">
        <f t="shared" si="171"/>
        <v>2014</v>
      </c>
      <c r="D3123" s="61">
        <v>13.0124</v>
      </c>
      <c r="E3123" s="61">
        <v>12.9885</v>
      </c>
      <c r="F3123" s="61">
        <v>13.0672</v>
      </c>
    </row>
    <row r="3124" spans="1:6">
      <c r="A3124" s="65" t="s">
        <v>5703</v>
      </c>
      <c r="B3124" s="66">
        <f t="shared" si="170"/>
        <v>41811</v>
      </c>
      <c r="C3124" s="67">
        <f t="shared" si="171"/>
        <v>2014</v>
      </c>
      <c r="D3124" s="70" t="s">
        <v>362</v>
      </c>
      <c r="E3124" s="70" t="s">
        <v>362</v>
      </c>
      <c r="F3124" s="68">
        <v>12.9885</v>
      </c>
    </row>
    <row r="3125" spans="1:6">
      <c r="A3125" s="57" t="s">
        <v>5704</v>
      </c>
      <c r="B3125" s="58">
        <f t="shared" si="170"/>
        <v>41812</v>
      </c>
      <c r="C3125" s="59">
        <f t="shared" si="171"/>
        <v>2014</v>
      </c>
      <c r="D3125" s="60" t="s">
        <v>362</v>
      </c>
      <c r="E3125" s="60" t="s">
        <v>362</v>
      </c>
      <c r="F3125" s="61">
        <v>12.9885</v>
      </c>
    </row>
    <row r="3126" spans="1:6">
      <c r="A3126" s="65" t="s">
        <v>5705</v>
      </c>
      <c r="B3126" s="66">
        <f t="shared" si="170"/>
        <v>41813</v>
      </c>
      <c r="C3126" s="67">
        <f t="shared" si="171"/>
        <v>2014</v>
      </c>
      <c r="D3126" s="68">
        <v>13.005599999999999</v>
      </c>
      <c r="E3126" s="68">
        <v>13.0124</v>
      </c>
      <c r="F3126" s="68">
        <v>12.9885</v>
      </c>
    </row>
    <row r="3127" spans="1:6">
      <c r="A3127" s="57" t="s">
        <v>5706</v>
      </c>
      <c r="B3127" s="58">
        <f t="shared" si="170"/>
        <v>41814</v>
      </c>
      <c r="C3127" s="59">
        <f t="shared" si="171"/>
        <v>2014</v>
      </c>
      <c r="D3127" s="61">
        <v>13.021800000000001</v>
      </c>
      <c r="E3127" s="61">
        <v>13.005599999999999</v>
      </c>
      <c r="F3127" s="61">
        <v>13.0124</v>
      </c>
    </row>
    <row r="3128" spans="1:6">
      <c r="A3128" s="65" t="s">
        <v>5707</v>
      </c>
      <c r="B3128" s="66">
        <f t="shared" si="170"/>
        <v>41815</v>
      </c>
      <c r="C3128" s="67">
        <f t="shared" si="171"/>
        <v>2014</v>
      </c>
      <c r="D3128" s="68">
        <v>13.0174</v>
      </c>
      <c r="E3128" s="68">
        <v>13.021800000000001</v>
      </c>
      <c r="F3128" s="68">
        <v>13.005599999999999</v>
      </c>
    </row>
    <row r="3129" spans="1:6">
      <c r="A3129" s="57" t="s">
        <v>5708</v>
      </c>
      <c r="B3129" s="58">
        <f t="shared" si="170"/>
        <v>41816</v>
      </c>
      <c r="C3129" s="59">
        <f t="shared" si="171"/>
        <v>2014</v>
      </c>
      <c r="D3129" s="61">
        <v>13.032299999999999</v>
      </c>
      <c r="E3129" s="61">
        <v>13.0174</v>
      </c>
      <c r="F3129" s="61">
        <v>13.021800000000001</v>
      </c>
    </row>
    <row r="3130" spans="1:6">
      <c r="A3130" s="65" t="s">
        <v>5709</v>
      </c>
      <c r="B3130" s="66">
        <f t="shared" si="170"/>
        <v>41817</v>
      </c>
      <c r="C3130" s="67">
        <f t="shared" si="171"/>
        <v>2014</v>
      </c>
      <c r="D3130" s="68">
        <v>13.0002</v>
      </c>
      <c r="E3130" s="68">
        <v>13.032299999999999</v>
      </c>
      <c r="F3130" s="68">
        <v>13.0174</v>
      </c>
    </row>
    <row r="3131" spans="1:6">
      <c r="A3131" s="57" t="s">
        <v>5710</v>
      </c>
      <c r="B3131" s="58">
        <f t="shared" si="170"/>
        <v>41818</v>
      </c>
      <c r="C3131" s="59">
        <f t="shared" si="171"/>
        <v>2014</v>
      </c>
      <c r="D3131" s="60" t="s">
        <v>362</v>
      </c>
      <c r="E3131" s="60" t="s">
        <v>362</v>
      </c>
      <c r="F3131" s="61">
        <v>13.032299999999999</v>
      </c>
    </row>
    <row r="3132" spans="1:6">
      <c r="A3132" s="65" t="s">
        <v>5711</v>
      </c>
      <c r="B3132" s="66">
        <f t="shared" si="170"/>
        <v>41819</v>
      </c>
      <c r="C3132" s="67">
        <f t="shared" si="171"/>
        <v>2014</v>
      </c>
      <c r="D3132" s="70" t="s">
        <v>362</v>
      </c>
      <c r="E3132" s="70" t="s">
        <v>362</v>
      </c>
      <c r="F3132" s="68">
        <v>13.032299999999999</v>
      </c>
    </row>
    <row r="3133" spans="1:6">
      <c r="A3133" s="57" t="s">
        <v>5712</v>
      </c>
      <c r="B3133" s="58">
        <f t="shared" si="170"/>
        <v>41820</v>
      </c>
      <c r="C3133" s="59">
        <f t="shared" si="171"/>
        <v>2014</v>
      </c>
      <c r="D3133" s="61">
        <v>12.9712</v>
      </c>
      <c r="E3133" s="61">
        <v>13.0002</v>
      </c>
      <c r="F3133" s="61">
        <v>13.032299999999999</v>
      </c>
    </row>
    <row r="3134" spans="1:6">
      <c r="A3134" s="65" t="s">
        <v>5713</v>
      </c>
      <c r="B3134" s="66">
        <f t="shared" si="170"/>
        <v>41821</v>
      </c>
      <c r="C3134" s="67">
        <f t="shared" si="171"/>
        <v>2014</v>
      </c>
      <c r="D3134" s="68">
        <v>12.9605</v>
      </c>
      <c r="E3134" s="68">
        <v>12.9712</v>
      </c>
      <c r="F3134" s="68">
        <v>13.0002</v>
      </c>
    </row>
    <row r="3135" spans="1:6">
      <c r="A3135" s="57" t="s">
        <v>5714</v>
      </c>
      <c r="B3135" s="58">
        <f t="shared" si="170"/>
        <v>41822</v>
      </c>
      <c r="C3135" s="59">
        <f t="shared" si="171"/>
        <v>2014</v>
      </c>
      <c r="D3135" s="61">
        <v>12.9673</v>
      </c>
      <c r="E3135" s="61">
        <v>12.9605</v>
      </c>
      <c r="F3135" s="61">
        <v>12.9712</v>
      </c>
    </row>
    <row r="3136" spans="1:6">
      <c r="A3136" s="65" t="s">
        <v>5715</v>
      </c>
      <c r="B3136" s="66">
        <f t="shared" si="170"/>
        <v>41823</v>
      </c>
      <c r="C3136" s="67">
        <f t="shared" si="171"/>
        <v>2014</v>
      </c>
      <c r="D3136" s="68">
        <v>12.982900000000001</v>
      </c>
      <c r="E3136" s="68">
        <v>12.9673</v>
      </c>
      <c r="F3136" s="68">
        <v>12.9605</v>
      </c>
    </row>
    <row r="3137" spans="1:6">
      <c r="A3137" s="57" t="s">
        <v>5716</v>
      </c>
      <c r="B3137" s="58">
        <f t="shared" si="170"/>
        <v>41824</v>
      </c>
      <c r="C3137" s="59">
        <f t="shared" si="171"/>
        <v>2014</v>
      </c>
      <c r="D3137" s="61">
        <v>12.976800000000001</v>
      </c>
      <c r="E3137" s="61">
        <v>12.982900000000001</v>
      </c>
      <c r="F3137" s="61">
        <v>12.9673</v>
      </c>
    </row>
    <row r="3138" spans="1:6">
      <c r="A3138" s="65" t="s">
        <v>5717</v>
      </c>
      <c r="B3138" s="66">
        <f t="shared" si="170"/>
        <v>41825</v>
      </c>
      <c r="C3138" s="67">
        <f t="shared" si="171"/>
        <v>2014</v>
      </c>
      <c r="D3138" s="70" t="s">
        <v>362</v>
      </c>
      <c r="E3138" s="70" t="s">
        <v>362</v>
      </c>
      <c r="F3138" s="68">
        <v>12.982900000000001</v>
      </c>
    </row>
    <row r="3139" spans="1:6">
      <c r="A3139" s="57" t="s">
        <v>5718</v>
      </c>
      <c r="B3139" s="58">
        <f t="shared" si="170"/>
        <v>41826</v>
      </c>
      <c r="C3139" s="59">
        <f t="shared" si="171"/>
        <v>2014</v>
      </c>
      <c r="D3139" s="60" t="s">
        <v>362</v>
      </c>
      <c r="E3139" s="60" t="s">
        <v>362</v>
      </c>
      <c r="F3139" s="61">
        <v>12.982900000000001</v>
      </c>
    </row>
    <row r="3140" spans="1:6">
      <c r="A3140" s="65" t="s">
        <v>5719</v>
      </c>
      <c r="B3140" s="66">
        <f t="shared" si="170"/>
        <v>41827</v>
      </c>
      <c r="C3140" s="67">
        <f t="shared" si="171"/>
        <v>2014</v>
      </c>
      <c r="D3140" s="68">
        <v>12.994899999999999</v>
      </c>
      <c r="E3140" s="68">
        <v>12.976800000000001</v>
      </c>
      <c r="F3140" s="68">
        <v>12.982900000000001</v>
      </c>
    </row>
    <row r="3141" spans="1:6">
      <c r="A3141" s="57" t="s">
        <v>5720</v>
      </c>
      <c r="B3141" s="58">
        <f t="shared" si="170"/>
        <v>41828</v>
      </c>
      <c r="C3141" s="59">
        <f t="shared" si="171"/>
        <v>2014</v>
      </c>
      <c r="D3141" s="61">
        <v>13.0006</v>
      </c>
      <c r="E3141" s="61">
        <v>12.994899999999999</v>
      </c>
      <c r="F3141" s="61">
        <v>12.976800000000001</v>
      </c>
    </row>
    <row r="3142" spans="1:6">
      <c r="A3142" s="65" t="s">
        <v>5721</v>
      </c>
      <c r="B3142" s="66">
        <f t="shared" si="170"/>
        <v>41829</v>
      </c>
      <c r="C3142" s="67">
        <f t="shared" si="171"/>
        <v>2014</v>
      </c>
      <c r="D3142" s="68">
        <v>12.978</v>
      </c>
      <c r="E3142" s="68">
        <v>13.0006</v>
      </c>
      <c r="F3142" s="68">
        <v>12.994899999999999</v>
      </c>
    </row>
    <row r="3143" spans="1:6">
      <c r="A3143" s="57" t="s">
        <v>5722</v>
      </c>
      <c r="B3143" s="58">
        <f t="shared" si="170"/>
        <v>41830</v>
      </c>
      <c r="C3143" s="59">
        <f t="shared" si="171"/>
        <v>2014</v>
      </c>
      <c r="D3143" s="61">
        <v>13.0015</v>
      </c>
      <c r="E3143" s="61">
        <v>12.978</v>
      </c>
      <c r="F3143" s="61">
        <v>13.0006</v>
      </c>
    </row>
    <row r="3144" spans="1:6">
      <c r="A3144" s="65" t="s">
        <v>5723</v>
      </c>
      <c r="B3144" s="66">
        <f t="shared" si="170"/>
        <v>41831</v>
      </c>
      <c r="C3144" s="67">
        <f t="shared" si="171"/>
        <v>2014</v>
      </c>
      <c r="D3144" s="68">
        <v>12.984999999999999</v>
      </c>
      <c r="E3144" s="68">
        <v>13.0015</v>
      </c>
      <c r="F3144" s="68">
        <v>12.978</v>
      </c>
    </row>
    <row r="3145" spans="1:6">
      <c r="A3145" s="57" t="s">
        <v>5724</v>
      </c>
      <c r="B3145" s="58">
        <f t="shared" si="170"/>
        <v>41832</v>
      </c>
      <c r="C3145" s="59">
        <f t="shared" si="171"/>
        <v>2014</v>
      </c>
      <c r="D3145" s="60" t="s">
        <v>362</v>
      </c>
      <c r="E3145" s="60" t="s">
        <v>362</v>
      </c>
      <c r="F3145" s="61">
        <v>13.0015</v>
      </c>
    </row>
    <row r="3146" spans="1:6">
      <c r="A3146" s="65" t="s">
        <v>5725</v>
      </c>
      <c r="B3146" s="66">
        <f t="shared" si="170"/>
        <v>41833</v>
      </c>
      <c r="C3146" s="67">
        <f t="shared" si="171"/>
        <v>2014</v>
      </c>
      <c r="D3146" s="70" t="s">
        <v>362</v>
      </c>
      <c r="E3146" s="70" t="s">
        <v>362</v>
      </c>
      <c r="F3146" s="68">
        <v>13.0015</v>
      </c>
    </row>
    <row r="3147" spans="1:6">
      <c r="A3147" s="57" t="s">
        <v>5726</v>
      </c>
      <c r="B3147" s="58">
        <f t="shared" si="170"/>
        <v>41834</v>
      </c>
      <c r="C3147" s="59">
        <f t="shared" si="171"/>
        <v>2014</v>
      </c>
      <c r="D3147" s="61">
        <v>12.9755</v>
      </c>
      <c r="E3147" s="61">
        <v>12.984999999999999</v>
      </c>
      <c r="F3147" s="61">
        <v>13.0015</v>
      </c>
    </row>
    <row r="3148" spans="1:6">
      <c r="A3148" s="65" t="s">
        <v>5727</v>
      </c>
      <c r="B3148" s="66">
        <f t="shared" si="170"/>
        <v>41835</v>
      </c>
      <c r="C3148" s="67">
        <f t="shared" si="171"/>
        <v>2014</v>
      </c>
      <c r="D3148" s="68">
        <v>12.9611</v>
      </c>
      <c r="E3148" s="68">
        <v>12.9755</v>
      </c>
      <c r="F3148" s="68">
        <v>12.984999999999999</v>
      </c>
    </row>
    <row r="3149" spans="1:6">
      <c r="A3149" s="57" t="s">
        <v>5728</v>
      </c>
      <c r="B3149" s="58">
        <f t="shared" si="170"/>
        <v>41836</v>
      </c>
      <c r="C3149" s="59">
        <f t="shared" si="171"/>
        <v>2014</v>
      </c>
      <c r="D3149" s="61">
        <v>12.939</v>
      </c>
      <c r="E3149" s="61">
        <v>12.9611</v>
      </c>
      <c r="F3149" s="61">
        <v>12.9755</v>
      </c>
    </row>
    <row r="3150" spans="1:6">
      <c r="A3150" s="65" t="s">
        <v>5729</v>
      </c>
      <c r="B3150" s="66">
        <f t="shared" si="170"/>
        <v>41837</v>
      </c>
      <c r="C3150" s="67">
        <f t="shared" si="171"/>
        <v>2014</v>
      </c>
      <c r="D3150" s="68">
        <v>12.945399999999999</v>
      </c>
      <c r="E3150" s="68">
        <v>12.939</v>
      </c>
      <c r="F3150" s="68">
        <v>12.9611</v>
      </c>
    </row>
    <row r="3151" spans="1:6">
      <c r="A3151" s="57" t="s">
        <v>5730</v>
      </c>
      <c r="B3151" s="58">
        <f t="shared" si="170"/>
        <v>41838</v>
      </c>
      <c r="C3151" s="59">
        <f t="shared" si="171"/>
        <v>2014</v>
      </c>
      <c r="D3151" s="61">
        <v>12.9588</v>
      </c>
      <c r="E3151" s="61">
        <v>12.945399999999999</v>
      </c>
      <c r="F3151" s="61">
        <v>12.939</v>
      </c>
    </row>
    <row r="3152" spans="1:6">
      <c r="A3152" s="65" t="s">
        <v>5731</v>
      </c>
      <c r="B3152" s="66">
        <f t="shared" si="170"/>
        <v>41839</v>
      </c>
      <c r="C3152" s="67">
        <f t="shared" si="171"/>
        <v>2014</v>
      </c>
      <c r="D3152" s="70" t="s">
        <v>362</v>
      </c>
      <c r="E3152" s="70" t="s">
        <v>362</v>
      </c>
      <c r="F3152" s="68">
        <v>12.945399999999999</v>
      </c>
    </row>
    <row r="3153" spans="1:6">
      <c r="A3153" s="57" t="s">
        <v>5732</v>
      </c>
      <c r="B3153" s="58">
        <f t="shared" si="170"/>
        <v>41840</v>
      </c>
      <c r="C3153" s="59">
        <f t="shared" si="171"/>
        <v>2014</v>
      </c>
      <c r="D3153" s="60" t="s">
        <v>362</v>
      </c>
      <c r="E3153" s="60" t="s">
        <v>362</v>
      </c>
      <c r="F3153" s="61">
        <v>12.945399999999999</v>
      </c>
    </row>
    <row r="3154" spans="1:6">
      <c r="A3154" s="65" t="s">
        <v>5733</v>
      </c>
      <c r="B3154" s="66">
        <f t="shared" si="170"/>
        <v>41841</v>
      </c>
      <c r="C3154" s="67">
        <f t="shared" si="171"/>
        <v>2014</v>
      </c>
      <c r="D3154" s="68">
        <v>12.975099999999999</v>
      </c>
      <c r="E3154" s="68">
        <v>12.9588</v>
      </c>
      <c r="F3154" s="68">
        <v>12.945399999999999</v>
      </c>
    </row>
    <row r="3155" spans="1:6">
      <c r="A3155" s="57" t="s">
        <v>5734</v>
      </c>
      <c r="B3155" s="58">
        <f t="shared" si="170"/>
        <v>41842</v>
      </c>
      <c r="C3155" s="59">
        <f t="shared" si="171"/>
        <v>2014</v>
      </c>
      <c r="D3155" s="61">
        <v>12.939299999999999</v>
      </c>
      <c r="E3155" s="61">
        <v>12.975099999999999</v>
      </c>
      <c r="F3155" s="61">
        <v>12.9588</v>
      </c>
    </row>
    <row r="3156" spans="1:6">
      <c r="A3156" s="65" t="s">
        <v>5735</v>
      </c>
      <c r="B3156" s="66">
        <f t="shared" si="170"/>
        <v>41843</v>
      </c>
      <c r="C3156" s="67">
        <f t="shared" si="171"/>
        <v>2014</v>
      </c>
      <c r="D3156" s="68">
        <v>12.928599999999999</v>
      </c>
      <c r="E3156" s="68">
        <v>12.939299999999999</v>
      </c>
      <c r="F3156" s="68">
        <v>12.975099999999999</v>
      </c>
    </row>
    <row r="3157" spans="1:6">
      <c r="A3157" s="57" t="s">
        <v>5736</v>
      </c>
      <c r="B3157" s="58">
        <f t="shared" si="170"/>
        <v>41844</v>
      </c>
      <c r="C3157" s="59">
        <f t="shared" si="171"/>
        <v>2014</v>
      </c>
      <c r="D3157" s="61">
        <v>12.9572</v>
      </c>
      <c r="E3157" s="61">
        <v>12.928599999999999</v>
      </c>
      <c r="F3157" s="61">
        <v>12.939299999999999</v>
      </c>
    </row>
    <row r="3158" spans="1:6">
      <c r="A3158" s="65" t="s">
        <v>5737</v>
      </c>
      <c r="B3158" s="66">
        <f t="shared" si="170"/>
        <v>41845</v>
      </c>
      <c r="C3158" s="67">
        <f t="shared" si="171"/>
        <v>2014</v>
      </c>
      <c r="D3158" s="68">
        <v>12.9445</v>
      </c>
      <c r="E3158" s="68">
        <v>12.9572</v>
      </c>
      <c r="F3158" s="68">
        <v>12.928599999999999</v>
      </c>
    </row>
    <row r="3159" spans="1:6">
      <c r="A3159" s="57" t="s">
        <v>5738</v>
      </c>
      <c r="B3159" s="58">
        <f t="shared" si="170"/>
        <v>41846</v>
      </c>
      <c r="C3159" s="59">
        <f t="shared" si="171"/>
        <v>2014</v>
      </c>
      <c r="D3159" s="60" t="s">
        <v>362</v>
      </c>
      <c r="E3159" s="60" t="s">
        <v>362</v>
      </c>
      <c r="F3159" s="61">
        <v>12.9572</v>
      </c>
    </row>
    <row r="3160" spans="1:6">
      <c r="A3160" s="65" t="s">
        <v>5739</v>
      </c>
      <c r="B3160" s="66">
        <f t="shared" si="170"/>
        <v>41847</v>
      </c>
      <c r="C3160" s="67">
        <f t="shared" si="171"/>
        <v>2014</v>
      </c>
      <c r="D3160" s="70" t="s">
        <v>362</v>
      </c>
      <c r="E3160" s="70" t="s">
        <v>362</v>
      </c>
      <c r="F3160" s="68">
        <v>12.9572</v>
      </c>
    </row>
    <row r="3161" spans="1:6">
      <c r="A3161" s="57" t="s">
        <v>5740</v>
      </c>
      <c r="B3161" s="58">
        <f t="shared" si="170"/>
        <v>41848</v>
      </c>
      <c r="C3161" s="59">
        <f t="shared" si="171"/>
        <v>2014</v>
      </c>
      <c r="D3161" s="61">
        <v>12.9878</v>
      </c>
      <c r="E3161" s="61">
        <v>12.9445</v>
      </c>
      <c r="F3161" s="61">
        <v>12.9572</v>
      </c>
    </row>
    <row r="3162" spans="1:6">
      <c r="A3162" s="65" t="s">
        <v>5741</v>
      </c>
      <c r="B3162" s="66">
        <f t="shared" si="170"/>
        <v>41849</v>
      </c>
      <c r="C3162" s="67">
        <f t="shared" si="171"/>
        <v>2014</v>
      </c>
      <c r="D3162" s="68">
        <v>13.0578</v>
      </c>
      <c r="E3162" s="68">
        <v>12.9878</v>
      </c>
      <c r="F3162" s="68">
        <v>12.9445</v>
      </c>
    </row>
    <row r="3163" spans="1:6">
      <c r="A3163" s="57" t="s">
        <v>5742</v>
      </c>
      <c r="B3163" s="58">
        <f t="shared" si="170"/>
        <v>41850</v>
      </c>
      <c r="C3163" s="59">
        <f t="shared" si="171"/>
        <v>2014</v>
      </c>
      <c r="D3163" s="61">
        <v>13.1357</v>
      </c>
      <c r="E3163" s="61">
        <v>13.0578</v>
      </c>
      <c r="F3163" s="61">
        <v>12.9878</v>
      </c>
    </row>
    <row r="3164" spans="1:6">
      <c r="A3164" s="65" t="s">
        <v>5743</v>
      </c>
      <c r="B3164" s="66">
        <f t="shared" si="170"/>
        <v>41851</v>
      </c>
      <c r="C3164" s="67">
        <f t="shared" si="171"/>
        <v>2014</v>
      </c>
      <c r="D3164" s="68">
        <v>13.226900000000001</v>
      </c>
      <c r="E3164" s="68">
        <v>13.1357</v>
      </c>
      <c r="F3164" s="68">
        <v>13.0578</v>
      </c>
    </row>
    <row r="3165" spans="1:6">
      <c r="A3165" s="57" t="s">
        <v>5744</v>
      </c>
      <c r="B3165" s="58">
        <f t="shared" si="170"/>
        <v>41852</v>
      </c>
      <c r="C3165" s="59">
        <f t="shared" si="171"/>
        <v>2014</v>
      </c>
      <c r="D3165" s="61">
        <v>13.193199999999999</v>
      </c>
      <c r="E3165" s="61">
        <v>13.226900000000001</v>
      </c>
      <c r="F3165" s="61">
        <v>13.1357</v>
      </c>
    </row>
    <row r="3166" spans="1:6">
      <c r="A3166" s="65" t="s">
        <v>5745</v>
      </c>
      <c r="B3166" s="66">
        <f t="shared" si="170"/>
        <v>41853</v>
      </c>
      <c r="C3166" s="67">
        <f t="shared" si="171"/>
        <v>2014</v>
      </c>
      <c r="D3166" s="70" t="s">
        <v>362</v>
      </c>
      <c r="E3166" s="70" t="s">
        <v>362</v>
      </c>
      <c r="F3166" s="68">
        <v>13.226900000000001</v>
      </c>
    </row>
    <row r="3167" spans="1:6">
      <c r="A3167" s="57" t="s">
        <v>5746</v>
      </c>
      <c r="B3167" s="58">
        <f t="shared" ref="B3167:B3230" si="172">DATE(RIGHT(A3167,4),LEFT(RIGHT(A3167,7),2),LEFT(A3167,2))</f>
        <v>41854</v>
      </c>
      <c r="C3167" s="59">
        <f t="shared" ref="C3167:C3230" si="173">YEAR(B3167)</f>
        <v>2014</v>
      </c>
      <c r="D3167" s="60" t="s">
        <v>362</v>
      </c>
      <c r="E3167" s="60" t="s">
        <v>362</v>
      </c>
      <c r="F3167" s="61">
        <v>13.226900000000001</v>
      </c>
    </row>
    <row r="3168" spans="1:6">
      <c r="A3168" s="65" t="s">
        <v>5747</v>
      </c>
      <c r="B3168" s="66">
        <f t="shared" si="172"/>
        <v>41855</v>
      </c>
      <c r="C3168" s="67">
        <f t="shared" si="173"/>
        <v>2014</v>
      </c>
      <c r="D3168" s="68">
        <v>13.196199999999999</v>
      </c>
      <c r="E3168" s="68">
        <v>13.193199999999999</v>
      </c>
      <c r="F3168" s="68">
        <v>13.226900000000001</v>
      </c>
    </row>
    <row r="3169" spans="1:6">
      <c r="A3169" s="57" t="s">
        <v>5748</v>
      </c>
      <c r="B3169" s="58">
        <f t="shared" si="172"/>
        <v>41856</v>
      </c>
      <c r="C3169" s="59">
        <f t="shared" si="173"/>
        <v>2014</v>
      </c>
      <c r="D3169" s="61">
        <v>13.271599999999999</v>
      </c>
      <c r="E3169" s="61">
        <v>13.196199999999999</v>
      </c>
      <c r="F3169" s="61">
        <v>13.193199999999999</v>
      </c>
    </row>
    <row r="3170" spans="1:6">
      <c r="A3170" s="65" t="s">
        <v>5749</v>
      </c>
      <c r="B3170" s="66">
        <f t="shared" si="172"/>
        <v>41857</v>
      </c>
      <c r="C3170" s="67">
        <f t="shared" si="173"/>
        <v>2014</v>
      </c>
      <c r="D3170" s="68">
        <v>13.257999999999999</v>
      </c>
      <c r="E3170" s="68">
        <v>13.271599999999999</v>
      </c>
      <c r="F3170" s="68">
        <v>13.196199999999999</v>
      </c>
    </row>
    <row r="3171" spans="1:6">
      <c r="A3171" s="57" t="s">
        <v>5750</v>
      </c>
      <c r="B3171" s="58">
        <f t="shared" si="172"/>
        <v>41858</v>
      </c>
      <c r="C3171" s="59">
        <f t="shared" si="173"/>
        <v>2014</v>
      </c>
      <c r="D3171" s="61">
        <v>13.255100000000001</v>
      </c>
      <c r="E3171" s="61">
        <v>13.257999999999999</v>
      </c>
      <c r="F3171" s="61">
        <v>13.271599999999999</v>
      </c>
    </row>
    <row r="3172" spans="1:6">
      <c r="A3172" s="65" t="s">
        <v>5751</v>
      </c>
      <c r="B3172" s="66">
        <f t="shared" si="172"/>
        <v>41859</v>
      </c>
      <c r="C3172" s="67">
        <f t="shared" si="173"/>
        <v>2014</v>
      </c>
      <c r="D3172" s="68">
        <v>13.236000000000001</v>
      </c>
      <c r="E3172" s="68">
        <v>13.255100000000001</v>
      </c>
      <c r="F3172" s="68">
        <v>13.257999999999999</v>
      </c>
    </row>
    <row r="3173" spans="1:6">
      <c r="A3173" s="57" t="s">
        <v>5752</v>
      </c>
      <c r="B3173" s="58">
        <f t="shared" si="172"/>
        <v>41860</v>
      </c>
      <c r="C3173" s="59">
        <f t="shared" si="173"/>
        <v>2014</v>
      </c>
      <c r="D3173" s="60" t="s">
        <v>362</v>
      </c>
      <c r="E3173" s="60" t="s">
        <v>362</v>
      </c>
      <c r="F3173" s="61">
        <v>13.255100000000001</v>
      </c>
    </row>
    <row r="3174" spans="1:6">
      <c r="A3174" s="65" t="s">
        <v>5753</v>
      </c>
      <c r="B3174" s="66">
        <f t="shared" si="172"/>
        <v>41861</v>
      </c>
      <c r="C3174" s="67">
        <f t="shared" si="173"/>
        <v>2014</v>
      </c>
      <c r="D3174" s="70" t="s">
        <v>362</v>
      </c>
      <c r="E3174" s="70" t="s">
        <v>362</v>
      </c>
      <c r="F3174" s="68">
        <v>13.255100000000001</v>
      </c>
    </row>
    <row r="3175" spans="1:6">
      <c r="A3175" s="57" t="s">
        <v>5754</v>
      </c>
      <c r="B3175" s="58">
        <f t="shared" si="172"/>
        <v>41862</v>
      </c>
      <c r="C3175" s="59">
        <f t="shared" si="173"/>
        <v>2014</v>
      </c>
      <c r="D3175" s="61">
        <v>13.1998</v>
      </c>
      <c r="E3175" s="61">
        <v>13.236000000000001</v>
      </c>
      <c r="F3175" s="61">
        <v>13.255100000000001</v>
      </c>
    </row>
    <row r="3176" spans="1:6">
      <c r="A3176" s="65" t="s">
        <v>5755</v>
      </c>
      <c r="B3176" s="66">
        <f t="shared" si="172"/>
        <v>41863</v>
      </c>
      <c r="C3176" s="67">
        <f t="shared" si="173"/>
        <v>2014</v>
      </c>
      <c r="D3176" s="68">
        <v>13.159000000000001</v>
      </c>
      <c r="E3176" s="68">
        <v>13.1998</v>
      </c>
      <c r="F3176" s="68">
        <v>13.236000000000001</v>
      </c>
    </row>
    <row r="3177" spans="1:6">
      <c r="A3177" s="57" t="s">
        <v>5756</v>
      </c>
      <c r="B3177" s="58">
        <f t="shared" si="172"/>
        <v>41864</v>
      </c>
      <c r="C3177" s="59">
        <f t="shared" si="173"/>
        <v>2014</v>
      </c>
      <c r="D3177" s="61">
        <v>13.1113</v>
      </c>
      <c r="E3177" s="61">
        <v>13.159000000000001</v>
      </c>
      <c r="F3177" s="61">
        <v>13.1998</v>
      </c>
    </row>
    <row r="3178" spans="1:6">
      <c r="A3178" s="65" t="s">
        <v>5757</v>
      </c>
      <c r="B3178" s="66">
        <f t="shared" si="172"/>
        <v>41865</v>
      </c>
      <c r="C3178" s="67">
        <f t="shared" si="173"/>
        <v>2014</v>
      </c>
      <c r="D3178" s="68">
        <v>13.0717</v>
      </c>
      <c r="E3178" s="68">
        <v>13.1113</v>
      </c>
      <c r="F3178" s="68">
        <v>13.159000000000001</v>
      </c>
    </row>
    <row r="3179" spans="1:6">
      <c r="A3179" s="57" t="s">
        <v>5758</v>
      </c>
      <c r="B3179" s="58">
        <f t="shared" si="172"/>
        <v>41866</v>
      </c>
      <c r="C3179" s="59">
        <f t="shared" si="173"/>
        <v>2014</v>
      </c>
      <c r="D3179" s="61">
        <v>13.0748</v>
      </c>
      <c r="E3179" s="61">
        <v>13.0717</v>
      </c>
      <c r="F3179" s="61">
        <v>13.1113</v>
      </c>
    </row>
    <row r="3180" spans="1:6">
      <c r="A3180" s="65" t="s">
        <v>5759</v>
      </c>
      <c r="B3180" s="66">
        <f t="shared" si="172"/>
        <v>41867</v>
      </c>
      <c r="C3180" s="67">
        <f t="shared" si="173"/>
        <v>2014</v>
      </c>
      <c r="D3180" s="70" t="s">
        <v>362</v>
      </c>
      <c r="E3180" s="70" t="s">
        <v>362</v>
      </c>
      <c r="F3180" s="68">
        <v>13.0717</v>
      </c>
    </row>
    <row r="3181" spans="1:6">
      <c r="A3181" s="57" t="s">
        <v>5760</v>
      </c>
      <c r="B3181" s="58">
        <f t="shared" si="172"/>
        <v>41868</v>
      </c>
      <c r="C3181" s="59">
        <f t="shared" si="173"/>
        <v>2014</v>
      </c>
      <c r="D3181" s="60" t="s">
        <v>362</v>
      </c>
      <c r="E3181" s="60" t="s">
        <v>362</v>
      </c>
      <c r="F3181" s="61">
        <v>13.0717</v>
      </c>
    </row>
    <row r="3182" spans="1:6">
      <c r="A3182" s="65" t="s">
        <v>5761</v>
      </c>
      <c r="B3182" s="66">
        <f t="shared" si="172"/>
        <v>41869</v>
      </c>
      <c r="C3182" s="67">
        <f t="shared" si="173"/>
        <v>2014</v>
      </c>
      <c r="D3182" s="68">
        <v>13.0505</v>
      </c>
      <c r="E3182" s="68">
        <v>13.0748</v>
      </c>
      <c r="F3182" s="68">
        <v>13.0717</v>
      </c>
    </row>
    <row r="3183" spans="1:6">
      <c r="A3183" s="57" t="s">
        <v>5762</v>
      </c>
      <c r="B3183" s="58">
        <f t="shared" si="172"/>
        <v>41870</v>
      </c>
      <c r="C3183" s="59">
        <f t="shared" si="173"/>
        <v>2014</v>
      </c>
      <c r="D3183" s="61">
        <v>13.0532</v>
      </c>
      <c r="E3183" s="61">
        <v>13.0505</v>
      </c>
      <c r="F3183" s="61">
        <v>13.0748</v>
      </c>
    </row>
    <row r="3184" spans="1:6">
      <c r="A3184" s="65" t="s">
        <v>5763</v>
      </c>
      <c r="B3184" s="66">
        <f t="shared" si="172"/>
        <v>41871</v>
      </c>
      <c r="C3184" s="67">
        <f t="shared" si="173"/>
        <v>2014</v>
      </c>
      <c r="D3184" s="68">
        <v>13.0814</v>
      </c>
      <c r="E3184" s="68">
        <v>13.0532</v>
      </c>
      <c r="F3184" s="68">
        <v>13.0505</v>
      </c>
    </row>
    <row r="3185" spans="1:6">
      <c r="A3185" s="57" t="s">
        <v>5764</v>
      </c>
      <c r="B3185" s="58">
        <f t="shared" si="172"/>
        <v>41872</v>
      </c>
      <c r="C3185" s="59">
        <f t="shared" si="173"/>
        <v>2014</v>
      </c>
      <c r="D3185" s="61">
        <v>13.096299999999999</v>
      </c>
      <c r="E3185" s="61">
        <v>13.0814</v>
      </c>
      <c r="F3185" s="61">
        <v>13.0532</v>
      </c>
    </row>
    <row r="3186" spans="1:6">
      <c r="A3186" s="65" t="s">
        <v>5765</v>
      </c>
      <c r="B3186" s="66">
        <f t="shared" si="172"/>
        <v>41873</v>
      </c>
      <c r="C3186" s="67">
        <f t="shared" si="173"/>
        <v>2014</v>
      </c>
      <c r="D3186" s="68">
        <v>13.1328</v>
      </c>
      <c r="E3186" s="68">
        <v>13.096299999999999</v>
      </c>
      <c r="F3186" s="68">
        <v>13.0814</v>
      </c>
    </row>
    <row r="3187" spans="1:6">
      <c r="A3187" s="57" t="s">
        <v>5766</v>
      </c>
      <c r="B3187" s="58">
        <f t="shared" si="172"/>
        <v>41874</v>
      </c>
      <c r="C3187" s="59">
        <f t="shared" si="173"/>
        <v>2014</v>
      </c>
      <c r="D3187" s="60" t="s">
        <v>362</v>
      </c>
      <c r="E3187" s="60" t="s">
        <v>362</v>
      </c>
      <c r="F3187" s="61">
        <v>13.096299999999999</v>
      </c>
    </row>
    <row r="3188" spans="1:6">
      <c r="A3188" s="65" t="s">
        <v>5767</v>
      </c>
      <c r="B3188" s="66">
        <f t="shared" si="172"/>
        <v>41875</v>
      </c>
      <c r="C3188" s="67">
        <f t="shared" si="173"/>
        <v>2014</v>
      </c>
      <c r="D3188" s="70" t="s">
        <v>362</v>
      </c>
      <c r="E3188" s="70" t="s">
        <v>362</v>
      </c>
      <c r="F3188" s="68">
        <v>13.096299999999999</v>
      </c>
    </row>
    <row r="3189" spans="1:6">
      <c r="A3189" s="57" t="s">
        <v>5768</v>
      </c>
      <c r="B3189" s="58">
        <f t="shared" si="172"/>
        <v>41876</v>
      </c>
      <c r="C3189" s="59">
        <f t="shared" si="173"/>
        <v>2014</v>
      </c>
      <c r="D3189" s="61">
        <v>13.138299999999999</v>
      </c>
      <c r="E3189" s="61">
        <v>13.1328</v>
      </c>
      <c r="F3189" s="61">
        <v>13.096299999999999</v>
      </c>
    </row>
    <row r="3190" spans="1:6">
      <c r="A3190" s="65" t="s">
        <v>5769</v>
      </c>
      <c r="B3190" s="66">
        <f t="shared" si="172"/>
        <v>41877</v>
      </c>
      <c r="C3190" s="67">
        <f t="shared" si="173"/>
        <v>2014</v>
      </c>
      <c r="D3190" s="68">
        <v>13.1059</v>
      </c>
      <c r="E3190" s="68">
        <v>13.138299999999999</v>
      </c>
      <c r="F3190" s="68">
        <v>13.1328</v>
      </c>
    </row>
    <row r="3191" spans="1:6">
      <c r="A3191" s="57" t="s">
        <v>5770</v>
      </c>
      <c r="B3191" s="58">
        <f t="shared" si="172"/>
        <v>41878</v>
      </c>
      <c r="C3191" s="59">
        <f t="shared" si="173"/>
        <v>2014</v>
      </c>
      <c r="D3191" s="61">
        <v>13.081099999999999</v>
      </c>
      <c r="E3191" s="61">
        <v>13.1059</v>
      </c>
      <c r="F3191" s="61">
        <v>13.138299999999999</v>
      </c>
    </row>
    <row r="3192" spans="1:6">
      <c r="A3192" s="65" t="s">
        <v>5771</v>
      </c>
      <c r="B3192" s="66">
        <f t="shared" si="172"/>
        <v>41879</v>
      </c>
      <c r="C3192" s="67">
        <f t="shared" si="173"/>
        <v>2014</v>
      </c>
      <c r="D3192" s="68">
        <v>13.110900000000001</v>
      </c>
      <c r="E3192" s="68">
        <v>13.081099999999999</v>
      </c>
      <c r="F3192" s="68">
        <v>13.1059</v>
      </c>
    </row>
    <row r="3193" spans="1:6">
      <c r="A3193" s="57" t="s">
        <v>5772</v>
      </c>
      <c r="B3193" s="58">
        <f t="shared" si="172"/>
        <v>41880</v>
      </c>
      <c r="C3193" s="59">
        <f t="shared" si="173"/>
        <v>2014</v>
      </c>
      <c r="D3193" s="61">
        <v>13.0763</v>
      </c>
      <c r="E3193" s="61">
        <v>13.110900000000001</v>
      </c>
      <c r="F3193" s="61">
        <v>13.081099999999999</v>
      </c>
    </row>
    <row r="3194" spans="1:6">
      <c r="A3194" s="65" t="s">
        <v>5773</v>
      </c>
      <c r="B3194" s="66">
        <f t="shared" si="172"/>
        <v>41881</v>
      </c>
      <c r="C3194" s="67">
        <f t="shared" si="173"/>
        <v>2014</v>
      </c>
      <c r="D3194" s="70" t="s">
        <v>362</v>
      </c>
      <c r="E3194" s="70" t="s">
        <v>362</v>
      </c>
      <c r="F3194" s="68">
        <v>13.110900000000001</v>
      </c>
    </row>
    <row r="3195" spans="1:6">
      <c r="A3195" s="57" t="s">
        <v>5774</v>
      </c>
      <c r="B3195" s="58">
        <f t="shared" si="172"/>
        <v>41882</v>
      </c>
      <c r="C3195" s="59">
        <f t="shared" si="173"/>
        <v>2014</v>
      </c>
      <c r="D3195" s="60" t="s">
        <v>362</v>
      </c>
      <c r="E3195" s="60" t="s">
        <v>362</v>
      </c>
      <c r="F3195" s="61">
        <v>13.110900000000001</v>
      </c>
    </row>
    <row r="3196" spans="1:6">
      <c r="A3196" s="65" t="s">
        <v>5775</v>
      </c>
      <c r="B3196" s="66">
        <f t="shared" si="172"/>
        <v>41883</v>
      </c>
      <c r="C3196" s="67">
        <f t="shared" si="173"/>
        <v>2014</v>
      </c>
      <c r="D3196" s="68">
        <v>13.083299999999999</v>
      </c>
      <c r="E3196" s="68">
        <v>13.0763</v>
      </c>
      <c r="F3196" s="68">
        <v>13.110900000000001</v>
      </c>
    </row>
    <row r="3197" spans="1:6">
      <c r="A3197" s="57" t="s">
        <v>5776</v>
      </c>
      <c r="B3197" s="58">
        <f t="shared" si="172"/>
        <v>41884</v>
      </c>
      <c r="C3197" s="59">
        <f t="shared" si="173"/>
        <v>2014</v>
      </c>
      <c r="D3197" s="61">
        <v>13.129899999999999</v>
      </c>
      <c r="E3197" s="61">
        <v>13.083299999999999</v>
      </c>
      <c r="F3197" s="61">
        <v>13.0763</v>
      </c>
    </row>
    <row r="3198" spans="1:6">
      <c r="A3198" s="65" t="s">
        <v>5777</v>
      </c>
      <c r="B3198" s="66">
        <f t="shared" si="172"/>
        <v>41885</v>
      </c>
      <c r="C3198" s="67">
        <f t="shared" si="173"/>
        <v>2014</v>
      </c>
      <c r="D3198" s="68">
        <v>13.0892</v>
      </c>
      <c r="E3198" s="68">
        <v>13.129899999999999</v>
      </c>
      <c r="F3198" s="68">
        <v>13.083299999999999</v>
      </c>
    </row>
    <row r="3199" spans="1:6">
      <c r="A3199" s="57" t="s">
        <v>5778</v>
      </c>
      <c r="B3199" s="58">
        <f t="shared" si="172"/>
        <v>41886</v>
      </c>
      <c r="C3199" s="59">
        <f t="shared" si="173"/>
        <v>2014</v>
      </c>
      <c r="D3199" s="61">
        <v>13.0959</v>
      </c>
      <c r="E3199" s="61">
        <v>13.0892</v>
      </c>
      <c r="F3199" s="61">
        <v>13.129899999999999</v>
      </c>
    </row>
    <row r="3200" spans="1:6">
      <c r="A3200" s="65" t="s">
        <v>5779</v>
      </c>
      <c r="B3200" s="66">
        <f t="shared" si="172"/>
        <v>41887</v>
      </c>
      <c r="C3200" s="67">
        <f t="shared" si="173"/>
        <v>2014</v>
      </c>
      <c r="D3200" s="68">
        <v>13.078799999999999</v>
      </c>
      <c r="E3200" s="68">
        <v>13.0959</v>
      </c>
      <c r="F3200" s="68">
        <v>13.0892</v>
      </c>
    </row>
    <row r="3201" spans="1:6">
      <c r="A3201" s="57" t="s">
        <v>5780</v>
      </c>
      <c r="B3201" s="58">
        <f t="shared" si="172"/>
        <v>41888</v>
      </c>
      <c r="C3201" s="59">
        <f t="shared" si="173"/>
        <v>2014</v>
      </c>
      <c r="D3201" s="60" t="s">
        <v>362</v>
      </c>
      <c r="E3201" s="60" t="s">
        <v>362</v>
      </c>
      <c r="F3201" s="61">
        <v>13.0959</v>
      </c>
    </row>
    <row r="3202" spans="1:6">
      <c r="A3202" s="65" t="s">
        <v>5781</v>
      </c>
      <c r="B3202" s="66">
        <f t="shared" si="172"/>
        <v>41889</v>
      </c>
      <c r="C3202" s="67">
        <f t="shared" si="173"/>
        <v>2014</v>
      </c>
      <c r="D3202" s="70" t="s">
        <v>362</v>
      </c>
      <c r="E3202" s="70" t="s">
        <v>362</v>
      </c>
      <c r="F3202" s="68">
        <v>13.0959</v>
      </c>
    </row>
    <row r="3203" spans="1:6">
      <c r="A3203" s="57" t="s">
        <v>5782</v>
      </c>
      <c r="B3203" s="58">
        <f t="shared" si="172"/>
        <v>41890</v>
      </c>
      <c r="C3203" s="59">
        <f t="shared" si="173"/>
        <v>2014</v>
      </c>
      <c r="D3203" s="61">
        <v>13.081300000000001</v>
      </c>
      <c r="E3203" s="61">
        <v>13.078799999999999</v>
      </c>
      <c r="F3203" s="61">
        <v>13.0959</v>
      </c>
    </row>
    <row r="3204" spans="1:6">
      <c r="A3204" s="65" t="s">
        <v>5783</v>
      </c>
      <c r="B3204" s="66">
        <f t="shared" si="172"/>
        <v>41891</v>
      </c>
      <c r="C3204" s="67">
        <f t="shared" si="173"/>
        <v>2014</v>
      </c>
      <c r="D3204" s="68">
        <v>13.216200000000001</v>
      </c>
      <c r="E3204" s="68">
        <v>13.081300000000001</v>
      </c>
      <c r="F3204" s="68">
        <v>13.078799999999999</v>
      </c>
    </row>
    <row r="3205" spans="1:6">
      <c r="A3205" s="57" t="s">
        <v>5784</v>
      </c>
      <c r="B3205" s="58">
        <f t="shared" si="172"/>
        <v>41892</v>
      </c>
      <c r="C3205" s="59">
        <f t="shared" si="173"/>
        <v>2014</v>
      </c>
      <c r="D3205" s="61">
        <v>13.214399999999999</v>
      </c>
      <c r="E3205" s="61">
        <v>13.216200000000001</v>
      </c>
      <c r="F3205" s="61">
        <v>13.081300000000001</v>
      </c>
    </row>
    <row r="3206" spans="1:6">
      <c r="A3206" s="65" t="s">
        <v>5785</v>
      </c>
      <c r="B3206" s="66">
        <f t="shared" si="172"/>
        <v>41893</v>
      </c>
      <c r="C3206" s="67">
        <f t="shared" si="173"/>
        <v>2014</v>
      </c>
      <c r="D3206" s="68">
        <v>13.214399999999999</v>
      </c>
      <c r="E3206" s="68">
        <v>13.214399999999999</v>
      </c>
      <c r="F3206" s="68">
        <v>13.216200000000001</v>
      </c>
    </row>
    <row r="3207" spans="1:6">
      <c r="A3207" s="57" t="s">
        <v>5786</v>
      </c>
      <c r="B3207" s="58">
        <f t="shared" si="172"/>
        <v>41894</v>
      </c>
      <c r="C3207" s="59">
        <f t="shared" si="173"/>
        <v>2014</v>
      </c>
      <c r="D3207" s="61">
        <v>13.2644</v>
      </c>
      <c r="E3207" s="61">
        <v>13.214399999999999</v>
      </c>
      <c r="F3207" s="61">
        <v>13.214399999999999</v>
      </c>
    </row>
    <row r="3208" spans="1:6">
      <c r="A3208" s="65" t="s">
        <v>5787</v>
      </c>
      <c r="B3208" s="66">
        <f t="shared" si="172"/>
        <v>41895</v>
      </c>
      <c r="C3208" s="67">
        <f t="shared" si="173"/>
        <v>2014</v>
      </c>
      <c r="D3208" s="70" t="s">
        <v>362</v>
      </c>
      <c r="E3208" s="70" t="s">
        <v>362</v>
      </c>
      <c r="F3208" s="68">
        <v>13.214399999999999</v>
      </c>
    </row>
    <row r="3209" spans="1:6">
      <c r="A3209" s="57" t="s">
        <v>5788</v>
      </c>
      <c r="B3209" s="58">
        <f t="shared" si="172"/>
        <v>41896</v>
      </c>
      <c r="C3209" s="59">
        <f t="shared" si="173"/>
        <v>2014</v>
      </c>
      <c r="D3209" s="60" t="s">
        <v>362</v>
      </c>
      <c r="E3209" s="60" t="s">
        <v>362</v>
      </c>
      <c r="F3209" s="61">
        <v>13.214399999999999</v>
      </c>
    </row>
    <row r="3210" spans="1:6">
      <c r="A3210" s="65" t="s">
        <v>5789</v>
      </c>
      <c r="B3210" s="66">
        <f t="shared" si="172"/>
        <v>41897</v>
      </c>
      <c r="C3210" s="67">
        <f t="shared" si="173"/>
        <v>2014</v>
      </c>
      <c r="D3210" s="68">
        <v>13.222300000000001</v>
      </c>
      <c r="E3210" s="68">
        <v>13.2644</v>
      </c>
      <c r="F3210" s="68">
        <v>13.214399999999999</v>
      </c>
    </row>
    <row r="3211" spans="1:6">
      <c r="A3211" s="57" t="s">
        <v>5790</v>
      </c>
      <c r="B3211" s="58">
        <f t="shared" si="172"/>
        <v>41898</v>
      </c>
      <c r="C3211" s="59">
        <f t="shared" si="173"/>
        <v>2014</v>
      </c>
      <c r="D3211" s="60" t="s">
        <v>362</v>
      </c>
      <c r="E3211" s="60" t="s">
        <v>362</v>
      </c>
      <c r="F3211" s="61">
        <v>13.2644</v>
      </c>
    </row>
    <row r="3212" spans="1:6">
      <c r="A3212" s="65" t="s">
        <v>5791</v>
      </c>
      <c r="B3212" s="66">
        <f t="shared" si="172"/>
        <v>41899</v>
      </c>
      <c r="C3212" s="67">
        <f t="shared" si="173"/>
        <v>2014</v>
      </c>
      <c r="D3212" s="68">
        <v>13.1762</v>
      </c>
      <c r="E3212" s="68">
        <v>13.222300000000001</v>
      </c>
      <c r="F3212" s="68">
        <v>13.2644</v>
      </c>
    </row>
    <row r="3213" spans="1:6">
      <c r="A3213" s="57" t="s">
        <v>5792</v>
      </c>
      <c r="B3213" s="58">
        <f t="shared" si="172"/>
        <v>41900</v>
      </c>
      <c r="C3213" s="59">
        <f t="shared" si="173"/>
        <v>2014</v>
      </c>
      <c r="D3213" s="61">
        <v>13.2402</v>
      </c>
      <c r="E3213" s="61">
        <v>13.1762</v>
      </c>
      <c r="F3213" s="61">
        <v>13.222300000000001</v>
      </c>
    </row>
    <row r="3214" spans="1:6">
      <c r="A3214" s="65" t="s">
        <v>5793</v>
      </c>
      <c r="B3214" s="66">
        <f t="shared" si="172"/>
        <v>41901</v>
      </c>
      <c r="C3214" s="67">
        <f t="shared" si="173"/>
        <v>2014</v>
      </c>
      <c r="D3214" s="68">
        <v>13.2369</v>
      </c>
      <c r="E3214" s="68">
        <v>13.2402</v>
      </c>
      <c r="F3214" s="68">
        <v>13.1762</v>
      </c>
    </row>
    <row r="3215" spans="1:6">
      <c r="A3215" s="57" t="s">
        <v>5794</v>
      </c>
      <c r="B3215" s="58">
        <f t="shared" si="172"/>
        <v>41902</v>
      </c>
      <c r="C3215" s="59">
        <f t="shared" si="173"/>
        <v>2014</v>
      </c>
      <c r="D3215" s="60" t="s">
        <v>362</v>
      </c>
      <c r="E3215" s="60" t="s">
        <v>362</v>
      </c>
      <c r="F3215" s="61">
        <v>13.2402</v>
      </c>
    </row>
    <row r="3216" spans="1:6">
      <c r="A3216" s="65" t="s">
        <v>5795</v>
      </c>
      <c r="B3216" s="66">
        <f t="shared" si="172"/>
        <v>41903</v>
      </c>
      <c r="C3216" s="67">
        <f t="shared" si="173"/>
        <v>2014</v>
      </c>
      <c r="D3216" s="70" t="s">
        <v>362</v>
      </c>
      <c r="E3216" s="70" t="s">
        <v>362</v>
      </c>
      <c r="F3216" s="68">
        <v>13.2402</v>
      </c>
    </row>
    <row r="3217" spans="1:6">
      <c r="A3217" s="57" t="s">
        <v>5796</v>
      </c>
      <c r="B3217" s="58">
        <f t="shared" si="172"/>
        <v>41904</v>
      </c>
      <c r="C3217" s="59">
        <f t="shared" si="173"/>
        <v>2014</v>
      </c>
      <c r="D3217" s="61">
        <v>13.256600000000001</v>
      </c>
      <c r="E3217" s="61">
        <v>13.2369</v>
      </c>
      <c r="F3217" s="61">
        <v>13.2402</v>
      </c>
    </row>
    <row r="3218" spans="1:6">
      <c r="A3218" s="65" t="s">
        <v>5797</v>
      </c>
      <c r="B3218" s="66">
        <f t="shared" si="172"/>
        <v>41905</v>
      </c>
      <c r="C3218" s="67">
        <f t="shared" si="173"/>
        <v>2014</v>
      </c>
      <c r="D3218" s="68">
        <v>13.2768</v>
      </c>
      <c r="E3218" s="68">
        <v>13.256600000000001</v>
      </c>
      <c r="F3218" s="68">
        <v>13.2369</v>
      </c>
    </row>
    <row r="3219" spans="1:6">
      <c r="A3219" s="57" t="s">
        <v>5798</v>
      </c>
      <c r="B3219" s="58">
        <f t="shared" si="172"/>
        <v>41906</v>
      </c>
      <c r="C3219" s="59">
        <f t="shared" si="173"/>
        <v>2014</v>
      </c>
      <c r="D3219" s="61">
        <v>13.301500000000001</v>
      </c>
      <c r="E3219" s="61">
        <v>13.2768</v>
      </c>
      <c r="F3219" s="61">
        <v>13.256600000000001</v>
      </c>
    </row>
    <row r="3220" spans="1:6">
      <c r="A3220" s="65" t="s">
        <v>5799</v>
      </c>
      <c r="B3220" s="66">
        <f t="shared" si="172"/>
        <v>41907</v>
      </c>
      <c r="C3220" s="67">
        <f t="shared" si="173"/>
        <v>2014</v>
      </c>
      <c r="D3220" s="68">
        <v>13.3848</v>
      </c>
      <c r="E3220" s="68">
        <v>13.301500000000001</v>
      </c>
      <c r="F3220" s="68">
        <v>13.2768</v>
      </c>
    </row>
    <row r="3221" spans="1:6">
      <c r="A3221" s="57" t="s">
        <v>5800</v>
      </c>
      <c r="B3221" s="58">
        <f t="shared" si="172"/>
        <v>41908</v>
      </c>
      <c r="C3221" s="59">
        <f t="shared" si="173"/>
        <v>2014</v>
      </c>
      <c r="D3221" s="61">
        <v>13.4541</v>
      </c>
      <c r="E3221" s="61">
        <v>13.3848</v>
      </c>
      <c r="F3221" s="61">
        <v>13.301500000000001</v>
      </c>
    </row>
    <row r="3222" spans="1:6">
      <c r="A3222" s="65" t="s">
        <v>5801</v>
      </c>
      <c r="B3222" s="66">
        <f t="shared" si="172"/>
        <v>41909</v>
      </c>
      <c r="C3222" s="67">
        <f t="shared" si="173"/>
        <v>2014</v>
      </c>
      <c r="D3222" s="70" t="s">
        <v>362</v>
      </c>
      <c r="E3222" s="70" t="s">
        <v>362</v>
      </c>
      <c r="F3222" s="68">
        <v>13.3848</v>
      </c>
    </row>
    <row r="3223" spans="1:6">
      <c r="A3223" s="57" t="s">
        <v>5802</v>
      </c>
      <c r="B3223" s="58">
        <f t="shared" si="172"/>
        <v>41910</v>
      </c>
      <c r="C3223" s="59">
        <f t="shared" si="173"/>
        <v>2014</v>
      </c>
      <c r="D3223" s="60" t="s">
        <v>362</v>
      </c>
      <c r="E3223" s="60" t="s">
        <v>362</v>
      </c>
      <c r="F3223" s="61">
        <v>13.3848</v>
      </c>
    </row>
    <row r="3224" spans="1:6">
      <c r="A3224" s="65" t="s">
        <v>5803</v>
      </c>
      <c r="B3224" s="66">
        <f t="shared" si="172"/>
        <v>41911</v>
      </c>
      <c r="C3224" s="67">
        <f t="shared" si="173"/>
        <v>2014</v>
      </c>
      <c r="D3224" s="68">
        <v>13.489100000000001</v>
      </c>
      <c r="E3224" s="68">
        <v>13.4541</v>
      </c>
      <c r="F3224" s="68">
        <v>13.3848</v>
      </c>
    </row>
    <row r="3225" spans="1:6">
      <c r="A3225" s="57" t="s">
        <v>5804</v>
      </c>
      <c r="B3225" s="58">
        <f t="shared" si="172"/>
        <v>41912</v>
      </c>
      <c r="C3225" s="59">
        <f t="shared" si="173"/>
        <v>2014</v>
      </c>
      <c r="D3225" s="61">
        <v>13.433</v>
      </c>
      <c r="E3225" s="61">
        <v>13.489100000000001</v>
      </c>
      <c r="F3225" s="61">
        <v>13.4541</v>
      </c>
    </row>
    <row r="3226" spans="1:6">
      <c r="A3226" s="65" t="s">
        <v>5805</v>
      </c>
      <c r="B3226" s="66">
        <f t="shared" si="172"/>
        <v>41913</v>
      </c>
      <c r="C3226" s="67">
        <f t="shared" si="173"/>
        <v>2014</v>
      </c>
      <c r="D3226" s="68">
        <v>13.445499999999999</v>
      </c>
      <c r="E3226" s="68">
        <v>13.433</v>
      </c>
      <c r="F3226" s="68">
        <v>13.489100000000001</v>
      </c>
    </row>
    <row r="3227" spans="1:6">
      <c r="A3227" s="57" t="s">
        <v>5806</v>
      </c>
      <c r="B3227" s="58">
        <f t="shared" si="172"/>
        <v>41914</v>
      </c>
      <c r="C3227" s="59">
        <f t="shared" si="173"/>
        <v>2014</v>
      </c>
      <c r="D3227" s="61">
        <v>13.4026</v>
      </c>
      <c r="E3227" s="61">
        <v>13.445499999999999</v>
      </c>
      <c r="F3227" s="61">
        <v>13.433</v>
      </c>
    </row>
    <row r="3228" spans="1:6">
      <c r="A3228" s="65" t="s">
        <v>5807</v>
      </c>
      <c r="B3228" s="66">
        <f t="shared" si="172"/>
        <v>41915</v>
      </c>
      <c r="C3228" s="67">
        <f t="shared" si="173"/>
        <v>2014</v>
      </c>
      <c r="D3228" s="68">
        <v>13.483499999999999</v>
      </c>
      <c r="E3228" s="68">
        <v>13.4026</v>
      </c>
      <c r="F3228" s="68">
        <v>13.445499999999999</v>
      </c>
    </row>
    <row r="3229" spans="1:6">
      <c r="A3229" s="57" t="s">
        <v>5808</v>
      </c>
      <c r="B3229" s="58">
        <f t="shared" si="172"/>
        <v>41916</v>
      </c>
      <c r="C3229" s="59">
        <f t="shared" si="173"/>
        <v>2014</v>
      </c>
      <c r="D3229" s="60" t="s">
        <v>362</v>
      </c>
      <c r="E3229" s="60" t="s">
        <v>362</v>
      </c>
      <c r="F3229" s="61">
        <v>13.4026</v>
      </c>
    </row>
    <row r="3230" spans="1:6">
      <c r="A3230" s="65" t="s">
        <v>5809</v>
      </c>
      <c r="B3230" s="66">
        <f t="shared" si="172"/>
        <v>41917</v>
      </c>
      <c r="C3230" s="67">
        <f t="shared" si="173"/>
        <v>2014</v>
      </c>
      <c r="D3230" s="70" t="s">
        <v>362</v>
      </c>
      <c r="E3230" s="70" t="s">
        <v>362</v>
      </c>
      <c r="F3230" s="68">
        <v>13.4026</v>
      </c>
    </row>
    <row r="3231" spans="1:6">
      <c r="A3231" s="57" t="s">
        <v>5810</v>
      </c>
      <c r="B3231" s="58">
        <f t="shared" ref="B3231:B3294" si="174">DATE(RIGHT(A3231,4),LEFT(RIGHT(A3231,7),2),LEFT(A3231,2))</f>
        <v>41918</v>
      </c>
      <c r="C3231" s="59">
        <f t="shared" ref="C3231:C3294" si="175">YEAR(B3231)</f>
        <v>2014</v>
      </c>
      <c r="D3231" s="61">
        <v>13.408899999999999</v>
      </c>
      <c r="E3231" s="61">
        <v>13.483499999999999</v>
      </c>
      <c r="F3231" s="61">
        <v>13.4026</v>
      </c>
    </row>
    <row r="3232" spans="1:6">
      <c r="A3232" s="65" t="s">
        <v>5811</v>
      </c>
      <c r="B3232" s="66">
        <f t="shared" si="174"/>
        <v>41919</v>
      </c>
      <c r="C3232" s="67">
        <f t="shared" si="175"/>
        <v>2014</v>
      </c>
      <c r="D3232" s="68">
        <v>13.433199999999999</v>
      </c>
      <c r="E3232" s="68">
        <v>13.408899999999999</v>
      </c>
      <c r="F3232" s="68">
        <v>13.483499999999999</v>
      </c>
    </row>
    <row r="3233" spans="1:6">
      <c r="A3233" s="57" t="s">
        <v>5812</v>
      </c>
      <c r="B3233" s="58">
        <f t="shared" si="174"/>
        <v>41920</v>
      </c>
      <c r="C3233" s="59">
        <f t="shared" si="175"/>
        <v>2014</v>
      </c>
      <c r="D3233" s="61">
        <v>13.4786</v>
      </c>
      <c r="E3233" s="61">
        <v>13.433199999999999</v>
      </c>
      <c r="F3233" s="61">
        <v>13.408899999999999</v>
      </c>
    </row>
    <row r="3234" spans="1:6">
      <c r="A3234" s="65" t="s">
        <v>5813</v>
      </c>
      <c r="B3234" s="66">
        <f t="shared" si="174"/>
        <v>41921</v>
      </c>
      <c r="C3234" s="67">
        <f t="shared" si="175"/>
        <v>2014</v>
      </c>
      <c r="D3234" s="68">
        <v>13.3789</v>
      </c>
      <c r="E3234" s="68">
        <v>13.4786</v>
      </c>
      <c r="F3234" s="68">
        <v>13.433199999999999</v>
      </c>
    </row>
    <row r="3235" spans="1:6">
      <c r="A3235" s="57" t="s">
        <v>5814</v>
      </c>
      <c r="B3235" s="58">
        <f t="shared" si="174"/>
        <v>41922</v>
      </c>
      <c r="C3235" s="59">
        <f t="shared" si="175"/>
        <v>2014</v>
      </c>
      <c r="D3235" s="61">
        <v>13.4331</v>
      </c>
      <c r="E3235" s="61">
        <v>13.3789</v>
      </c>
      <c r="F3235" s="61">
        <v>13.4786</v>
      </c>
    </row>
    <row r="3236" spans="1:6">
      <c r="A3236" s="65" t="s">
        <v>5815</v>
      </c>
      <c r="B3236" s="66">
        <f t="shared" si="174"/>
        <v>41923</v>
      </c>
      <c r="C3236" s="67">
        <f t="shared" si="175"/>
        <v>2014</v>
      </c>
      <c r="D3236" s="70" t="s">
        <v>362</v>
      </c>
      <c r="E3236" s="70" t="s">
        <v>362</v>
      </c>
      <c r="F3236" s="68">
        <v>13.3789</v>
      </c>
    </row>
    <row r="3237" spans="1:6">
      <c r="A3237" s="57" t="s">
        <v>5816</v>
      </c>
      <c r="B3237" s="58">
        <f t="shared" si="174"/>
        <v>41924</v>
      </c>
      <c r="C3237" s="59">
        <f t="shared" si="175"/>
        <v>2014</v>
      </c>
      <c r="D3237" s="60" t="s">
        <v>362</v>
      </c>
      <c r="E3237" s="60" t="s">
        <v>362</v>
      </c>
      <c r="F3237" s="61">
        <v>13.3789</v>
      </c>
    </row>
    <row r="3238" spans="1:6">
      <c r="A3238" s="65" t="s">
        <v>5817</v>
      </c>
      <c r="B3238" s="66">
        <f t="shared" si="174"/>
        <v>41925</v>
      </c>
      <c r="C3238" s="67">
        <f t="shared" si="175"/>
        <v>2014</v>
      </c>
      <c r="D3238" s="68">
        <v>13.420299999999999</v>
      </c>
      <c r="E3238" s="68">
        <v>13.4331</v>
      </c>
      <c r="F3238" s="68">
        <v>13.3789</v>
      </c>
    </row>
    <row r="3239" spans="1:6">
      <c r="A3239" s="57" t="s">
        <v>5818</v>
      </c>
      <c r="B3239" s="58">
        <f t="shared" si="174"/>
        <v>41926</v>
      </c>
      <c r="C3239" s="59">
        <f t="shared" si="175"/>
        <v>2014</v>
      </c>
      <c r="D3239" s="61">
        <v>13.4094</v>
      </c>
      <c r="E3239" s="61">
        <v>13.420299999999999</v>
      </c>
      <c r="F3239" s="61">
        <v>13.4331</v>
      </c>
    </row>
    <row r="3240" spans="1:6">
      <c r="A3240" s="65" t="s">
        <v>5819</v>
      </c>
      <c r="B3240" s="66">
        <f t="shared" si="174"/>
        <v>41927</v>
      </c>
      <c r="C3240" s="67">
        <f t="shared" si="175"/>
        <v>2014</v>
      </c>
      <c r="D3240" s="68">
        <v>13.542299999999999</v>
      </c>
      <c r="E3240" s="68">
        <v>13.4094</v>
      </c>
      <c r="F3240" s="68">
        <v>13.420299999999999</v>
      </c>
    </row>
    <row r="3241" spans="1:6">
      <c r="A3241" s="57" t="s">
        <v>5820</v>
      </c>
      <c r="B3241" s="58">
        <f t="shared" si="174"/>
        <v>41928</v>
      </c>
      <c r="C3241" s="59">
        <f t="shared" si="175"/>
        <v>2014</v>
      </c>
      <c r="D3241" s="61">
        <v>13.5616</v>
      </c>
      <c r="E3241" s="61">
        <v>13.542299999999999</v>
      </c>
      <c r="F3241" s="61">
        <v>13.4094</v>
      </c>
    </row>
    <row r="3242" spans="1:6">
      <c r="A3242" s="65" t="s">
        <v>5821</v>
      </c>
      <c r="B3242" s="66">
        <f t="shared" si="174"/>
        <v>41929</v>
      </c>
      <c r="C3242" s="67">
        <f t="shared" si="175"/>
        <v>2014</v>
      </c>
      <c r="D3242" s="68">
        <v>13.523099999999999</v>
      </c>
      <c r="E3242" s="68">
        <v>13.5616</v>
      </c>
      <c r="F3242" s="68">
        <v>13.542299999999999</v>
      </c>
    </row>
    <row r="3243" spans="1:6">
      <c r="A3243" s="57" t="s">
        <v>5822</v>
      </c>
      <c r="B3243" s="58">
        <f t="shared" si="174"/>
        <v>41930</v>
      </c>
      <c r="C3243" s="59">
        <f t="shared" si="175"/>
        <v>2014</v>
      </c>
      <c r="D3243" s="60" t="s">
        <v>362</v>
      </c>
      <c r="E3243" s="60" t="s">
        <v>362</v>
      </c>
      <c r="F3243" s="61">
        <v>13.5616</v>
      </c>
    </row>
    <row r="3244" spans="1:6">
      <c r="A3244" s="65" t="s">
        <v>5823</v>
      </c>
      <c r="B3244" s="66">
        <f t="shared" si="174"/>
        <v>41931</v>
      </c>
      <c r="C3244" s="67">
        <f t="shared" si="175"/>
        <v>2014</v>
      </c>
      <c r="D3244" s="70" t="s">
        <v>362</v>
      </c>
      <c r="E3244" s="70" t="s">
        <v>362</v>
      </c>
      <c r="F3244" s="68">
        <v>13.5616</v>
      </c>
    </row>
    <row r="3245" spans="1:6">
      <c r="A3245" s="57" t="s">
        <v>5824</v>
      </c>
      <c r="B3245" s="58">
        <f t="shared" si="174"/>
        <v>41932</v>
      </c>
      <c r="C3245" s="59">
        <f t="shared" si="175"/>
        <v>2014</v>
      </c>
      <c r="D3245" s="61">
        <v>13.5357</v>
      </c>
      <c r="E3245" s="61">
        <v>13.523099999999999</v>
      </c>
      <c r="F3245" s="61">
        <v>13.5616</v>
      </c>
    </row>
    <row r="3246" spans="1:6">
      <c r="A3246" s="65" t="s">
        <v>5825</v>
      </c>
      <c r="B3246" s="66">
        <f t="shared" si="174"/>
        <v>41933</v>
      </c>
      <c r="C3246" s="67">
        <f t="shared" si="175"/>
        <v>2014</v>
      </c>
      <c r="D3246" s="68">
        <v>13.498900000000001</v>
      </c>
      <c r="E3246" s="68">
        <v>13.5357</v>
      </c>
      <c r="F3246" s="68">
        <v>13.523099999999999</v>
      </c>
    </row>
    <row r="3247" spans="1:6">
      <c r="A3247" s="57" t="s">
        <v>5826</v>
      </c>
      <c r="B3247" s="58">
        <f t="shared" si="174"/>
        <v>41934</v>
      </c>
      <c r="C3247" s="59">
        <f t="shared" si="175"/>
        <v>2014</v>
      </c>
      <c r="D3247" s="61">
        <v>13.555899999999999</v>
      </c>
      <c r="E3247" s="61">
        <v>13.498900000000001</v>
      </c>
      <c r="F3247" s="61">
        <v>13.5357</v>
      </c>
    </row>
    <row r="3248" spans="1:6">
      <c r="A3248" s="65" t="s">
        <v>5827</v>
      </c>
      <c r="B3248" s="66">
        <f t="shared" si="174"/>
        <v>41935</v>
      </c>
      <c r="C3248" s="67">
        <f t="shared" si="175"/>
        <v>2014</v>
      </c>
      <c r="D3248" s="68">
        <v>13.5288</v>
      </c>
      <c r="E3248" s="68">
        <v>13.555899999999999</v>
      </c>
      <c r="F3248" s="68">
        <v>13.498900000000001</v>
      </c>
    </row>
    <row r="3249" spans="1:6">
      <c r="A3249" s="57" t="s">
        <v>5828</v>
      </c>
      <c r="B3249" s="58">
        <f t="shared" si="174"/>
        <v>41936</v>
      </c>
      <c r="C3249" s="59">
        <f t="shared" si="175"/>
        <v>2014</v>
      </c>
      <c r="D3249" s="61">
        <v>13.526300000000001</v>
      </c>
      <c r="E3249" s="61">
        <v>13.5288</v>
      </c>
      <c r="F3249" s="61">
        <v>13.555899999999999</v>
      </c>
    </row>
    <row r="3250" spans="1:6">
      <c r="A3250" s="65" t="s">
        <v>5829</v>
      </c>
      <c r="B3250" s="66">
        <f t="shared" si="174"/>
        <v>41937</v>
      </c>
      <c r="C3250" s="67">
        <f t="shared" si="175"/>
        <v>2014</v>
      </c>
      <c r="D3250" s="70" t="s">
        <v>362</v>
      </c>
      <c r="E3250" s="70" t="s">
        <v>362</v>
      </c>
      <c r="F3250" s="68">
        <v>13.5288</v>
      </c>
    </row>
    <row r="3251" spans="1:6">
      <c r="A3251" s="57" t="s">
        <v>5830</v>
      </c>
      <c r="B3251" s="58">
        <f t="shared" si="174"/>
        <v>41938</v>
      </c>
      <c r="C3251" s="59">
        <f t="shared" si="175"/>
        <v>2014</v>
      </c>
      <c r="D3251" s="60" t="s">
        <v>362</v>
      </c>
      <c r="E3251" s="60" t="s">
        <v>362</v>
      </c>
      <c r="F3251" s="61">
        <v>13.5288</v>
      </c>
    </row>
    <row r="3252" spans="1:6">
      <c r="A3252" s="65" t="s">
        <v>5831</v>
      </c>
      <c r="B3252" s="66">
        <f t="shared" si="174"/>
        <v>41939</v>
      </c>
      <c r="C3252" s="67">
        <f t="shared" si="175"/>
        <v>2014</v>
      </c>
      <c r="D3252" s="68">
        <v>13.5701</v>
      </c>
      <c r="E3252" s="68">
        <v>13.526300000000001</v>
      </c>
      <c r="F3252" s="68">
        <v>13.5288</v>
      </c>
    </row>
    <row r="3253" spans="1:6">
      <c r="A3253" s="57" t="s">
        <v>5832</v>
      </c>
      <c r="B3253" s="58">
        <f t="shared" si="174"/>
        <v>41940</v>
      </c>
      <c r="C3253" s="59">
        <f t="shared" si="175"/>
        <v>2014</v>
      </c>
      <c r="D3253" s="61">
        <v>13.484299999999999</v>
      </c>
      <c r="E3253" s="61">
        <v>13.5701</v>
      </c>
      <c r="F3253" s="61">
        <v>13.526300000000001</v>
      </c>
    </row>
    <row r="3254" spans="1:6">
      <c r="A3254" s="65" t="s">
        <v>5833</v>
      </c>
      <c r="B3254" s="66">
        <f t="shared" si="174"/>
        <v>41941</v>
      </c>
      <c r="C3254" s="67">
        <f t="shared" si="175"/>
        <v>2014</v>
      </c>
      <c r="D3254" s="68">
        <v>13.4239</v>
      </c>
      <c r="E3254" s="68">
        <v>13.484299999999999</v>
      </c>
      <c r="F3254" s="68">
        <v>13.5701</v>
      </c>
    </row>
    <row r="3255" spans="1:6">
      <c r="A3255" s="57" t="s">
        <v>5834</v>
      </c>
      <c r="B3255" s="58">
        <f t="shared" si="174"/>
        <v>41942</v>
      </c>
      <c r="C3255" s="59">
        <f t="shared" si="175"/>
        <v>2014</v>
      </c>
      <c r="D3255" s="61">
        <v>13.4316</v>
      </c>
      <c r="E3255" s="61">
        <v>13.4239</v>
      </c>
      <c r="F3255" s="61">
        <v>13.484299999999999</v>
      </c>
    </row>
    <row r="3256" spans="1:6">
      <c r="A3256" s="65" t="s">
        <v>5835</v>
      </c>
      <c r="B3256" s="66">
        <f t="shared" si="174"/>
        <v>41943</v>
      </c>
      <c r="C3256" s="67">
        <f t="shared" si="175"/>
        <v>2014</v>
      </c>
      <c r="D3256" s="68">
        <v>13.4773</v>
      </c>
      <c r="E3256" s="68">
        <v>13.4316</v>
      </c>
      <c r="F3256" s="68">
        <v>13.4239</v>
      </c>
    </row>
    <row r="3257" spans="1:6">
      <c r="A3257" s="57" t="s">
        <v>5836</v>
      </c>
      <c r="B3257" s="58">
        <f t="shared" si="174"/>
        <v>41944</v>
      </c>
      <c r="C3257" s="59">
        <f t="shared" si="175"/>
        <v>2014</v>
      </c>
      <c r="D3257" s="60" t="s">
        <v>362</v>
      </c>
      <c r="E3257" s="60" t="s">
        <v>362</v>
      </c>
      <c r="F3257" s="61">
        <v>13.4316</v>
      </c>
    </row>
    <row r="3258" spans="1:6">
      <c r="A3258" s="65" t="s">
        <v>5837</v>
      </c>
      <c r="B3258" s="66">
        <f t="shared" si="174"/>
        <v>41945</v>
      </c>
      <c r="C3258" s="67">
        <f t="shared" si="175"/>
        <v>2014</v>
      </c>
      <c r="D3258" s="70" t="s">
        <v>362</v>
      </c>
      <c r="E3258" s="70" t="s">
        <v>362</v>
      </c>
      <c r="F3258" s="68">
        <v>13.4316</v>
      </c>
    </row>
    <row r="3259" spans="1:6">
      <c r="A3259" s="57" t="s">
        <v>5838</v>
      </c>
      <c r="B3259" s="58">
        <f t="shared" si="174"/>
        <v>41946</v>
      </c>
      <c r="C3259" s="59">
        <f t="shared" si="175"/>
        <v>2014</v>
      </c>
      <c r="D3259" s="61">
        <v>13.5503</v>
      </c>
      <c r="E3259" s="61">
        <v>13.4773</v>
      </c>
      <c r="F3259" s="61">
        <v>13.4316</v>
      </c>
    </row>
    <row r="3260" spans="1:6">
      <c r="A3260" s="65" t="s">
        <v>5839</v>
      </c>
      <c r="B3260" s="66">
        <f t="shared" si="174"/>
        <v>41947</v>
      </c>
      <c r="C3260" s="67">
        <f t="shared" si="175"/>
        <v>2014</v>
      </c>
      <c r="D3260" s="68">
        <v>13.592499999999999</v>
      </c>
      <c r="E3260" s="68">
        <v>13.5503</v>
      </c>
      <c r="F3260" s="68">
        <v>13.4773</v>
      </c>
    </row>
    <row r="3261" spans="1:6">
      <c r="A3261" s="57" t="s">
        <v>5840</v>
      </c>
      <c r="B3261" s="58">
        <f t="shared" si="174"/>
        <v>41948</v>
      </c>
      <c r="C3261" s="59">
        <f t="shared" si="175"/>
        <v>2014</v>
      </c>
      <c r="D3261" s="61">
        <v>13.606999999999999</v>
      </c>
      <c r="E3261" s="61">
        <v>13.592499999999999</v>
      </c>
      <c r="F3261" s="61">
        <v>13.5503</v>
      </c>
    </row>
    <row r="3262" spans="1:6">
      <c r="A3262" s="65" t="s">
        <v>5841</v>
      </c>
      <c r="B3262" s="66">
        <f t="shared" si="174"/>
        <v>41949</v>
      </c>
      <c r="C3262" s="67">
        <f t="shared" si="175"/>
        <v>2014</v>
      </c>
      <c r="D3262" s="68">
        <v>13.6173</v>
      </c>
      <c r="E3262" s="68">
        <v>13.606999999999999</v>
      </c>
      <c r="F3262" s="68">
        <v>13.592499999999999</v>
      </c>
    </row>
    <row r="3263" spans="1:6">
      <c r="A3263" s="57" t="s">
        <v>5842</v>
      </c>
      <c r="B3263" s="58">
        <f t="shared" si="174"/>
        <v>41950</v>
      </c>
      <c r="C3263" s="59">
        <f t="shared" si="175"/>
        <v>2014</v>
      </c>
      <c r="D3263" s="61">
        <v>13.5573</v>
      </c>
      <c r="E3263" s="61">
        <v>13.6173</v>
      </c>
      <c r="F3263" s="61">
        <v>13.606999999999999</v>
      </c>
    </row>
    <row r="3264" spans="1:6">
      <c r="A3264" s="65" t="s">
        <v>5843</v>
      </c>
      <c r="B3264" s="66">
        <f t="shared" si="174"/>
        <v>41951</v>
      </c>
      <c r="C3264" s="67">
        <f t="shared" si="175"/>
        <v>2014</v>
      </c>
      <c r="D3264" s="70" t="s">
        <v>362</v>
      </c>
      <c r="E3264" s="70" t="s">
        <v>362</v>
      </c>
      <c r="F3264" s="68">
        <v>13.6173</v>
      </c>
    </row>
    <row r="3265" spans="1:6">
      <c r="A3265" s="57" t="s">
        <v>5844</v>
      </c>
      <c r="B3265" s="58">
        <f t="shared" si="174"/>
        <v>41952</v>
      </c>
      <c r="C3265" s="59">
        <f t="shared" si="175"/>
        <v>2014</v>
      </c>
      <c r="D3265" s="60" t="s">
        <v>362</v>
      </c>
      <c r="E3265" s="60" t="s">
        <v>362</v>
      </c>
      <c r="F3265" s="61">
        <v>13.6173</v>
      </c>
    </row>
    <row r="3266" spans="1:6">
      <c r="A3266" s="65" t="s">
        <v>5845</v>
      </c>
      <c r="B3266" s="66">
        <f t="shared" si="174"/>
        <v>41953</v>
      </c>
      <c r="C3266" s="67">
        <f t="shared" si="175"/>
        <v>2014</v>
      </c>
      <c r="D3266" s="68">
        <v>13.5528</v>
      </c>
      <c r="E3266" s="68">
        <v>13.5573</v>
      </c>
      <c r="F3266" s="68">
        <v>13.6173</v>
      </c>
    </row>
    <row r="3267" spans="1:6">
      <c r="A3267" s="57" t="s">
        <v>5846</v>
      </c>
      <c r="B3267" s="58">
        <f t="shared" si="174"/>
        <v>41954</v>
      </c>
      <c r="C3267" s="59">
        <f t="shared" si="175"/>
        <v>2014</v>
      </c>
      <c r="D3267" s="61">
        <v>13.587400000000001</v>
      </c>
      <c r="E3267" s="61">
        <v>13.5528</v>
      </c>
      <c r="F3267" s="61">
        <v>13.5573</v>
      </c>
    </row>
    <row r="3268" spans="1:6">
      <c r="A3268" s="65" t="s">
        <v>5847</v>
      </c>
      <c r="B3268" s="66">
        <f t="shared" si="174"/>
        <v>41955</v>
      </c>
      <c r="C3268" s="67">
        <f t="shared" si="175"/>
        <v>2014</v>
      </c>
      <c r="D3268" s="68">
        <v>13.561299999999999</v>
      </c>
      <c r="E3268" s="68">
        <v>13.587400000000001</v>
      </c>
      <c r="F3268" s="68">
        <v>13.5528</v>
      </c>
    </row>
    <row r="3269" spans="1:6">
      <c r="A3269" s="57" t="s">
        <v>5848</v>
      </c>
      <c r="B3269" s="58">
        <f t="shared" si="174"/>
        <v>41956</v>
      </c>
      <c r="C3269" s="59">
        <f t="shared" si="175"/>
        <v>2014</v>
      </c>
      <c r="D3269" s="61">
        <v>13.599500000000001</v>
      </c>
      <c r="E3269" s="61">
        <v>13.561299999999999</v>
      </c>
      <c r="F3269" s="61">
        <v>13.587400000000001</v>
      </c>
    </row>
    <row r="3270" spans="1:6">
      <c r="A3270" s="65" t="s">
        <v>5849</v>
      </c>
      <c r="B3270" s="66">
        <f t="shared" si="174"/>
        <v>41957</v>
      </c>
      <c r="C3270" s="67">
        <f t="shared" si="175"/>
        <v>2014</v>
      </c>
      <c r="D3270" s="68">
        <v>13.534800000000001</v>
      </c>
      <c r="E3270" s="68">
        <v>13.599500000000001</v>
      </c>
      <c r="F3270" s="68">
        <v>13.561299999999999</v>
      </c>
    </row>
    <row r="3271" spans="1:6">
      <c r="A3271" s="57" t="s">
        <v>5850</v>
      </c>
      <c r="B3271" s="58">
        <f t="shared" si="174"/>
        <v>41958</v>
      </c>
      <c r="C3271" s="59">
        <f t="shared" si="175"/>
        <v>2014</v>
      </c>
      <c r="D3271" s="60" t="s">
        <v>362</v>
      </c>
      <c r="E3271" s="60" t="s">
        <v>362</v>
      </c>
      <c r="F3271" s="61">
        <v>13.599500000000001</v>
      </c>
    </row>
    <row r="3272" spans="1:6">
      <c r="A3272" s="65" t="s">
        <v>5851</v>
      </c>
      <c r="B3272" s="66">
        <f t="shared" si="174"/>
        <v>41959</v>
      </c>
      <c r="C3272" s="67">
        <f t="shared" si="175"/>
        <v>2014</v>
      </c>
      <c r="D3272" s="70" t="s">
        <v>362</v>
      </c>
      <c r="E3272" s="70" t="s">
        <v>362</v>
      </c>
      <c r="F3272" s="68">
        <v>13.599500000000001</v>
      </c>
    </row>
    <row r="3273" spans="1:6">
      <c r="A3273" s="57" t="s">
        <v>5852</v>
      </c>
      <c r="B3273" s="58">
        <f t="shared" si="174"/>
        <v>41960</v>
      </c>
      <c r="C3273" s="59">
        <f t="shared" si="175"/>
        <v>2014</v>
      </c>
      <c r="D3273" s="60" t="s">
        <v>362</v>
      </c>
      <c r="E3273" s="60" t="s">
        <v>362</v>
      </c>
      <c r="F3273" s="61">
        <v>13.599500000000001</v>
      </c>
    </row>
    <row r="3274" spans="1:6">
      <c r="A3274" s="65" t="s">
        <v>5853</v>
      </c>
      <c r="B3274" s="66">
        <f t="shared" si="174"/>
        <v>41961</v>
      </c>
      <c r="C3274" s="67">
        <f t="shared" si="175"/>
        <v>2014</v>
      </c>
      <c r="D3274" s="68">
        <v>13.544499999999999</v>
      </c>
      <c r="E3274" s="68">
        <v>13.534800000000001</v>
      </c>
      <c r="F3274" s="68">
        <v>13.599500000000001</v>
      </c>
    </row>
    <row r="3275" spans="1:6">
      <c r="A3275" s="57" t="s">
        <v>5854</v>
      </c>
      <c r="B3275" s="58">
        <f t="shared" si="174"/>
        <v>41962</v>
      </c>
      <c r="C3275" s="59">
        <f t="shared" si="175"/>
        <v>2014</v>
      </c>
      <c r="D3275" s="61">
        <v>13.614599999999999</v>
      </c>
      <c r="E3275" s="61">
        <v>13.544499999999999</v>
      </c>
      <c r="F3275" s="61">
        <v>13.534800000000001</v>
      </c>
    </row>
    <row r="3276" spans="1:6">
      <c r="A3276" s="65" t="s">
        <v>5855</v>
      </c>
      <c r="B3276" s="66">
        <f t="shared" si="174"/>
        <v>41963</v>
      </c>
      <c r="C3276" s="67">
        <f t="shared" si="175"/>
        <v>2014</v>
      </c>
      <c r="D3276" s="68">
        <v>13.611499999999999</v>
      </c>
      <c r="E3276" s="68">
        <v>13.614599999999999</v>
      </c>
      <c r="F3276" s="68">
        <v>13.544499999999999</v>
      </c>
    </row>
    <row r="3277" spans="1:6">
      <c r="A3277" s="57" t="s">
        <v>5856</v>
      </c>
      <c r="B3277" s="58">
        <f t="shared" si="174"/>
        <v>41964</v>
      </c>
      <c r="C3277" s="59">
        <f t="shared" si="175"/>
        <v>2014</v>
      </c>
      <c r="D3277" s="61">
        <v>13.6152</v>
      </c>
      <c r="E3277" s="61">
        <v>13.611499999999999</v>
      </c>
      <c r="F3277" s="61">
        <v>13.614599999999999</v>
      </c>
    </row>
    <row r="3278" spans="1:6">
      <c r="A3278" s="65" t="s">
        <v>5857</v>
      </c>
      <c r="B3278" s="66">
        <f t="shared" si="174"/>
        <v>41965</v>
      </c>
      <c r="C3278" s="67">
        <f t="shared" si="175"/>
        <v>2014</v>
      </c>
      <c r="D3278" s="70" t="s">
        <v>362</v>
      </c>
      <c r="E3278" s="70" t="s">
        <v>362</v>
      </c>
      <c r="F3278" s="68">
        <v>13.611499999999999</v>
      </c>
    </row>
    <row r="3279" spans="1:6">
      <c r="A3279" s="57" t="s">
        <v>5858</v>
      </c>
      <c r="B3279" s="58">
        <f t="shared" si="174"/>
        <v>41966</v>
      </c>
      <c r="C3279" s="59">
        <f t="shared" si="175"/>
        <v>2014</v>
      </c>
      <c r="D3279" s="60" t="s">
        <v>362</v>
      </c>
      <c r="E3279" s="60" t="s">
        <v>362</v>
      </c>
      <c r="F3279" s="61">
        <v>13.611499999999999</v>
      </c>
    </row>
    <row r="3280" spans="1:6">
      <c r="A3280" s="65" t="s">
        <v>5859</v>
      </c>
      <c r="B3280" s="66">
        <f t="shared" si="174"/>
        <v>41967</v>
      </c>
      <c r="C3280" s="67">
        <f t="shared" si="175"/>
        <v>2014</v>
      </c>
      <c r="D3280" s="68">
        <v>13.6374</v>
      </c>
      <c r="E3280" s="68">
        <v>13.6152</v>
      </c>
      <c r="F3280" s="68">
        <v>13.611499999999999</v>
      </c>
    </row>
    <row r="3281" spans="1:6">
      <c r="A3281" s="57" t="s">
        <v>5860</v>
      </c>
      <c r="B3281" s="58">
        <f t="shared" si="174"/>
        <v>41968</v>
      </c>
      <c r="C3281" s="59">
        <f t="shared" si="175"/>
        <v>2014</v>
      </c>
      <c r="D3281" s="61">
        <v>13.641999999999999</v>
      </c>
      <c r="E3281" s="61">
        <v>13.6374</v>
      </c>
      <c r="F3281" s="61">
        <v>13.6152</v>
      </c>
    </row>
    <row r="3282" spans="1:6">
      <c r="A3282" s="65" t="s">
        <v>5861</v>
      </c>
      <c r="B3282" s="66">
        <f t="shared" si="174"/>
        <v>41969</v>
      </c>
      <c r="C3282" s="67">
        <f t="shared" si="175"/>
        <v>2014</v>
      </c>
      <c r="D3282" s="68">
        <v>13.7219</v>
      </c>
      <c r="E3282" s="68">
        <v>13.641999999999999</v>
      </c>
      <c r="F3282" s="68">
        <v>13.6374</v>
      </c>
    </row>
    <row r="3283" spans="1:6">
      <c r="A3283" s="57" t="s">
        <v>5862</v>
      </c>
      <c r="B3283" s="58">
        <f t="shared" si="174"/>
        <v>41970</v>
      </c>
      <c r="C3283" s="59">
        <f t="shared" si="175"/>
        <v>2014</v>
      </c>
      <c r="D3283" s="61">
        <v>13.7667</v>
      </c>
      <c r="E3283" s="61">
        <v>13.7219</v>
      </c>
      <c r="F3283" s="61">
        <v>13.641999999999999</v>
      </c>
    </row>
    <row r="3284" spans="1:6">
      <c r="A3284" s="65" t="s">
        <v>5863</v>
      </c>
      <c r="B3284" s="66">
        <f t="shared" si="174"/>
        <v>41971</v>
      </c>
      <c r="C3284" s="67">
        <f t="shared" si="175"/>
        <v>2014</v>
      </c>
      <c r="D3284" s="68">
        <v>13.8965</v>
      </c>
      <c r="E3284" s="68">
        <v>13.7667</v>
      </c>
      <c r="F3284" s="68">
        <v>13.7219</v>
      </c>
    </row>
    <row r="3285" spans="1:6">
      <c r="A3285" s="57" t="s">
        <v>5864</v>
      </c>
      <c r="B3285" s="58">
        <f t="shared" si="174"/>
        <v>41972</v>
      </c>
      <c r="C3285" s="59">
        <f t="shared" si="175"/>
        <v>2014</v>
      </c>
      <c r="D3285" s="60" t="s">
        <v>362</v>
      </c>
      <c r="E3285" s="60" t="s">
        <v>362</v>
      </c>
      <c r="F3285" s="61">
        <v>13.7667</v>
      </c>
    </row>
    <row r="3286" spans="1:6">
      <c r="A3286" s="65" t="s">
        <v>5865</v>
      </c>
      <c r="B3286" s="66">
        <f t="shared" si="174"/>
        <v>41973</v>
      </c>
      <c r="C3286" s="67">
        <f t="shared" si="175"/>
        <v>2014</v>
      </c>
      <c r="D3286" s="70" t="s">
        <v>362</v>
      </c>
      <c r="E3286" s="70" t="s">
        <v>362</v>
      </c>
      <c r="F3286" s="68">
        <v>13.7667</v>
      </c>
    </row>
    <row r="3287" spans="1:6">
      <c r="A3287" s="57" t="s">
        <v>5866</v>
      </c>
      <c r="B3287" s="58">
        <f t="shared" si="174"/>
        <v>41974</v>
      </c>
      <c r="C3287" s="59">
        <f t="shared" si="175"/>
        <v>2014</v>
      </c>
      <c r="D3287" s="61">
        <v>13.9262</v>
      </c>
      <c r="E3287" s="61">
        <v>13.8965</v>
      </c>
      <c r="F3287" s="61">
        <v>13.7667</v>
      </c>
    </row>
    <row r="3288" spans="1:6">
      <c r="A3288" s="65" t="s">
        <v>5867</v>
      </c>
      <c r="B3288" s="66">
        <f t="shared" si="174"/>
        <v>41975</v>
      </c>
      <c r="C3288" s="67">
        <f t="shared" si="175"/>
        <v>2014</v>
      </c>
      <c r="D3288" s="68">
        <v>14.076000000000001</v>
      </c>
      <c r="E3288" s="68">
        <v>13.9262</v>
      </c>
      <c r="F3288" s="68">
        <v>13.8965</v>
      </c>
    </row>
    <row r="3289" spans="1:6">
      <c r="A3289" s="57" t="s">
        <v>5868</v>
      </c>
      <c r="B3289" s="58">
        <f t="shared" si="174"/>
        <v>41976</v>
      </c>
      <c r="C3289" s="59">
        <f t="shared" si="175"/>
        <v>2014</v>
      </c>
      <c r="D3289" s="61">
        <v>14.091799999999999</v>
      </c>
      <c r="E3289" s="61">
        <v>14.076000000000001</v>
      </c>
      <c r="F3289" s="61">
        <v>13.9262</v>
      </c>
    </row>
    <row r="3290" spans="1:6">
      <c r="A3290" s="65" t="s">
        <v>5869</v>
      </c>
      <c r="B3290" s="66">
        <f t="shared" si="174"/>
        <v>41977</v>
      </c>
      <c r="C3290" s="67">
        <f t="shared" si="175"/>
        <v>2014</v>
      </c>
      <c r="D3290" s="68">
        <v>14.1165</v>
      </c>
      <c r="E3290" s="68">
        <v>14.091799999999999</v>
      </c>
      <c r="F3290" s="68">
        <v>14.076000000000001</v>
      </c>
    </row>
    <row r="3291" spans="1:6">
      <c r="A3291" s="57" t="s">
        <v>5870</v>
      </c>
      <c r="B3291" s="58">
        <f t="shared" si="174"/>
        <v>41978</v>
      </c>
      <c r="C3291" s="59">
        <f t="shared" si="175"/>
        <v>2014</v>
      </c>
      <c r="D3291" s="61">
        <v>14.304500000000001</v>
      </c>
      <c r="E3291" s="61">
        <v>14.1165</v>
      </c>
      <c r="F3291" s="61">
        <v>14.091799999999999</v>
      </c>
    </row>
    <row r="3292" spans="1:6">
      <c r="A3292" s="65" t="s">
        <v>5871</v>
      </c>
      <c r="B3292" s="66">
        <f t="shared" si="174"/>
        <v>41979</v>
      </c>
      <c r="C3292" s="67">
        <f t="shared" si="175"/>
        <v>2014</v>
      </c>
      <c r="D3292" s="70" t="s">
        <v>362</v>
      </c>
      <c r="E3292" s="70" t="s">
        <v>362</v>
      </c>
      <c r="F3292" s="68">
        <v>14.1165</v>
      </c>
    </row>
    <row r="3293" spans="1:6">
      <c r="A3293" s="57" t="s">
        <v>5872</v>
      </c>
      <c r="B3293" s="58">
        <f t="shared" si="174"/>
        <v>41980</v>
      </c>
      <c r="C3293" s="59">
        <f t="shared" si="175"/>
        <v>2014</v>
      </c>
      <c r="D3293" s="60" t="s">
        <v>362</v>
      </c>
      <c r="E3293" s="60" t="s">
        <v>362</v>
      </c>
      <c r="F3293" s="61">
        <v>14.1165</v>
      </c>
    </row>
    <row r="3294" spans="1:6">
      <c r="A3294" s="65" t="s">
        <v>5873</v>
      </c>
      <c r="B3294" s="66">
        <f t="shared" si="174"/>
        <v>41981</v>
      </c>
      <c r="C3294" s="67">
        <f t="shared" si="175"/>
        <v>2014</v>
      </c>
      <c r="D3294" s="68">
        <v>14.404199999999999</v>
      </c>
      <c r="E3294" s="68">
        <v>14.304500000000001</v>
      </c>
      <c r="F3294" s="68">
        <v>14.1165</v>
      </c>
    </row>
    <row r="3295" spans="1:6">
      <c r="A3295" s="57" t="s">
        <v>5874</v>
      </c>
      <c r="B3295" s="58">
        <f t="shared" ref="B3295:B3358" si="176">DATE(RIGHT(A3295,4),LEFT(RIGHT(A3295,7),2),LEFT(A3295,2))</f>
        <v>41982</v>
      </c>
      <c r="C3295" s="59">
        <f t="shared" ref="C3295:C3358" si="177">YEAR(B3295)</f>
        <v>2014</v>
      </c>
      <c r="D3295" s="61">
        <v>14.3674</v>
      </c>
      <c r="E3295" s="61">
        <v>14.404199999999999</v>
      </c>
      <c r="F3295" s="61">
        <v>14.304500000000001</v>
      </c>
    </row>
    <row r="3296" spans="1:6">
      <c r="A3296" s="65" t="s">
        <v>5875</v>
      </c>
      <c r="B3296" s="66">
        <f t="shared" si="176"/>
        <v>41983</v>
      </c>
      <c r="C3296" s="67">
        <f t="shared" si="177"/>
        <v>2014</v>
      </c>
      <c r="D3296" s="68">
        <v>14.5181</v>
      </c>
      <c r="E3296" s="68">
        <v>14.3674</v>
      </c>
      <c r="F3296" s="68">
        <v>14.404199999999999</v>
      </c>
    </row>
    <row r="3297" spans="1:6">
      <c r="A3297" s="57" t="s">
        <v>5876</v>
      </c>
      <c r="B3297" s="58">
        <f t="shared" si="176"/>
        <v>41984</v>
      </c>
      <c r="C3297" s="59">
        <f t="shared" si="177"/>
        <v>2014</v>
      </c>
      <c r="D3297" s="61">
        <v>14.6648</v>
      </c>
      <c r="E3297" s="61">
        <v>14.5181</v>
      </c>
      <c r="F3297" s="61">
        <v>14.3674</v>
      </c>
    </row>
    <row r="3298" spans="1:6">
      <c r="A3298" s="65" t="s">
        <v>5877</v>
      </c>
      <c r="B3298" s="66">
        <f t="shared" si="176"/>
        <v>41985</v>
      </c>
      <c r="C3298" s="67">
        <f t="shared" si="177"/>
        <v>2014</v>
      </c>
      <c r="D3298" s="70" t="s">
        <v>362</v>
      </c>
      <c r="E3298" s="70" t="s">
        <v>362</v>
      </c>
      <c r="F3298" s="68">
        <v>14.5181</v>
      </c>
    </row>
    <row r="3299" spans="1:6">
      <c r="A3299" s="57" t="s">
        <v>5878</v>
      </c>
      <c r="B3299" s="58">
        <f t="shared" si="176"/>
        <v>41986</v>
      </c>
      <c r="C3299" s="59">
        <f t="shared" si="177"/>
        <v>2014</v>
      </c>
      <c r="D3299" s="60" t="s">
        <v>362</v>
      </c>
      <c r="E3299" s="60" t="s">
        <v>362</v>
      </c>
      <c r="F3299" s="61">
        <v>14.5181</v>
      </c>
    </row>
    <row r="3300" spans="1:6">
      <c r="A3300" s="65" t="s">
        <v>5879</v>
      </c>
      <c r="B3300" s="66">
        <f t="shared" si="176"/>
        <v>41987</v>
      </c>
      <c r="C3300" s="67">
        <f t="shared" si="177"/>
        <v>2014</v>
      </c>
      <c r="D3300" s="70" t="s">
        <v>362</v>
      </c>
      <c r="E3300" s="70" t="s">
        <v>362</v>
      </c>
      <c r="F3300" s="68">
        <v>14.5181</v>
      </c>
    </row>
    <row r="3301" spans="1:6">
      <c r="A3301" s="57" t="s">
        <v>5880</v>
      </c>
      <c r="B3301" s="58">
        <f t="shared" si="176"/>
        <v>41988</v>
      </c>
      <c r="C3301" s="59">
        <f t="shared" si="177"/>
        <v>2014</v>
      </c>
      <c r="D3301" s="61">
        <v>14.785299999999999</v>
      </c>
      <c r="E3301" s="61">
        <v>14.6648</v>
      </c>
      <c r="F3301" s="61">
        <v>14.5181</v>
      </c>
    </row>
    <row r="3302" spans="1:6">
      <c r="A3302" s="65" t="s">
        <v>5881</v>
      </c>
      <c r="B3302" s="66">
        <f t="shared" si="176"/>
        <v>41989</v>
      </c>
      <c r="C3302" s="67">
        <f t="shared" si="177"/>
        <v>2014</v>
      </c>
      <c r="D3302" s="68">
        <v>14.7499</v>
      </c>
      <c r="E3302" s="68">
        <v>14.785299999999999</v>
      </c>
      <c r="F3302" s="68">
        <v>14.6648</v>
      </c>
    </row>
    <row r="3303" spans="1:6">
      <c r="A3303" s="57" t="s">
        <v>5882</v>
      </c>
      <c r="B3303" s="58">
        <f t="shared" si="176"/>
        <v>41990</v>
      </c>
      <c r="C3303" s="59">
        <f t="shared" si="177"/>
        <v>2014</v>
      </c>
      <c r="D3303" s="61">
        <v>14.6028</v>
      </c>
      <c r="E3303" s="61">
        <v>14.7499</v>
      </c>
      <c r="F3303" s="61">
        <v>14.785299999999999</v>
      </c>
    </row>
    <row r="3304" spans="1:6">
      <c r="A3304" s="65" t="s">
        <v>5883</v>
      </c>
      <c r="B3304" s="66">
        <f t="shared" si="176"/>
        <v>41991</v>
      </c>
      <c r="C3304" s="67">
        <f t="shared" si="177"/>
        <v>2014</v>
      </c>
      <c r="D3304" s="68">
        <v>14.5562</v>
      </c>
      <c r="E3304" s="68">
        <v>14.6028</v>
      </c>
      <c r="F3304" s="68">
        <v>14.7499</v>
      </c>
    </row>
    <row r="3305" spans="1:6">
      <c r="A3305" s="57" t="s">
        <v>5884</v>
      </c>
      <c r="B3305" s="58">
        <f t="shared" si="176"/>
        <v>41992</v>
      </c>
      <c r="C3305" s="59">
        <f t="shared" si="177"/>
        <v>2014</v>
      </c>
      <c r="D3305" s="61">
        <v>14.6378</v>
      </c>
      <c r="E3305" s="61">
        <v>14.5562</v>
      </c>
      <c r="F3305" s="61">
        <v>14.6028</v>
      </c>
    </row>
    <row r="3306" spans="1:6">
      <c r="A3306" s="65" t="s">
        <v>5885</v>
      </c>
      <c r="B3306" s="66">
        <f t="shared" si="176"/>
        <v>41993</v>
      </c>
      <c r="C3306" s="67">
        <f t="shared" si="177"/>
        <v>2014</v>
      </c>
      <c r="D3306" s="70" t="s">
        <v>362</v>
      </c>
      <c r="E3306" s="70" t="s">
        <v>362</v>
      </c>
      <c r="F3306" s="68">
        <v>14.5562</v>
      </c>
    </row>
    <row r="3307" spans="1:6">
      <c r="A3307" s="57" t="s">
        <v>5886</v>
      </c>
      <c r="B3307" s="58">
        <f t="shared" si="176"/>
        <v>41994</v>
      </c>
      <c r="C3307" s="59">
        <f t="shared" si="177"/>
        <v>2014</v>
      </c>
      <c r="D3307" s="60" t="s">
        <v>362</v>
      </c>
      <c r="E3307" s="60" t="s">
        <v>362</v>
      </c>
      <c r="F3307" s="61">
        <v>14.5562</v>
      </c>
    </row>
    <row r="3308" spans="1:6">
      <c r="A3308" s="65" t="s">
        <v>5887</v>
      </c>
      <c r="B3308" s="66">
        <f t="shared" si="176"/>
        <v>41995</v>
      </c>
      <c r="C3308" s="67">
        <f t="shared" si="177"/>
        <v>2014</v>
      </c>
      <c r="D3308" s="68">
        <v>14.635899999999999</v>
      </c>
      <c r="E3308" s="68">
        <v>14.6378</v>
      </c>
      <c r="F3308" s="68">
        <v>14.5562</v>
      </c>
    </row>
    <row r="3309" spans="1:6">
      <c r="A3309" s="57" t="s">
        <v>5888</v>
      </c>
      <c r="B3309" s="58">
        <f t="shared" si="176"/>
        <v>41996</v>
      </c>
      <c r="C3309" s="59">
        <f t="shared" si="177"/>
        <v>2014</v>
      </c>
      <c r="D3309" s="61">
        <v>14.700799999999999</v>
      </c>
      <c r="E3309" s="61">
        <v>14.635899999999999</v>
      </c>
      <c r="F3309" s="61">
        <v>14.6378</v>
      </c>
    </row>
    <row r="3310" spans="1:6">
      <c r="A3310" s="65" t="s">
        <v>5889</v>
      </c>
      <c r="B3310" s="66">
        <f t="shared" si="176"/>
        <v>41997</v>
      </c>
      <c r="C3310" s="67">
        <f t="shared" si="177"/>
        <v>2014</v>
      </c>
      <c r="D3310" s="68">
        <v>14.742900000000001</v>
      </c>
      <c r="E3310" s="68">
        <v>14.700799999999999</v>
      </c>
      <c r="F3310" s="68">
        <v>14.635899999999999</v>
      </c>
    </row>
    <row r="3311" spans="1:6">
      <c r="A3311" s="57" t="s">
        <v>5890</v>
      </c>
      <c r="B3311" s="58">
        <f t="shared" si="176"/>
        <v>41998</v>
      </c>
      <c r="C3311" s="59">
        <f t="shared" si="177"/>
        <v>2014</v>
      </c>
      <c r="D3311" s="60" t="s">
        <v>362</v>
      </c>
      <c r="E3311" s="60" t="s">
        <v>362</v>
      </c>
      <c r="F3311" s="61">
        <v>14.700799999999999</v>
      </c>
    </row>
    <row r="3312" spans="1:6">
      <c r="A3312" s="65" t="s">
        <v>5891</v>
      </c>
      <c r="B3312" s="66">
        <f t="shared" si="176"/>
        <v>41999</v>
      </c>
      <c r="C3312" s="67">
        <f t="shared" si="177"/>
        <v>2014</v>
      </c>
      <c r="D3312" s="68">
        <v>14.695499999999999</v>
      </c>
      <c r="E3312" s="68">
        <v>14.742900000000001</v>
      </c>
      <c r="F3312" s="68">
        <v>14.700799999999999</v>
      </c>
    </row>
    <row r="3313" spans="1:6">
      <c r="A3313" s="57" t="s">
        <v>5892</v>
      </c>
      <c r="B3313" s="58">
        <f t="shared" si="176"/>
        <v>42000</v>
      </c>
      <c r="C3313" s="59">
        <f t="shared" si="177"/>
        <v>2014</v>
      </c>
      <c r="D3313" s="60" t="s">
        <v>362</v>
      </c>
      <c r="E3313" s="60" t="s">
        <v>362</v>
      </c>
      <c r="F3313" s="61">
        <v>14.742900000000001</v>
      </c>
    </row>
    <row r="3314" spans="1:6">
      <c r="A3314" s="65" t="s">
        <v>5893</v>
      </c>
      <c r="B3314" s="66">
        <f t="shared" si="176"/>
        <v>42001</v>
      </c>
      <c r="C3314" s="67">
        <f t="shared" si="177"/>
        <v>2014</v>
      </c>
      <c r="D3314" s="70" t="s">
        <v>362</v>
      </c>
      <c r="E3314" s="70" t="s">
        <v>362</v>
      </c>
      <c r="F3314" s="68">
        <v>14.742900000000001</v>
      </c>
    </row>
    <row r="3315" spans="1:6">
      <c r="A3315" s="57" t="s">
        <v>5894</v>
      </c>
      <c r="B3315" s="58">
        <f t="shared" si="176"/>
        <v>42002</v>
      </c>
      <c r="C3315" s="59">
        <f t="shared" si="177"/>
        <v>2014</v>
      </c>
      <c r="D3315" s="61">
        <v>14.718</v>
      </c>
      <c r="E3315" s="61">
        <v>14.695499999999999</v>
      </c>
      <c r="F3315" s="61">
        <v>14.742900000000001</v>
      </c>
    </row>
    <row r="3316" spans="1:6">
      <c r="A3316" s="65" t="s">
        <v>5895</v>
      </c>
      <c r="B3316" s="66">
        <f t="shared" si="176"/>
        <v>42003</v>
      </c>
      <c r="C3316" s="67">
        <f t="shared" si="177"/>
        <v>2014</v>
      </c>
      <c r="D3316" s="68">
        <v>14.7348</v>
      </c>
      <c r="E3316" s="68">
        <v>14.718</v>
      </c>
      <c r="F3316" s="68">
        <v>14.695499999999999</v>
      </c>
    </row>
    <row r="3317" spans="1:6">
      <c r="A3317" s="57" t="s">
        <v>5896</v>
      </c>
      <c r="B3317" s="58">
        <f t="shared" si="176"/>
        <v>42004</v>
      </c>
      <c r="C3317" s="59">
        <f t="shared" si="177"/>
        <v>2014</v>
      </c>
      <c r="D3317" s="61">
        <v>14.741400000000001</v>
      </c>
      <c r="E3317" s="61">
        <v>14.7348</v>
      </c>
      <c r="F3317" s="61">
        <v>14.718</v>
      </c>
    </row>
    <row r="3318" spans="1:6">
      <c r="A3318" s="65" t="s">
        <v>5897</v>
      </c>
      <c r="B3318" s="66">
        <f t="shared" si="176"/>
        <v>42005</v>
      </c>
      <c r="C3318" s="67">
        <f t="shared" si="177"/>
        <v>2015</v>
      </c>
      <c r="D3318" s="70" t="s">
        <v>362</v>
      </c>
      <c r="E3318" s="70" t="s">
        <v>362</v>
      </c>
      <c r="F3318" s="68">
        <v>14.7348</v>
      </c>
    </row>
    <row r="3319" spans="1:6">
      <c r="A3319" s="57" t="s">
        <v>5898</v>
      </c>
      <c r="B3319" s="58">
        <f t="shared" si="176"/>
        <v>42006</v>
      </c>
      <c r="C3319" s="59">
        <f t="shared" si="177"/>
        <v>2015</v>
      </c>
      <c r="D3319" s="61">
        <v>14.829000000000001</v>
      </c>
      <c r="E3319" s="61">
        <v>14.741400000000001</v>
      </c>
      <c r="F3319" s="61">
        <v>14.7348</v>
      </c>
    </row>
    <row r="3320" spans="1:6">
      <c r="A3320" s="65" t="s">
        <v>5899</v>
      </c>
      <c r="B3320" s="66">
        <f t="shared" si="176"/>
        <v>42007</v>
      </c>
      <c r="C3320" s="67">
        <f t="shared" si="177"/>
        <v>2015</v>
      </c>
      <c r="D3320" s="70" t="s">
        <v>362</v>
      </c>
      <c r="E3320" s="70" t="s">
        <v>362</v>
      </c>
      <c r="F3320" s="68">
        <v>14.741400000000001</v>
      </c>
    </row>
    <row r="3321" spans="1:6">
      <c r="A3321" s="57" t="s">
        <v>5900</v>
      </c>
      <c r="B3321" s="58">
        <f t="shared" si="176"/>
        <v>42008</v>
      </c>
      <c r="C3321" s="59">
        <f t="shared" si="177"/>
        <v>2015</v>
      </c>
      <c r="D3321" s="60" t="s">
        <v>362</v>
      </c>
      <c r="E3321" s="60" t="s">
        <v>362</v>
      </c>
      <c r="F3321" s="61">
        <v>14.741400000000001</v>
      </c>
    </row>
    <row r="3322" spans="1:6">
      <c r="A3322" s="65" t="s">
        <v>5901</v>
      </c>
      <c r="B3322" s="66">
        <f t="shared" si="176"/>
        <v>42009</v>
      </c>
      <c r="C3322" s="67">
        <f t="shared" si="177"/>
        <v>2015</v>
      </c>
      <c r="D3322" s="68">
        <v>14.946899999999999</v>
      </c>
      <c r="E3322" s="68">
        <v>14.829000000000001</v>
      </c>
      <c r="F3322" s="68">
        <v>14.741400000000001</v>
      </c>
    </row>
    <row r="3323" spans="1:6">
      <c r="A3323" s="57" t="s">
        <v>5902</v>
      </c>
      <c r="B3323" s="58">
        <f t="shared" si="176"/>
        <v>42010</v>
      </c>
      <c r="C3323" s="59">
        <f t="shared" si="177"/>
        <v>2015</v>
      </c>
      <c r="D3323" s="61">
        <v>14.847899999999999</v>
      </c>
      <c r="E3323" s="61">
        <v>14.946899999999999</v>
      </c>
      <c r="F3323" s="61">
        <v>14.829000000000001</v>
      </c>
    </row>
    <row r="3324" spans="1:6">
      <c r="A3324" s="65" t="s">
        <v>5903</v>
      </c>
      <c r="B3324" s="66">
        <f t="shared" si="176"/>
        <v>42011</v>
      </c>
      <c r="C3324" s="67">
        <f t="shared" si="177"/>
        <v>2015</v>
      </c>
      <c r="D3324" s="68">
        <v>14.7936</v>
      </c>
      <c r="E3324" s="68">
        <v>14.847899999999999</v>
      </c>
      <c r="F3324" s="68">
        <v>14.946899999999999</v>
      </c>
    </row>
    <row r="3325" spans="1:6">
      <c r="A3325" s="57" t="s">
        <v>5904</v>
      </c>
      <c r="B3325" s="58">
        <f t="shared" si="176"/>
        <v>42012</v>
      </c>
      <c r="C3325" s="59">
        <f t="shared" si="177"/>
        <v>2015</v>
      </c>
      <c r="D3325" s="61">
        <v>14.6274</v>
      </c>
      <c r="E3325" s="61">
        <v>14.7936</v>
      </c>
      <c r="F3325" s="61">
        <v>14.847899999999999</v>
      </c>
    </row>
    <row r="3326" spans="1:6">
      <c r="A3326" s="65" t="s">
        <v>5905</v>
      </c>
      <c r="B3326" s="66">
        <f t="shared" si="176"/>
        <v>42013</v>
      </c>
      <c r="C3326" s="67">
        <f t="shared" si="177"/>
        <v>2015</v>
      </c>
      <c r="D3326" s="68">
        <v>14.580399999999999</v>
      </c>
      <c r="E3326" s="68">
        <v>14.6274</v>
      </c>
      <c r="F3326" s="68">
        <v>14.7936</v>
      </c>
    </row>
    <row r="3327" spans="1:6">
      <c r="A3327" s="57" t="s">
        <v>5906</v>
      </c>
      <c r="B3327" s="58">
        <f t="shared" si="176"/>
        <v>42014</v>
      </c>
      <c r="C3327" s="59">
        <f t="shared" si="177"/>
        <v>2015</v>
      </c>
      <c r="D3327" s="60" t="s">
        <v>362</v>
      </c>
      <c r="E3327" s="60" t="s">
        <v>362</v>
      </c>
      <c r="F3327" s="61">
        <v>14.6274</v>
      </c>
    </row>
    <row r="3328" spans="1:6">
      <c r="A3328" s="65" t="s">
        <v>5907</v>
      </c>
      <c r="B3328" s="66">
        <f t="shared" si="176"/>
        <v>42015</v>
      </c>
      <c r="C3328" s="67">
        <f t="shared" si="177"/>
        <v>2015</v>
      </c>
      <c r="D3328" s="70" t="s">
        <v>362</v>
      </c>
      <c r="E3328" s="70" t="s">
        <v>362</v>
      </c>
      <c r="F3328" s="68">
        <v>14.6274</v>
      </c>
    </row>
    <row r="3329" spans="1:6">
      <c r="A3329" s="57" t="s">
        <v>5908</v>
      </c>
      <c r="B3329" s="58">
        <f t="shared" si="176"/>
        <v>42016</v>
      </c>
      <c r="C3329" s="59">
        <f t="shared" si="177"/>
        <v>2015</v>
      </c>
      <c r="D3329" s="61">
        <v>14.639799999999999</v>
      </c>
      <c r="E3329" s="61">
        <v>14.580399999999999</v>
      </c>
      <c r="F3329" s="61">
        <v>14.6274</v>
      </c>
    </row>
    <row r="3330" spans="1:6">
      <c r="A3330" s="65" t="s">
        <v>5909</v>
      </c>
      <c r="B3330" s="66">
        <f t="shared" si="176"/>
        <v>42017</v>
      </c>
      <c r="C3330" s="67">
        <f t="shared" si="177"/>
        <v>2015</v>
      </c>
      <c r="D3330" s="68">
        <v>14.555899999999999</v>
      </c>
      <c r="E3330" s="68">
        <v>14.639799999999999</v>
      </c>
      <c r="F3330" s="68">
        <v>14.580399999999999</v>
      </c>
    </row>
    <row r="3331" spans="1:6">
      <c r="A3331" s="57" t="s">
        <v>5910</v>
      </c>
      <c r="B3331" s="58">
        <f t="shared" si="176"/>
        <v>42018</v>
      </c>
      <c r="C3331" s="59">
        <f t="shared" si="177"/>
        <v>2015</v>
      </c>
      <c r="D3331" s="61">
        <v>14.564399999999999</v>
      </c>
      <c r="E3331" s="61">
        <v>14.555899999999999</v>
      </c>
      <c r="F3331" s="61">
        <v>14.639799999999999</v>
      </c>
    </row>
    <row r="3332" spans="1:6">
      <c r="A3332" s="65" t="s">
        <v>5911</v>
      </c>
      <c r="B3332" s="66">
        <f t="shared" si="176"/>
        <v>42019</v>
      </c>
      <c r="C3332" s="67">
        <f t="shared" si="177"/>
        <v>2015</v>
      </c>
      <c r="D3332" s="68">
        <v>14.582100000000001</v>
      </c>
      <c r="E3332" s="68">
        <v>14.564399999999999</v>
      </c>
      <c r="F3332" s="68">
        <v>14.555899999999999</v>
      </c>
    </row>
    <row r="3333" spans="1:6">
      <c r="A3333" s="57" t="s">
        <v>5912</v>
      </c>
      <c r="B3333" s="58">
        <f t="shared" si="176"/>
        <v>42020</v>
      </c>
      <c r="C3333" s="59">
        <f t="shared" si="177"/>
        <v>2015</v>
      </c>
      <c r="D3333" s="61">
        <v>14.622299999999999</v>
      </c>
      <c r="E3333" s="61">
        <v>14.582100000000001</v>
      </c>
      <c r="F3333" s="61">
        <v>14.564399999999999</v>
      </c>
    </row>
    <row r="3334" spans="1:6">
      <c r="A3334" s="65" t="s">
        <v>5913</v>
      </c>
      <c r="B3334" s="66">
        <f t="shared" si="176"/>
        <v>42021</v>
      </c>
      <c r="C3334" s="67">
        <f t="shared" si="177"/>
        <v>2015</v>
      </c>
      <c r="D3334" s="70" t="s">
        <v>362</v>
      </c>
      <c r="E3334" s="70" t="s">
        <v>362</v>
      </c>
      <c r="F3334" s="68">
        <v>14.582100000000001</v>
      </c>
    </row>
    <row r="3335" spans="1:6">
      <c r="A3335" s="57" t="s">
        <v>5914</v>
      </c>
      <c r="B3335" s="58">
        <f t="shared" si="176"/>
        <v>42022</v>
      </c>
      <c r="C3335" s="59">
        <f t="shared" si="177"/>
        <v>2015</v>
      </c>
      <c r="D3335" s="60" t="s">
        <v>362</v>
      </c>
      <c r="E3335" s="60" t="s">
        <v>362</v>
      </c>
      <c r="F3335" s="61">
        <v>14.582100000000001</v>
      </c>
    </row>
    <row r="3336" spans="1:6">
      <c r="A3336" s="65" t="s">
        <v>5915</v>
      </c>
      <c r="B3336" s="66">
        <f t="shared" si="176"/>
        <v>42023</v>
      </c>
      <c r="C3336" s="67">
        <f t="shared" si="177"/>
        <v>2015</v>
      </c>
      <c r="D3336" s="68">
        <v>14.6524</v>
      </c>
      <c r="E3336" s="68">
        <v>14.622299999999999</v>
      </c>
      <c r="F3336" s="68">
        <v>14.582100000000001</v>
      </c>
    </row>
    <row r="3337" spans="1:6">
      <c r="A3337" s="57" t="s">
        <v>5916</v>
      </c>
      <c r="B3337" s="58">
        <f t="shared" si="176"/>
        <v>42024</v>
      </c>
      <c r="C3337" s="59">
        <f t="shared" si="177"/>
        <v>2015</v>
      </c>
      <c r="D3337" s="61">
        <v>14.648400000000001</v>
      </c>
      <c r="E3337" s="61">
        <v>14.6524</v>
      </c>
      <c r="F3337" s="61">
        <v>14.622299999999999</v>
      </c>
    </row>
    <row r="3338" spans="1:6">
      <c r="A3338" s="65" t="s">
        <v>5917</v>
      </c>
      <c r="B3338" s="66">
        <f t="shared" si="176"/>
        <v>42025</v>
      </c>
      <c r="C3338" s="67">
        <f t="shared" si="177"/>
        <v>2015</v>
      </c>
      <c r="D3338" s="68">
        <v>14.6983</v>
      </c>
      <c r="E3338" s="68">
        <v>14.648400000000001</v>
      </c>
      <c r="F3338" s="68">
        <v>14.6524</v>
      </c>
    </row>
    <row r="3339" spans="1:6">
      <c r="A3339" s="57" t="s">
        <v>5918</v>
      </c>
      <c r="B3339" s="58">
        <f t="shared" si="176"/>
        <v>42026</v>
      </c>
      <c r="C3339" s="59">
        <f t="shared" si="177"/>
        <v>2015</v>
      </c>
      <c r="D3339" s="61">
        <v>14.612</v>
      </c>
      <c r="E3339" s="61">
        <v>14.6983</v>
      </c>
      <c r="F3339" s="61">
        <v>14.648400000000001</v>
      </c>
    </row>
    <row r="3340" spans="1:6">
      <c r="A3340" s="65" t="s">
        <v>5919</v>
      </c>
      <c r="B3340" s="66">
        <f t="shared" si="176"/>
        <v>42027</v>
      </c>
      <c r="C3340" s="67">
        <f t="shared" si="177"/>
        <v>2015</v>
      </c>
      <c r="D3340" s="68">
        <v>14.649900000000001</v>
      </c>
      <c r="E3340" s="68">
        <v>14.612</v>
      </c>
      <c r="F3340" s="68">
        <v>14.6983</v>
      </c>
    </row>
    <row r="3341" spans="1:6">
      <c r="A3341" s="57" t="s">
        <v>5920</v>
      </c>
      <c r="B3341" s="58">
        <f t="shared" si="176"/>
        <v>42028</v>
      </c>
      <c r="C3341" s="59">
        <f t="shared" si="177"/>
        <v>2015</v>
      </c>
      <c r="D3341" s="60" t="s">
        <v>362</v>
      </c>
      <c r="E3341" s="60" t="s">
        <v>362</v>
      </c>
      <c r="F3341" s="61">
        <v>14.612</v>
      </c>
    </row>
    <row r="3342" spans="1:6">
      <c r="A3342" s="65" t="s">
        <v>5921</v>
      </c>
      <c r="B3342" s="66">
        <f t="shared" si="176"/>
        <v>42029</v>
      </c>
      <c r="C3342" s="67">
        <f t="shared" si="177"/>
        <v>2015</v>
      </c>
      <c r="D3342" s="70" t="s">
        <v>362</v>
      </c>
      <c r="E3342" s="70" t="s">
        <v>362</v>
      </c>
      <c r="F3342" s="68">
        <v>14.612</v>
      </c>
    </row>
    <row r="3343" spans="1:6">
      <c r="A3343" s="57" t="s">
        <v>5922</v>
      </c>
      <c r="B3343" s="58">
        <f t="shared" si="176"/>
        <v>42030</v>
      </c>
      <c r="C3343" s="59">
        <f t="shared" si="177"/>
        <v>2015</v>
      </c>
      <c r="D3343" s="61">
        <v>14.588699999999999</v>
      </c>
      <c r="E3343" s="61">
        <v>14.649900000000001</v>
      </c>
      <c r="F3343" s="61">
        <v>14.612</v>
      </c>
    </row>
    <row r="3344" spans="1:6">
      <c r="A3344" s="65" t="s">
        <v>5923</v>
      </c>
      <c r="B3344" s="66">
        <f t="shared" si="176"/>
        <v>42031</v>
      </c>
      <c r="C3344" s="67">
        <f t="shared" si="177"/>
        <v>2015</v>
      </c>
      <c r="D3344" s="68">
        <v>14.587199999999999</v>
      </c>
      <c r="E3344" s="68">
        <v>14.588699999999999</v>
      </c>
      <c r="F3344" s="68">
        <v>14.649900000000001</v>
      </c>
    </row>
    <row r="3345" spans="1:6">
      <c r="A3345" s="57" t="s">
        <v>5924</v>
      </c>
      <c r="B3345" s="58">
        <f t="shared" si="176"/>
        <v>42032</v>
      </c>
      <c r="C3345" s="59">
        <f t="shared" si="177"/>
        <v>2015</v>
      </c>
      <c r="D3345" s="61">
        <v>14.687799999999999</v>
      </c>
      <c r="E3345" s="61">
        <v>14.587199999999999</v>
      </c>
      <c r="F3345" s="61">
        <v>14.588699999999999</v>
      </c>
    </row>
    <row r="3346" spans="1:6">
      <c r="A3346" s="65" t="s">
        <v>5925</v>
      </c>
      <c r="B3346" s="66">
        <f t="shared" si="176"/>
        <v>42033</v>
      </c>
      <c r="C3346" s="67">
        <f t="shared" si="177"/>
        <v>2015</v>
      </c>
      <c r="D3346" s="68">
        <v>14.8414</v>
      </c>
      <c r="E3346" s="68">
        <v>14.687799999999999</v>
      </c>
      <c r="F3346" s="68">
        <v>14.587199999999999</v>
      </c>
    </row>
    <row r="3347" spans="1:6">
      <c r="A3347" s="57" t="s">
        <v>5926</v>
      </c>
      <c r="B3347" s="58">
        <f t="shared" si="176"/>
        <v>42034</v>
      </c>
      <c r="C3347" s="59">
        <f t="shared" si="177"/>
        <v>2015</v>
      </c>
      <c r="D3347" s="61">
        <v>14.9885</v>
      </c>
      <c r="E3347" s="61">
        <v>14.8414</v>
      </c>
      <c r="F3347" s="61">
        <v>14.687799999999999</v>
      </c>
    </row>
    <row r="3348" spans="1:6">
      <c r="A3348" s="65" t="s">
        <v>5927</v>
      </c>
      <c r="B3348" s="66">
        <f t="shared" si="176"/>
        <v>42035</v>
      </c>
      <c r="C3348" s="67">
        <f t="shared" si="177"/>
        <v>2015</v>
      </c>
      <c r="D3348" s="70" t="s">
        <v>362</v>
      </c>
      <c r="E3348" s="70" t="s">
        <v>362</v>
      </c>
      <c r="F3348" s="68">
        <v>14.8414</v>
      </c>
    </row>
    <row r="3349" spans="1:6">
      <c r="A3349" s="57" t="s">
        <v>5928</v>
      </c>
      <c r="B3349" s="58">
        <f t="shared" si="176"/>
        <v>42036</v>
      </c>
      <c r="C3349" s="59">
        <f t="shared" si="177"/>
        <v>2015</v>
      </c>
      <c r="D3349" s="60" t="s">
        <v>362</v>
      </c>
      <c r="E3349" s="60" t="s">
        <v>362</v>
      </c>
      <c r="F3349" s="61">
        <v>14.8414</v>
      </c>
    </row>
    <row r="3350" spans="1:6">
      <c r="A3350" s="65" t="s">
        <v>5929</v>
      </c>
      <c r="B3350" s="66">
        <f t="shared" si="176"/>
        <v>42037</v>
      </c>
      <c r="C3350" s="67">
        <f t="shared" si="177"/>
        <v>2015</v>
      </c>
      <c r="D3350" s="70" t="s">
        <v>362</v>
      </c>
      <c r="E3350" s="70" t="s">
        <v>362</v>
      </c>
      <c r="F3350" s="68">
        <v>14.8414</v>
      </c>
    </row>
    <row r="3351" spans="1:6">
      <c r="A3351" s="57" t="s">
        <v>5930</v>
      </c>
      <c r="B3351" s="58">
        <f t="shared" si="176"/>
        <v>42038</v>
      </c>
      <c r="C3351" s="59">
        <f t="shared" si="177"/>
        <v>2015</v>
      </c>
      <c r="D3351" s="61">
        <v>14.756600000000001</v>
      </c>
      <c r="E3351" s="61">
        <v>14.9885</v>
      </c>
      <c r="F3351" s="61">
        <v>14.8414</v>
      </c>
    </row>
    <row r="3352" spans="1:6">
      <c r="A3352" s="65" t="s">
        <v>5931</v>
      </c>
      <c r="B3352" s="66">
        <f t="shared" si="176"/>
        <v>42039</v>
      </c>
      <c r="C3352" s="67">
        <f t="shared" si="177"/>
        <v>2015</v>
      </c>
      <c r="D3352" s="68">
        <v>14.8011</v>
      </c>
      <c r="E3352" s="68">
        <v>14.756600000000001</v>
      </c>
      <c r="F3352" s="68">
        <v>14.9885</v>
      </c>
    </row>
    <row r="3353" spans="1:6">
      <c r="A3353" s="57" t="s">
        <v>5932</v>
      </c>
      <c r="B3353" s="58">
        <f t="shared" si="176"/>
        <v>42040</v>
      </c>
      <c r="C3353" s="59">
        <f t="shared" si="177"/>
        <v>2015</v>
      </c>
      <c r="D3353" s="61">
        <v>14.754799999999999</v>
      </c>
      <c r="E3353" s="61">
        <v>14.8011</v>
      </c>
      <c r="F3353" s="61">
        <v>14.756600000000001</v>
      </c>
    </row>
    <row r="3354" spans="1:6">
      <c r="A3354" s="65" t="s">
        <v>5933</v>
      </c>
      <c r="B3354" s="66">
        <f t="shared" si="176"/>
        <v>42041</v>
      </c>
      <c r="C3354" s="67">
        <f t="shared" si="177"/>
        <v>2015</v>
      </c>
      <c r="D3354" s="68">
        <v>14.9024</v>
      </c>
      <c r="E3354" s="68">
        <v>14.754799999999999</v>
      </c>
      <c r="F3354" s="68">
        <v>14.8011</v>
      </c>
    </row>
    <row r="3355" spans="1:6">
      <c r="A3355" s="57" t="s">
        <v>5934</v>
      </c>
      <c r="B3355" s="58">
        <f t="shared" si="176"/>
        <v>42042</v>
      </c>
      <c r="C3355" s="59">
        <f t="shared" si="177"/>
        <v>2015</v>
      </c>
      <c r="D3355" s="60" t="s">
        <v>362</v>
      </c>
      <c r="E3355" s="60" t="s">
        <v>362</v>
      </c>
      <c r="F3355" s="61">
        <v>14.754799999999999</v>
      </c>
    </row>
    <row r="3356" spans="1:6">
      <c r="A3356" s="65" t="s">
        <v>5935</v>
      </c>
      <c r="B3356" s="66">
        <f t="shared" si="176"/>
        <v>42043</v>
      </c>
      <c r="C3356" s="67">
        <f t="shared" si="177"/>
        <v>2015</v>
      </c>
      <c r="D3356" s="70" t="s">
        <v>362</v>
      </c>
      <c r="E3356" s="70" t="s">
        <v>362</v>
      </c>
      <c r="F3356" s="68">
        <v>14.754799999999999</v>
      </c>
    </row>
    <row r="3357" spans="1:6">
      <c r="A3357" s="57" t="s">
        <v>5936</v>
      </c>
      <c r="B3357" s="58">
        <f t="shared" si="176"/>
        <v>42044</v>
      </c>
      <c r="C3357" s="59">
        <f t="shared" si="177"/>
        <v>2015</v>
      </c>
      <c r="D3357" s="61">
        <v>14.801399999999999</v>
      </c>
      <c r="E3357" s="61">
        <v>14.9024</v>
      </c>
      <c r="F3357" s="61">
        <v>14.754799999999999</v>
      </c>
    </row>
    <row r="3358" spans="1:6">
      <c r="A3358" s="65" t="s">
        <v>5937</v>
      </c>
      <c r="B3358" s="66">
        <f t="shared" si="176"/>
        <v>42045</v>
      </c>
      <c r="C3358" s="67">
        <f t="shared" si="177"/>
        <v>2015</v>
      </c>
      <c r="D3358" s="68">
        <v>14.930899999999999</v>
      </c>
      <c r="E3358" s="68">
        <v>14.801399999999999</v>
      </c>
      <c r="F3358" s="68">
        <v>14.9024</v>
      </c>
    </row>
    <row r="3359" spans="1:6">
      <c r="A3359" s="57" t="s">
        <v>5938</v>
      </c>
      <c r="B3359" s="58">
        <f t="shared" ref="B3359:B3422" si="178">DATE(RIGHT(A3359,4),LEFT(RIGHT(A3359,7),2),LEFT(A3359,2))</f>
        <v>42046</v>
      </c>
      <c r="C3359" s="59">
        <f t="shared" ref="C3359:C3422" si="179">YEAR(B3359)</f>
        <v>2015</v>
      </c>
      <c r="D3359" s="61">
        <v>15.1099</v>
      </c>
      <c r="E3359" s="61">
        <v>14.930899999999999</v>
      </c>
      <c r="F3359" s="61">
        <v>14.801399999999999</v>
      </c>
    </row>
    <row r="3360" spans="1:6">
      <c r="A3360" s="65" t="s">
        <v>5939</v>
      </c>
      <c r="B3360" s="66">
        <f t="shared" si="178"/>
        <v>42047</v>
      </c>
      <c r="C3360" s="67">
        <f t="shared" si="179"/>
        <v>2015</v>
      </c>
      <c r="D3360" s="68">
        <v>14.916700000000001</v>
      </c>
      <c r="E3360" s="68">
        <v>15.1099</v>
      </c>
      <c r="F3360" s="68">
        <v>14.930899999999999</v>
      </c>
    </row>
    <row r="3361" spans="1:6">
      <c r="A3361" s="57" t="s">
        <v>5940</v>
      </c>
      <c r="B3361" s="58">
        <f t="shared" si="178"/>
        <v>42048</v>
      </c>
      <c r="C3361" s="59">
        <f t="shared" si="179"/>
        <v>2015</v>
      </c>
      <c r="D3361" s="61">
        <v>14.8605</v>
      </c>
      <c r="E3361" s="61">
        <v>14.916700000000001</v>
      </c>
      <c r="F3361" s="61">
        <v>15.1099</v>
      </c>
    </row>
    <row r="3362" spans="1:6">
      <c r="A3362" s="65" t="s">
        <v>5941</v>
      </c>
      <c r="B3362" s="66">
        <f t="shared" si="178"/>
        <v>42049</v>
      </c>
      <c r="C3362" s="67">
        <f t="shared" si="179"/>
        <v>2015</v>
      </c>
      <c r="D3362" s="70" t="s">
        <v>362</v>
      </c>
      <c r="E3362" s="70" t="s">
        <v>362</v>
      </c>
      <c r="F3362" s="68">
        <v>14.916700000000001</v>
      </c>
    </row>
    <row r="3363" spans="1:6">
      <c r="A3363" s="57" t="s">
        <v>5942</v>
      </c>
      <c r="B3363" s="58">
        <f t="shared" si="178"/>
        <v>42050</v>
      </c>
      <c r="C3363" s="59">
        <f t="shared" si="179"/>
        <v>2015</v>
      </c>
      <c r="D3363" s="60" t="s">
        <v>362</v>
      </c>
      <c r="E3363" s="60" t="s">
        <v>362</v>
      </c>
      <c r="F3363" s="61">
        <v>14.916700000000001</v>
      </c>
    </row>
    <row r="3364" spans="1:6">
      <c r="A3364" s="65" t="s">
        <v>5943</v>
      </c>
      <c r="B3364" s="66">
        <f t="shared" si="178"/>
        <v>42051</v>
      </c>
      <c r="C3364" s="67">
        <f t="shared" si="179"/>
        <v>2015</v>
      </c>
      <c r="D3364" s="68">
        <v>14.8979</v>
      </c>
      <c r="E3364" s="68">
        <v>14.8605</v>
      </c>
      <c r="F3364" s="68">
        <v>14.916700000000001</v>
      </c>
    </row>
    <row r="3365" spans="1:6">
      <c r="A3365" s="57" t="s">
        <v>5944</v>
      </c>
      <c r="B3365" s="58">
        <f t="shared" si="178"/>
        <v>42052</v>
      </c>
      <c r="C3365" s="59">
        <f t="shared" si="179"/>
        <v>2015</v>
      </c>
      <c r="D3365" s="61">
        <v>14.8971</v>
      </c>
      <c r="E3365" s="61">
        <v>14.8979</v>
      </c>
      <c r="F3365" s="61">
        <v>14.8605</v>
      </c>
    </row>
    <row r="3366" spans="1:6">
      <c r="A3366" s="65" t="s">
        <v>5945</v>
      </c>
      <c r="B3366" s="66">
        <f t="shared" si="178"/>
        <v>42053</v>
      </c>
      <c r="C3366" s="67">
        <f t="shared" si="179"/>
        <v>2015</v>
      </c>
      <c r="D3366" s="68">
        <v>14.9473</v>
      </c>
      <c r="E3366" s="68">
        <v>14.8971</v>
      </c>
      <c r="F3366" s="68">
        <v>14.8979</v>
      </c>
    </row>
    <row r="3367" spans="1:6">
      <c r="A3367" s="57" t="s">
        <v>5946</v>
      </c>
      <c r="B3367" s="58">
        <f t="shared" si="178"/>
        <v>42054</v>
      </c>
      <c r="C3367" s="59">
        <f t="shared" si="179"/>
        <v>2015</v>
      </c>
      <c r="D3367" s="61">
        <v>14.958299999999999</v>
      </c>
      <c r="E3367" s="61">
        <v>14.9473</v>
      </c>
      <c r="F3367" s="61">
        <v>14.8971</v>
      </c>
    </row>
    <row r="3368" spans="1:6">
      <c r="A3368" s="65" t="s">
        <v>5947</v>
      </c>
      <c r="B3368" s="66">
        <f t="shared" si="178"/>
        <v>42055</v>
      </c>
      <c r="C3368" s="67">
        <f t="shared" si="179"/>
        <v>2015</v>
      </c>
      <c r="D3368" s="68">
        <v>15.075699999999999</v>
      </c>
      <c r="E3368" s="68">
        <v>14.958299999999999</v>
      </c>
      <c r="F3368" s="68">
        <v>14.9473</v>
      </c>
    </row>
    <row r="3369" spans="1:6">
      <c r="A3369" s="57" t="s">
        <v>5948</v>
      </c>
      <c r="B3369" s="58">
        <f t="shared" si="178"/>
        <v>42056</v>
      </c>
      <c r="C3369" s="59">
        <f t="shared" si="179"/>
        <v>2015</v>
      </c>
      <c r="D3369" s="60" t="s">
        <v>362</v>
      </c>
      <c r="E3369" s="60" t="s">
        <v>362</v>
      </c>
      <c r="F3369" s="61">
        <v>14.958299999999999</v>
      </c>
    </row>
    <row r="3370" spans="1:6">
      <c r="A3370" s="65" t="s">
        <v>5949</v>
      </c>
      <c r="B3370" s="66">
        <f t="shared" si="178"/>
        <v>42057</v>
      </c>
      <c r="C3370" s="67">
        <f t="shared" si="179"/>
        <v>2015</v>
      </c>
      <c r="D3370" s="70" t="s">
        <v>362</v>
      </c>
      <c r="E3370" s="70" t="s">
        <v>362</v>
      </c>
      <c r="F3370" s="68">
        <v>14.958299999999999</v>
      </c>
    </row>
    <row r="3371" spans="1:6">
      <c r="A3371" s="57" t="s">
        <v>5950</v>
      </c>
      <c r="B3371" s="58">
        <f t="shared" si="178"/>
        <v>42058</v>
      </c>
      <c r="C3371" s="59">
        <f t="shared" si="179"/>
        <v>2015</v>
      </c>
      <c r="D3371" s="61">
        <v>15.0832</v>
      </c>
      <c r="E3371" s="61">
        <v>15.075699999999999</v>
      </c>
      <c r="F3371" s="61">
        <v>14.958299999999999</v>
      </c>
    </row>
    <row r="3372" spans="1:6">
      <c r="A3372" s="65" t="s">
        <v>5951</v>
      </c>
      <c r="B3372" s="66">
        <f t="shared" si="178"/>
        <v>42059</v>
      </c>
      <c r="C3372" s="67">
        <f t="shared" si="179"/>
        <v>2015</v>
      </c>
      <c r="D3372" s="68">
        <v>14.9712</v>
      </c>
      <c r="E3372" s="68">
        <v>15.0832</v>
      </c>
      <c r="F3372" s="68">
        <v>15.075699999999999</v>
      </c>
    </row>
    <row r="3373" spans="1:6">
      <c r="A3373" s="57" t="s">
        <v>5952</v>
      </c>
      <c r="B3373" s="58">
        <f t="shared" si="178"/>
        <v>42060</v>
      </c>
      <c r="C3373" s="59">
        <f t="shared" si="179"/>
        <v>2015</v>
      </c>
      <c r="D3373" s="61">
        <v>14.922800000000001</v>
      </c>
      <c r="E3373" s="61">
        <v>14.9712</v>
      </c>
      <c r="F3373" s="61">
        <v>15.0832</v>
      </c>
    </row>
    <row r="3374" spans="1:6">
      <c r="A3374" s="65" t="s">
        <v>5953</v>
      </c>
      <c r="B3374" s="66">
        <f t="shared" si="178"/>
        <v>42061</v>
      </c>
      <c r="C3374" s="67">
        <f t="shared" si="179"/>
        <v>2015</v>
      </c>
      <c r="D3374" s="68">
        <v>14.962400000000001</v>
      </c>
      <c r="E3374" s="68">
        <v>14.922800000000001</v>
      </c>
      <c r="F3374" s="68">
        <v>14.9712</v>
      </c>
    </row>
    <row r="3375" spans="1:6">
      <c r="A3375" s="57" t="s">
        <v>5954</v>
      </c>
      <c r="B3375" s="58">
        <f t="shared" si="178"/>
        <v>42062</v>
      </c>
      <c r="C3375" s="59">
        <f t="shared" si="179"/>
        <v>2015</v>
      </c>
      <c r="D3375" s="61">
        <v>14.955299999999999</v>
      </c>
      <c r="E3375" s="61">
        <v>14.962400000000001</v>
      </c>
      <c r="F3375" s="61">
        <v>14.922800000000001</v>
      </c>
    </row>
    <row r="3376" spans="1:6">
      <c r="A3376" s="65" t="s">
        <v>5955</v>
      </c>
      <c r="B3376" s="66">
        <f t="shared" si="178"/>
        <v>42063</v>
      </c>
      <c r="C3376" s="67">
        <f t="shared" si="179"/>
        <v>2015</v>
      </c>
      <c r="D3376" s="70" t="s">
        <v>362</v>
      </c>
      <c r="E3376" s="70" t="s">
        <v>362</v>
      </c>
      <c r="F3376" s="68">
        <v>14.962400000000001</v>
      </c>
    </row>
    <row r="3377" spans="1:6">
      <c r="A3377" s="57" t="s">
        <v>5956</v>
      </c>
      <c r="B3377" s="58">
        <f t="shared" si="178"/>
        <v>42064</v>
      </c>
      <c r="C3377" s="59">
        <f t="shared" si="179"/>
        <v>2015</v>
      </c>
      <c r="D3377" s="60" t="s">
        <v>362</v>
      </c>
      <c r="E3377" s="60" t="s">
        <v>362</v>
      </c>
      <c r="F3377" s="61">
        <v>14.962400000000001</v>
      </c>
    </row>
    <row r="3378" spans="1:6">
      <c r="A3378" s="65" t="s">
        <v>5957</v>
      </c>
      <c r="B3378" s="66">
        <f t="shared" si="178"/>
        <v>42065</v>
      </c>
      <c r="C3378" s="67">
        <f t="shared" si="179"/>
        <v>2015</v>
      </c>
      <c r="D3378" s="68">
        <v>14.9862</v>
      </c>
      <c r="E3378" s="68">
        <v>14.955299999999999</v>
      </c>
      <c r="F3378" s="68">
        <v>14.962400000000001</v>
      </c>
    </row>
    <row r="3379" spans="1:6">
      <c r="A3379" s="57" t="s">
        <v>5958</v>
      </c>
      <c r="B3379" s="58">
        <f t="shared" si="178"/>
        <v>42066</v>
      </c>
      <c r="C3379" s="59">
        <f t="shared" si="179"/>
        <v>2015</v>
      </c>
      <c r="D3379" s="61">
        <v>14.9544</v>
      </c>
      <c r="E3379" s="61">
        <v>14.9862</v>
      </c>
      <c r="F3379" s="61">
        <v>14.955299999999999</v>
      </c>
    </row>
    <row r="3380" spans="1:6">
      <c r="A3380" s="65" t="s">
        <v>5959</v>
      </c>
      <c r="B3380" s="66">
        <f t="shared" si="178"/>
        <v>42067</v>
      </c>
      <c r="C3380" s="67">
        <f t="shared" si="179"/>
        <v>2015</v>
      </c>
      <c r="D3380" s="68">
        <v>15.0756</v>
      </c>
      <c r="E3380" s="68">
        <v>14.9544</v>
      </c>
      <c r="F3380" s="68">
        <v>14.9862</v>
      </c>
    </row>
    <row r="3381" spans="1:6">
      <c r="A3381" s="57" t="s">
        <v>5960</v>
      </c>
      <c r="B3381" s="58">
        <f t="shared" si="178"/>
        <v>42068</v>
      </c>
      <c r="C3381" s="59">
        <f t="shared" si="179"/>
        <v>2015</v>
      </c>
      <c r="D3381" s="61">
        <v>15.1686</v>
      </c>
      <c r="E3381" s="61">
        <v>15.0756</v>
      </c>
      <c r="F3381" s="61">
        <v>14.9544</v>
      </c>
    </row>
    <row r="3382" spans="1:6">
      <c r="A3382" s="65" t="s">
        <v>5961</v>
      </c>
      <c r="B3382" s="66">
        <f t="shared" si="178"/>
        <v>42069</v>
      </c>
      <c r="C3382" s="67">
        <f t="shared" si="179"/>
        <v>2015</v>
      </c>
      <c r="D3382" s="68">
        <v>15.4445</v>
      </c>
      <c r="E3382" s="68">
        <v>15.1686</v>
      </c>
      <c r="F3382" s="68">
        <v>15.0756</v>
      </c>
    </row>
    <row r="3383" spans="1:6">
      <c r="A3383" s="57" t="s">
        <v>5962</v>
      </c>
      <c r="B3383" s="58">
        <f t="shared" si="178"/>
        <v>42070</v>
      </c>
      <c r="C3383" s="59">
        <f t="shared" si="179"/>
        <v>2015</v>
      </c>
      <c r="D3383" s="60" t="s">
        <v>362</v>
      </c>
      <c r="E3383" s="60" t="s">
        <v>362</v>
      </c>
      <c r="F3383" s="61">
        <v>15.1686</v>
      </c>
    </row>
    <row r="3384" spans="1:6">
      <c r="A3384" s="65" t="s">
        <v>5963</v>
      </c>
      <c r="B3384" s="66">
        <f t="shared" si="178"/>
        <v>42071</v>
      </c>
      <c r="C3384" s="67">
        <f t="shared" si="179"/>
        <v>2015</v>
      </c>
      <c r="D3384" s="70" t="s">
        <v>362</v>
      </c>
      <c r="E3384" s="70" t="s">
        <v>362</v>
      </c>
      <c r="F3384" s="68">
        <v>15.1686</v>
      </c>
    </row>
    <row r="3385" spans="1:6">
      <c r="A3385" s="57" t="s">
        <v>5964</v>
      </c>
      <c r="B3385" s="58">
        <f t="shared" si="178"/>
        <v>42072</v>
      </c>
      <c r="C3385" s="59">
        <f t="shared" si="179"/>
        <v>2015</v>
      </c>
      <c r="D3385" s="61">
        <v>15.4544</v>
      </c>
      <c r="E3385" s="61">
        <v>15.4445</v>
      </c>
      <c r="F3385" s="61">
        <v>15.1686</v>
      </c>
    </row>
    <row r="3386" spans="1:6">
      <c r="A3386" s="65" t="s">
        <v>5965</v>
      </c>
      <c r="B3386" s="66">
        <f t="shared" si="178"/>
        <v>42073</v>
      </c>
      <c r="C3386" s="67">
        <f t="shared" si="179"/>
        <v>2015</v>
      </c>
      <c r="D3386" s="68">
        <v>15.5837</v>
      </c>
      <c r="E3386" s="68">
        <v>15.4544</v>
      </c>
      <c r="F3386" s="68">
        <v>15.4445</v>
      </c>
    </row>
    <row r="3387" spans="1:6">
      <c r="A3387" s="57" t="s">
        <v>5966</v>
      </c>
      <c r="B3387" s="58">
        <f t="shared" si="178"/>
        <v>42074</v>
      </c>
      <c r="C3387" s="59">
        <f t="shared" si="179"/>
        <v>2015</v>
      </c>
      <c r="D3387" s="61">
        <v>15.445499999999999</v>
      </c>
      <c r="E3387" s="61">
        <v>15.5837</v>
      </c>
      <c r="F3387" s="61">
        <v>15.4544</v>
      </c>
    </row>
    <row r="3388" spans="1:6">
      <c r="A3388" s="65" t="s">
        <v>5967</v>
      </c>
      <c r="B3388" s="66">
        <f t="shared" si="178"/>
        <v>42075</v>
      </c>
      <c r="C3388" s="67">
        <f t="shared" si="179"/>
        <v>2015</v>
      </c>
      <c r="D3388" s="68">
        <v>15.4003</v>
      </c>
      <c r="E3388" s="68">
        <v>15.445499999999999</v>
      </c>
      <c r="F3388" s="68">
        <v>15.5837</v>
      </c>
    </row>
    <row r="3389" spans="1:6">
      <c r="A3389" s="57" t="s">
        <v>5968</v>
      </c>
      <c r="B3389" s="58">
        <f t="shared" si="178"/>
        <v>42076</v>
      </c>
      <c r="C3389" s="59">
        <f t="shared" si="179"/>
        <v>2015</v>
      </c>
      <c r="D3389" s="61">
        <v>15.4892</v>
      </c>
      <c r="E3389" s="61">
        <v>15.4003</v>
      </c>
      <c r="F3389" s="61">
        <v>15.445499999999999</v>
      </c>
    </row>
    <row r="3390" spans="1:6">
      <c r="A3390" s="65" t="s">
        <v>5969</v>
      </c>
      <c r="B3390" s="66">
        <f t="shared" si="178"/>
        <v>42077</v>
      </c>
      <c r="C3390" s="67">
        <f t="shared" si="179"/>
        <v>2015</v>
      </c>
      <c r="D3390" s="70" t="s">
        <v>362</v>
      </c>
      <c r="E3390" s="70" t="s">
        <v>362</v>
      </c>
      <c r="F3390" s="68">
        <v>15.4003</v>
      </c>
    </row>
    <row r="3391" spans="1:6">
      <c r="A3391" s="57" t="s">
        <v>5970</v>
      </c>
      <c r="B3391" s="58">
        <f t="shared" si="178"/>
        <v>42078</v>
      </c>
      <c r="C3391" s="59">
        <f t="shared" si="179"/>
        <v>2015</v>
      </c>
      <c r="D3391" s="60" t="s">
        <v>362</v>
      </c>
      <c r="E3391" s="60" t="s">
        <v>362</v>
      </c>
      <c r="F3391" s="61">
        <v>15.4003</v>
      </c>
    </row>
    <row r="3392" spans="1:6">
      <c r="A3392" s="65" t="s">
        <v>5971</v>
      </c>
      <c r="B3392" s="66">
        <f t="shared" si="178"/>
        <v>42079</v>
      </c>
      <c r="C3392" s="67">
        <f t="shared" si="179"/>
        <v>2015</v>
      </c>
      <c r="D3392" s="70" t="s">
        <v>362</v>
      </c>
      <c r="E3392" s="70" t="s">
        <v>362</v>
      </c>
      <c r="F3392" s="68">
        <v>15.4003</v>
      </c>
    </row>
    <row r="3393" spans="1:6">
      <c r="A3393" s="57" t="s">
        <v>5972</v>
      </c>
      <c r="B3393" s="58">
        <f t="shared" si="178"/>
        <v>42080</v>
      </c>
      <c r="C3393" s="59">
        <f t="shared" si="179"/>
        <v>2015</v>
      </c>
      <c r="D3393" s="61">
        <v>15.427099999999999</v>
      </c>
      <c r="E3393" s="61">
        <v>15.4892</v>
      </c>
      <c r="F3393" s="61">
        <v>15.4003</v>
      </c>
    </row>
    <row r="3394" spans="1:6">
      <c r="A3394" s="65" t="s">
        <v>5973</v>
      </c>
      <c r="B3394" s="66">
        <f t="shared" si="178"/>
        <v>42081</v>
      </c>
      <c r="C3394" s="67">
        <f t="shared" si="179"/>
        <v>2015</v>
      </c>
      <c r="D3394" s="68">
        <v>15.4192</v>
      </c>
      <c r="E3394" s="68">
        <v>15.427099999999999</v>
      </c>
      <c r="F3394" s="68">
        <v>15.4892</v>
      </c>
    </row>
    <row r="3395" spans="1:6">
      <c r="A3395" s="57" t="s">
        <v>5974</v>
      </c>
      <c r="B3395" s="58">
        <f t="shared" si="178"/>
        <v>42082</v>
      </c>
      <c r="C3395" s="59">
        <f t="shared" si="179"/>
        <v>2015</v>
      </c>
      <c r="D3395" s="61">
        <v>15.295999999999999</v>
      </c>
      <c r="E3395" s="61">
        <v>15.4192</v>
      </c>
      <c r="F3395" s="61">
        <v>15.427099999999999</v>
      </c>
    </row>
    <row r="3396" spans="1:6">
      <c r="A3396" s="65" t="s">
        <v>5975</v>
      </c>
      <c r="B3396" s="66">
        <f t="shared" si="178"/>
        <v>42083</v>
      </c>
      <c r="C3396" s="67">
        <f t="shared" si="179"/>
        <v>2015</v>
      </c>
      <c r="D3396" s="68">
        <v>15.031700000000001</v>
      </c>
      <c r="E3396" s="68">
        <v>15.295999999999999</v>
      </c>
      <c r="F3396" s="68">
        <v>15.4192</v>
      </c>
    </row>
    <row r="3397" spans="1:6">
      <c r="A3397" s="57" t="s">
        <v>5976</v>
      </c>
      <c r="B3397" s="58">
        <f t="shared" si="178"/>
        <v>42084</v>
      </c>
      <c r="C3397" s="59">
        <f t="shared" si="179"/>
        <v>2015</v>
      </c>
      <c r="D3397" s="60" t="s">
        <v>362</v>
      </c>
      <c r="E3397" s="60" t="s">
        <v>362</v>
      </c>
      <c r="F3397" s="61">
        <v>15.295999999999999</v>
      </c>
    </row>
    <row r="3398" spans="1:6">
      <c r="A3398" s="65" t="s">
        <v>5977</v>
      </c>
      <c r="B3398" s="66">
        <f t="shared" si="178"/>
        <v>42085</v>
      </c>
      <c r="C3398" s="67">
        <f t="shared" si="179"/>
        <v>2015</v>
      </c>
      <c r="D3398" s="70" t="s">
        <v>362</v>
      </c>
      <c r="E3398" s="70" t="s">
        <v>362</v>
      </c>
      <c r="F3398" s="68">
        <v>15.295999999999999</v>
      </c>
    </row>
    <row r="3399" spans="1:6">
      <c r="A3399" s="57" t="s">
        <v>5978</v>
      </c>
      <c r="B3399" s="58">
        <f t="shared" si="178"/>
        <v>42086</v>
      </c>
      <c r="C3399" s="59">
        <f t="shared" si="179"/>
        <v>2015</v>
      </c>
      <c r="D3399" s="61">
        <v>14.964399999999999</v>
      </c>
      <c r="E3399" s="61">
        <v>15.031700000000001</v>
      </c>
      <c r="F3399" s="61">
        <v>15.295999999999999</v>
      </c>
    </row>
    <row r="3400" spans="1:6">
      <c r="A3400" s="65" t="s">
        <v>5979</v>
      </c>
      <c r="B3400" s="66">
        <f t="shared" si="178"/>
        <v>42087</v>
      </c>
      <c r="C3400" s="67">
        <f t="shared" si="179"/>
        <v>2015</v>
      </c>
      <c r="D3400" s="68">
        <v>14.934699999999999</v>
      </c>
      <c r="E3400" s="68">
        <v>14.964399999999999</v>
      </c>
      <c r="F3400" s="68">
        <v>15.031700000000001</v>
      </c>
    </row>
    <row r="3401" spans="1:6">
      <c r="A3401" s="57" t="s">
        <v>5980</v>
      </c>
      <c r="B3401" s="58">
        <f t="shared" si="178"/>
        <v>42088</v>
      </c>
      <c r="C3401" s="59">
        <f t="shared" si="179"/>
        <v>2015</v>
      </c>
      <c r="D3401" s="61">
        <v>14.952400000000001</v>
      </c>
      <c r="E3401" s="61">
        <v>14.934699999999999</v>
      </c>
      <c r="F3401" s="61">
        <v>14.964399999999999</v>
      </c>
    </row>
    <row r="3402" spans="1:6">
      <c r="A3402" s="65" t="s">
        <v>5981</v>
      </c>
      <c r="B3402" s="66">
        <f t="shared" si="178"/>
        <v>42089</v>
      </c>
      <c r="C3402" s="67">
        <f t="shared" si="179"/>
        <v>2015</v>
      </c>
      <c r="D3402" s="68">
        <v>15.105600000000001</v>
      </c>
      <c r="E3402" s="68">
        <v>14.952400000000001</v>
      </c>
      <c r="F3402" s="68">
        <v>14.934699999999999</v>
      </c>
    </row>
    <row r="3403" spans="1:6">
      <c r="A3403" s="57" t="s">
        <v>5982</v>
      </c>
      <c r="B3403" s="58">
        <f t="shared" si="178"/>
        <v>42090</v>
      </c>
      <c r="C3403" s="59">
        <f t="shared" si="179"/>
        <v>2015</v>
      </c>
      <c r="D3403" s="61">
        <v>15.154199999999999</v>
      </c>
      <c r="E3403" s="61">
        <v>15.105600000000001</v>
      </c>
      <c r="F3403" s="61">
        <v>14.952400000000001</v>
      </c>
    </row>
    <row r="3404" spans="1:6">
      <c r="A3404" s="65" t="s">
        <v>5983</v>
      </c>
      <c r="B3404" s="66">
        <f t="shared" si="178"/>
        <v>42091</v>
      </c>
      <c r="C3404" s="67">
        <f t="shared" si="179"/>
        <v>2015</v>
      </c>
      <c r="D3404" s="70" t="s">
        <v>362</v>
      </c>
      <c r="E3404" s="70" t="s">
        <v>362</v>
      </c>
      <c r="F3404" s="68">
        <v>15.105600000000001</v>
      </c>
    </row>
    <row r="3405" spans="1:6">
      <c r="A3405" s="57" t="s">
        <v>5984</v>
      </c>
      <c r="B3405" s="58">
        <f t="shared" si="178"/>
        <v>42092</v>
      </c>
      <c r="C3405" s="59">
        <f t="shared" si="179"/>
        <v>2015</v>
      </c>
      <c r="D3405" s="60" t="s">
        <v>362</v>
      </c>
      <c r="E3405" s="60" t="s">
        <v>362</v>
      </c>
      <c r="F3405" s="61">
        <v>15.105600000000001</v>
      </c>
    </row>
    <row r="3406" spans="1:6">
      <c r="A3406" s="65" t="s">
        <v>5985</v>
      </c>
      <c r="B3406" s="66">
        <f t="shared" si="178"/>
        <v>42093</v>
      </c>
      <c r="C3406" s="67">
        <f t="shared" si="179"/>
        <v>2015</v>
      </c>
      <c r="D3406" s="68">
        <v>15.242699999999999</v>
      </c>
      <c r="E3406" s="68">
        <v>15.154199999999999</v>
      </c>
      <c r="F3406" s="68">
        <v>15.105600000000001</v>
      </c>
    </row>
    <row r="3407" spans="1:6">
      <c r="A3407" s="57" t="s">
        <v>5986</v>
      </c>
      <c r="B3407" s="58">
        <f t="shared" si="178"/>
        <v>42094</v>
      </c>
      <c r="C3407" s="59">
        <f t="shared" si="179"/>
        <v>2015</v>
      </c>
      <c r="D3407" s="61">
        <v>15.264699999999999</v>
      </c>
      <c r="E3407" s="61">
        <v>15.242699999999999</v>
      </c>
      <c r="F3407" s="61">
        <v>15.154199999999999</v>
      </c>
    </row>
    <row r="3408" spans="1:6">
      <c r="A3408" s="65" t="s">
        <v>5987</v>
      </c>
      <c r="B3408" s="66">
        <f t="shared" si="178"/>
        <v>42095</v>
      </c>
      <c r="C3408" s="67">
        <f t="shared" si="179"/>
        <v>2015</v>
      </c>
      <c r="D3408" s="68">
        <v>15.1206</v>
      </c>
      <c r="E3408" s="68">
        <v>15.264699999999999</v>
      </c>
      <c r="F3408" s="68">
        <v>15.242699999999999</v>
      </c>
    </row>
    <row r="3409" spans="1:6">
      <c r="A3409" s="57" t="s">
        <v>5988</v>
      </c>
      <c r="B3409" s="58">
        <f t="shared" si="178"/>
        <v>42096</v>
      </c>
      <c r="C3409" s="59">
        <f t="shared" si="179"/>
        <v>2015</v>
      </c>
      <c r="D3409" s="60" t="s">
        <v>362</v>
      </c>
      <c r="E3409" s="60" t="s">
        <v>362</v>
      </c>
      <c r="F3409" s="61">
        <v>15.264699999999999</v>
      </c>
    </row>
    <row r="3410" spans="1:6">
      <c r="A3410" s="65" t="s">
        <v>5989</v>
      </c>
      <c r="B3410" s="66">
        <f t="shared" si="178"/>
        <v>42097</v>
      </c>
      <c r="C3410" s="67">
        <f t="shared" si="179"/>
        <v>2015</v>
      </c>
      <c r="D3410" s="70" t="s">
        <v>362</v>
      </c>
      <c r="E3410" s="70" t="s">
        <v>362</v>
      </c>
      <c r="F3410" s="68">
        <v>15.264699999999999</v>
      </c>
    </row>
    <row r="3411" spans="1:6">
      <c r="A3411" s="57" t="s">
        <v>5990</v>
      </c>
      <c r="B3411" s="58">
        <f t="shared" si="178"/>
        <v>42098</v>
      </c>
      <c r="C3411" s="59">
        <f t="shared" si="179"/>
        <v>2015</v>
      </c>
      <c r="D3411" s="60" t="s">
        <v>362</v>
      </c>
      <c r="E3411" s="60" t="s">
        <v>362</v>
      </c>
      <c r="F3411" s="61">
        <v>15.264699999999999</v>
      </c>
    </row>
    <row r="3412" spans="1:6">
      <c r="A3412" s="65" t="s">
        <v>5991</v>
      </c>
      <c r="B3412" s="66">
        <f t="shared" si="178"/>
        <v>42099</v>
      </c>
      <c r="C3412" s="67">
        <f t="shared" si="179"/>
        <v>2015</v>
      </c>
      <c r="D3412" s="70" t="s">
        <v>362</v>
      </c>
      <c r="E3412" s="70" t="s">
        <v>362</v>
      </c>
      <c r="F3412" s="68">
        <v>15.264699999999999</v>
      </c>
    </row>
    <row r="3413" spans="1:6">
      <c r="A3413" s="57" t="s">
        <v>5992</v>
      </c>
      <c r="B3413" s="58">
        <f t="shared" si="178"/>
        <v>42100</v>
      </c>
      <c r="C3413" s="59">
        <f t="shared" si="179"/>
        <v>2015</v>
      </c>
      <c r="D3413" s="61">
        <v>14.8003</v>
      </c>
      <c r="E3413" s="61">
        <v>15.1206</v>
      </c>
      <c r="F3413" s="61">
        <v>15.264699999999999</v>
      </c>
    </row>
    <row r="3414" spans="1:6">
      <c r="A3414" s="65" t="s">
        <v>5993</v>
      </c>
      <c r="B3414" s="66">
        <f t="shared" si="178"/>
        <v>42101</v>
      </c>
      <c r="C3414" s="67">
        <f t="shared" si="179"/>
        <v>2015</v>
      </c>
      <c r="D3414" s="68">
        <v>14.9039</v>
      </c>
      <c r="E3414" s="68">
        <v>14.8003</v>
      </c>
      <c r="F3414" s="68">
        <v>15.1206</v>
      </c>
    </row>
    <row r="3415" spans="1:6">
      <c r="A3415" s="57" t="s">
        <v>5994</v>
      </c>
      <c r="B3415" s="58">
        <f t="shared" si="178"/>
        <v>42102</v>
      </c>
      <c r="C3415" s="59">
        <f t="shared" si="179"/>
        <v>2015</v>
      </c>
      <c r="D3415" s="61">
        <v>14.9072</v>
      </c>
      <c r="E3415" s="61">
        <v>14.9039</v>
      </c>
      <c r="F3415" s="61">
        <v>14.8003</v>
      </c>
    </row>
    <row r="3416" spans="1:6">
      <c r="A3416" s="65" t="s">
        <v>5995</v>
      </c>
      <c r="B3416" s="66">
        <f t="shared" si="178"/>
        <v>42103</v>
      </c>
      <c r="C3416" s="67">
        <f t="shared" si="179"/>
        <v>2015</v>
      </c>
      <c r="D3416" s="68">
        <v>15.055400000000001</v>
      </c>
      <c r="E3416" s="68">
        <v>14.9072</v>
      </c>
      <c r="F3416" s="68">
        <v>14.9039</v>
      </c>
    </row>
    <row r="3417" spans="1:6">
      <c r="A3417" s="57" t="s">
        <v>5996</v>
      </c>
      <c r="B3417" s="58">
        <f t="shared" si="178"/>
        <v>42104</v>
      </c>
      <c r="C3417" s="59">
        <f t="shared" si="179"/>
        <v>2015</v>
      </c>
      <c r="D3417" s="61">
        <v>15.1706</v>
      </c>
      <c r="E3417" s="61">
        <v>15.055400000000001</v>
      </c>
      <c r="F3417" s="61">
        <v>14.9072</v>
      </c>
    </row>
    <row r="3418" spans="1:6">
      <c r="A3418" s="65" t="s">
        <v>5997</v>
      </c>
      <c r="B3418" s="66">
        <f t="shared" si="178"/>
        <v>42105</v>
      </c>
      <c r="C3418" s="67">
        <f t="shared" si="179"/>
        <v>2015</v>
      </c>
      <c r="D3418" s="70" t="s">
        <v>362</v>
      </c>
      <c r="E3418" s="70" t="s">
        <v>362</v>
      </c>
      <c r="F3418" s="68">
        <v>15.055400000000001</v>
      </c>
    </row>
    <row r="3419" spans="1:6">
      <c r="A3419" s="57" t="s">
        <v>5998</v>
      </c>
      <c r="B3419" s="58">
        <f t="shared" si="178"/>
        <v>42106</v>
      </c>
      <c r="C3419" s="59">
        <f t="shared" si="179"/>
        <v>2015</v>
      </c>
      <c r="D3419" s="60" t="s">
        <v>362</v>
      </c>
      <c r="E3419" s="60" t="s">
        <v>362</v>
      </c>
      <c r="F3419" s="61">
        <v>15.055400000000001</v>
      </c>
    </row>
    <row r="3420" spans="1:6">
      <c r="A3420" s="65" t="s">
        <v>5999</v>
      </c>
      <c r="B3420" s="66">
        <f t="shared" si="178"/>
        <v>42107</v>
      </c>
      <c r="C3420" s="67">
        <f t="shared" si="179"/>
        <v>2015</v>
      </c>
      <c r="D3420" s="68">
        <v>15.294700000000001</v>
      </c>
      <c r="E3420" s="68">
        <v>15.1706</v>
      </c>
      <c r="F3420" s="68">
        <v>15.055400000000001</v>
      </c>
    </row>
    <row r="3421" spans="1:6">
      <c r="A3421" s="57" t="s">
        <v>6000</v>
      </c>
      <c r="B3421" s="58">
        <f t="shared" si="178"/>
        <v>42108</v>
      </c>
      <c r="C3421" s="59">
        <f t="shared" si="179"/>
        <v>2015</v>
      </c>
      <c r="D3421" s="61">
        <v>15.2339</v>
      </c>
      <c r="E3421" s="61">
        <v>15.294700000000001</v>
      </c>
      <c r="F3421" s="61">
        <v>15.1706</v>
      </c>
    </row>
    <row r="3422" spans="1:6">
      <c r="A3422" s="65" t="s">
        <v>6001</v>
      </c>
      <c r="B3422" s="66">
        <f t="shared" si="178"/>
        <v>42109</v>
      </c>
      <c r="C3422" s="67">
        <f t="shared" si="179"/>
        <v>2015</v>
      </c>
      <c r="D3422" s="68">
        <v>15.389099999999999</v>
      </c>
      <c r="E3422" s="68">
        <v>15.2339</v>
      </c>
      <c r="F3422" s="68">
        <v>15.294700000000001</v>
      </c>
    </row>
    <row r="3423" spans="1:6">
      <c r="A3423" s="57" t="s">
        <v>6002</v>
      </c>
      <c r="B3423" s="58">
        <f t="shared" ref="B3423:B3486" si="180">DATE(RIGHT(A3423,4),LEFT(RIGHT(A3423,7),2),LEFT(A3423,2))</f>
        <v>42110</v>
      </c>
      <c r="C3423" s="59">
        <f t="shared" ref="C3423:C3486" si="181">YEAR(B3423)</f>
        <v>2015</v>
      </c>
      <c r="D3423" s="61">
        <v>15.2455</v>
      </c>
      <c r="E3423" s="61">
        <v>15.389099999999999</v>
      </c>
      <c r="F3423" s="61">
        <v>15.2339</v>
      </c>
    </row>
    <row r="3424" spans="1:6">
      <c r="A3424" s="65" t="s">
        <v>6003</v>
      </c>
      <c r="B3424" s="66">
        <f t="shared" si="180"/>
        <v>42111</v>
      </c>
      <c r="C3424" s="67">
        <f t="shared" si="181"/>
        <v>2015</v>
      </c>
      <c r="D3424" s="68">
        <v>15.312799999999999</v>
      </c>
      <c r="E3424" s="68">
        <v>15.2455</v>
      </c>
      <c r="F3424" s="68">
        <v>15.389099999999999</v>
      </c>
    </row>
    <row r="3425" spans="1:6">
      <c r="A3425" s="57" t="s">
        <v>6004</v>
      </c>
      <c r="B3425" s="58">
        <f t="shared" si="180"/>
        <v>42112</v>
      </c>
      <c r="C3425" s="59">
        <f t="shared" si="181"/>
        <v>2015</v>
      </c>
      <c r="D3425" s="60" t="s">
        <v>362</v>
      </c>
      <c r="E3425" s="60" t="s">
        <v>362</v>
      </c>
      <c r="F3425" s="61">
        <v>15.2455</v>
      </c>
    </row>
    <row r="3426" spans="1:6">
      <c r="A3426" s="65" t="s">
        <v>6005</v>
      </c>
      <c r="B3426" s="66">
        <f t="shared" si="180"/>
        <v>42113</v>
      </c>
      <c r="C3426" s="67">
        <f t="shared" si="181"/>
        <v>2015</v>
      </c>
      <c r="D3426" s="70" t="s">
        <v>362</v>
      </c>
      <c r="E3426" s="70" t="s">
        <v>362</v>
      </c>
      <c r="F3426" s="68">
        <v>15.2455</v>
      </c>
    </row>
    <row r="3427" spans="1:6">
      <c r="A3427" s="57" t="s">
        <v>6006</v>
      </c>
      <c r="B3427" s="58">
        <f t="shared" si="180"/>
        <v>42114</v>
      </c>
      <c r="C3427" s="59">
        <f t="shared" si="181"/>
        <v>2015</v>
      </c>
      <c r="D3427" s="61">
        <v>15.3973</v>
      </c>
      <c r="E3427" s="61">
        <v>15.312799999999999</v>
      </c>
      <c r="F3427" s="61">
        <v>15.2455</v>
      </c>
    </row>
    <row r="3428" spans="1:6">
      <c r="A3428" s="65" t="s">
        <v>6007</v>
      </c>
      <c r="B3428" s="66">
        <f t="shared" si="180"/>
        <v>42115</v>
      </c>
      <c r="C3428" s="67">
        <f t="shared" si="181"/>
        <v>2015</v>
      </c>
      <c r="D3428" s="68">
        <v>15.383699999999999</v>
      </c>
      <c r="E3428" s="68">
        <v>15.3973</v>
      </c>
      <c r="F3428" s="68">
        <v>15.312799999999999</v>
      </c>
    </row>
    <row r="3429" spans="1:6">
      <c r="A3429" s="57" t="s">
        <v>6008</v>
      </c>
      <c r="B3429" s="58">
        <f t="shared" si="180"/>
        <v>42116</v>
      </c>
      <c r="C3429" s="59">
        <f t="shared" si="181"/>
        <v>2015</v>
      </c>
      <c r="D3429" s="61">
        <v>15.4518</v>
      </c>
      <c r="E3429" s="61">
        <v>15.383699999999999</v>
      </c>
      <c r="F3429" s="61">
        <v>15.3973</v>
      </c>
    </row>
    <row r="3430" spans="1:6">
      <c r="A3430" s="65" t="s">
        <v>6009</v>
      </c>
      <c r="B3430" s="66">
        <f t="shared" si="180"/>
        <v>42117</v>
      </c>
      <c r="C3430" s="67">
        <f t="shared" si="181"/>
        <v>2015</v>
      </c>
      <c r="D3430" s="68">
        <v>15.353899999999999</v>
      </c>
      <c r="E3430" s="68">
        <v>15.4518</v>
      </c>
      <c r="F3430" s="68">
        <v>15.383699999999999</v>
      </c>
    </row>
    <row r="3431" spans="1:6">
      <c r="A3431" s="57" t="s">
        <v>6010</v>
      </c>
      <c r="B3431" s="58">
        <f t="shared" si="180"/>
        <v>42118</v>
      </c>
      <c r="C3431" s="59">
        <f t="shared" si="181"/>
        <v>2015</v>
      </c>
      <c r="D3431" s="61">
        <v>15.3834</v>
      </c>
      <c r="E3431" s="61">
        <v>15.353899999999999</v>
      </c>
      <c r="F3431" s="61">
        <v>15.4518</v>
      </c>
    </row>
    <row r="3432" spans="1:6">
      <c r="A3432" s="65" t="s">
        <v>6011</v>
      </c>
      <c r="B3432" s="66">
        <f t="shared" si="180"/>
        <v>42119</v>
      </c>
      <c r="C3432" s="67">
        <f t="shared" si="181"/>
        <v>2015</v>
      </c>
      <c r="D3432" s="70" t="s">
        <v>362</v>
      </c>
      <c r="E3432" s="70" t="s">
        <v>362</v>
      </c>
      <c r="F3432" s="68">
        <v>15.353899999999999</v>
      </c>
    </row>
    <row r="3433" spans="1:6">
      <c r="A3433" s="57" t="s">
        <v>6012</v>
      </c>
      <c r="B3433" s="58">
        <f t="shared" si="180"/>
        <v>42120</v>
      </c>
      <c r="C3433" s="59">
        <f t="shared" si="181"/>
        <v>2015</v>
      </c>
      <c r="D3433" s="60" t="s">
        <v>362</v>
      </c>
      <c r="E3433" s="60" t="s">
        <v>362</v>
      </c>
      <c r="F3433" s="61">
        <v>15.353899999999999</v>
      </c>
    </row>
    <row r="3434" spans="1:6">
      <c r="A3434" s="65" t="s">
        <v>6013</v>
      </c>
      <c r="B3434" s="66">
        <f t="shared" si="180"/>
        <v>42121</v>
      </c>
      <c r="C3434" s="67">
        <f t="shared" si="181"/>
        <v>2015</v>
      </c>
      <c r="D3434" s="68">
        <v>15.321300000000001</v>
      </c>
      <c r="E3434" s="68">
        <v>15.3834</v>
      </c>
      <c r="F3434" s="68">
        <v>15.353899999999999</v>
      </c>
    </row>
    <row r="3435" spans="1:6">
      <c r="A3435" s="57" t="s">
        <v>6014</v>
      </c>
      <c r="B3435" s="58">
        <f t="shared" si="180"/>
        <v>42122</v>
      </c>
      <c r="C3435" s="59">
        <f t="shared" si="181"/>
        <v>2015</v>
      </c>
      <c r="D3435" s="61">
        <v>15.2225</v>
      </c>
      <c r="E3435" s="61">
        <v>15.321300000000001</v>
      </c>
      <c r="F3435" s="61">
        <v>15.3834</v>
      </c>
    </row>
    <row r="3436" spans="1:6">
      <c r="A3436" s="65" t="s">
        <v>6015</v>
      </c>
      <c r="B3436" s="66">
        <f t="shared" si="180"/>
        <v>42123</v>
      </c>
      <c r="C3436" s="67">
        <f t="shared" si="181"/>
        <v>2015</v>
      </c>
      <c r="D3436" s="68">
        <v>15.2043</v>
      </c>
      <c r="E3436" s="68">
        <v>15.2225</v>
      </c>
      <c r="F3436" s="68">
        <v>15.321300000000001</v>
      </c>
    </row>
    <row r="3437" spans="1:6">
      <c r="A3437" s="57" t="s">
        <v>6016</v>
      </c>
      <c r="B3437" s="58">
        <f t="shared" si="180"/>
        <v>42124</v>
      </c>
      <c r="C3437" s="59">
        <f t="shared" si="181"/>
        <v>2015</v>
      </c>
      <c r="D3437" s="61">
        <v>15.3714</v>
      </c>
      <c r="E3437" s="61">
        <v>15.2043</v>
      </c>
      <c r="F3437" s="61">
        <v>15.2225</v>
      </c>
    </row>
    <row r="3438" spans="1:6">
      <c r="A3438" s="65" t="s">
        <v>6017</v>
      </c>
      <c r="B3438" s="66">
        <f t="shared" si="180"/>
        <v>42125</v>
      </c>
      <c r="C3438" s="67">
        <f t="shared" si="181"/>
        <v>2015</v>
      </c>
      <c r="D3438" s="70" t="s">
        <v>362</v>
      </c>
      <c r="E3438" s="70" t="s">
        <v>362</v>
      </c>
      <c r="F3438" s="68">
        <v>15.2043</v>
      </c>
    </row>
    <row r="3439" spans="1:6">
      <c r="A3439" s="57" t="s">
        <v>6018</v>
      </c>
      <c r="B3439" s="58">
        <f t="shared" si="180"/>
        <v>42126</v>
      </c>
      <c r="C3439" s="59">
        <f t="shared" si="181"/>
        <v>2015</v>
      </c>
      <c r="D3439" s="60" t="s">
        <v>362</v>
      </c>
      <c r="E3439" s="60" t="s">
        <v>362</v>
      </c>
      <c r="F3439" s="61">
        <v>15.2043</v>
      </c>
    </row>
    <row r="3440" spans="1:6">
      <c r="A3440" s="65" t="s">
        <v>6019</v>
      </c>
      <c r="B3440" s="66">
        <f t="shared" si="180"/>
        <v>42127</v>
      </c>
      <c r="C3440" s="67">
        <f t="shared" si="181"/>
        <v>2015</v>
      </c>
      <c r="D3440" s="70" t="s">
        <v>362</v>
      </c>
      <c r="E3440" s="70" t="s">
        <v>362</v>
      </c>
      <c r="F3440" s="68">
        <v>15.2043</v>
      </c>
    </row>
    <row r="3441" spans="1:6">
      <c r="A3441" s="57" t="s">
        <v>6020</v>
      </c>
      <c r="B3441" s="58">
        <f t="shared" si="180"/>
        <v>42128</v>
      </c>
      <c r="C3441" s="59">
        <f t="shared" si="181"/>
        <v>2015</v>
      </c>
      <c r="D3441" s="61">
        <v>15.494</v>
      </c>
      <c r="E3441" s="61">
        <v>15.3714</v>
      </c>
      <c r="F3441" s="61">
        <v>15.2043</v>
      </c>
    </row>
    <row r="3442" spans="1:6">
      <c r="A3442" s="65" t="s">
        <v>6021</v>
      </c>
      <c r="B3442" s="66">
        <f t="shared" si="180"/>
        <v>42129</v>
      </c>
      <c r="C3442" s="67">
        <f t="shared" si="181"/>
        <v>2015</v>
      </c>
      <c r="D3442" s="68">
        <v>15.3225</v>
      </c>
      <c r="E3442" s="68">
        <v>15.494</v>
      </c>
      <c r="F3442" s="68">
        <v>15.3714</v>
      </c>
    </row>
    <row r="3443" spans="1:6">
      <c r="A3443" s="57" t="s">
        <v>6022</v>
      </c>
      <c r="B3443" s="58">
        <f t="shared" si="180"/>
        <v>42130</v>
      </c>
      <c r="C3443" s="59">
        <f t="shared" si="181"/>
        <v>2015</v>
      </c>
      <c r="D3443" s="61">
        <v>15.282500000000001</v>
      </c>
      <c r="E3443" s="61">
        <v>15.3225</v>
      </c>
      <c r="F3443" s="61">
        <v>15.494</v>
      </c>
    </row>
    <row r="3444" spans="1:6">
      <c r="A3444" s="65" t="s">
        <v>6023</v>
      </c>
      <c r="B3444" s="66">
        <f t="shared" si="180"/>
        <v>42131</v>
      </c>
      <c r="C3444" s="67">
        <f t="shared" si="181"/>
        <v>2015</v>
      </c>
      <c r="D3444" s="68">
        <v>15.339700000000001</v>
      </c>
      <c r="E3444" s="68">
        <v>15.282500000000001</v>
      </c>
      <c r="F3444" s="68">
        <v>15.3225</v>
      </c>
    </row>
    <row r="3445" spans="1:6">
      <c r="A3445" s="57" t="s">
        <v>6024</v>
      </c>
      <c r="B3445" s="58">
        <f t="shared" si="180"/>
        <v>42132</v>
      </c>
      <c r="C3445" s="59">
        <f t="shared" si="181"/>
        <v>2015</v>
      </c>
      <c r="D3445" s="61">
        <v>15.1424</v>
      </c>
      <c r="E3445" s="61">
        <v>15.339700000000001</v>
      </c>
      <c r="F3445" s="61">
        <v>15.282500000000001</v>
      </c>
    </row>
    <row r="3446" spans="1:6">
      <c r="A3446" s="65" t="s">
        <v>6025</v>
      </c>
      <c r="B3446" s="66">
        <f t="shared" si="180"/>
        <v>42133</v>
      </c>
      <c r="C3446" s="67">
        <f t="shared" si="181"/>
        <v>2015</v>
      </c>
      <c r="D3446" s="70" t="s">
        <v>362</v>
      </c>
      <c r="E3446" s="70" t="s">
        <v>362</v>
      </c>
      <c r="F3446" s="68">
        <v>15.339700000000001</v>
      </c>
    </row>
    <row r="3447" spans="1:6">
      <c r="A3447" s="57" t="s">
        <v>6026</v>
      </c>
      <c r="B3447" s="58">
        <f t="shared" si="180"/>
        <v>42134</v>
      </c>
      <c r="C3447" s="59">
        <f t="shared" si="181"/>
        <v>2015</v>
      </c>
      <c r="D3447" s="60" t="s">
        <v>362</v>
      </c>
      <c r="E3447" s="60" t="s">
        <v>362</v>
      </c>
      <c r="F3447" s="61">
        <v>15.339700000000001</v>
      </c>
    </row>
    <row r="3448" spans="1:6">
      <c r="A3448" s="65" t="s">
        <v>6027</v>
      </c>
      <c r="B3448" s="66">
        <f t="shared" si="180"/>
        <v>42135</v>
      </c>
      <c r="C3448" s="67">
        <f t="shared" si="181"/>
        <v>2015</v>
      </c>
      <c r="D3448" s="68">
        <v>15.2624</v>
      </c>
      <c r="E3448" s="68">
        <v>15.1424</v>
      </c>
      <c r="F3448" s="68">
        <v>15.339700000000001</v>
      </c>
    </row>
    <row r="3449" spans="1:6">
      <c r="A3449" s="57" t="s">
        <v>6028</v>
      </c>
      <c r="B3449" s="58">
        <f t="shared" si="180"/>
        <v>42136</v>
      </c>
      <c r="C3449" s="59">
        <f t="shared" si="181"/>
        <v>2015</v>
      </c>
      <c r="D3449" s="61">
        <v>15.321099999999999</v>
      </c>
      <c r="E3449" s="61">
        <v>15.2624</v>
      </c>
      <c r="F3449" s="61">
        <v>15.1424</v>
      </c>
    </row>
    <row r="3450" spans="1:6">
      <c r="A3450" s="65" t="s">
        <v>6029</v>
      </c>
      <c r="B3450" s="66">
        <f t="shared" si="180"/>
        <v>42137</v>
      </c>
      <c r="C3450" s="67">
        <f t="shared" si="181"/>
        <v>2015</v>
      </c>
      <c r="D3450" s="68">
        <v>15.221299999999999</v>
      </c>
      <c r="E3450" s="68">
        <v>15.321099999999999</v>
      </c>
      <c r="F3450" s="68">
        <v>15.2624</v>
      </c>
    </row>
    <row r="3451" spans="1:6">
      <c r="A3451" s="57" t="s">
        <v>6030</v>
      </c>
      <c r="B3451" s="58">
        <f t="shared" si="180"/>
        <v>42138</v>
      </c>
      <c r="C3451" s="59">
        <f t="shared" si="181"/>
        <v>2015</v>
      </c>
      <c r="D3451" s="61">
        <v>15.1235</v>
      </c>
      <c r="E3451" s="61">
        <v>15.221299999999999</v>
      </c>
      <c r="F3451" s="61">
        <v>15.321099999999999</v>
      </c>
    </row>
    <row r="3452" spans="1:6">
      <c r="A3452" s="65" t="s">
        <v>6031</v>
      </c>
      <c r="B3452" s="66">
        <f t="shared" si="180"/>
        <v>42139</v>
      </c>
      <c r="C3452" s="67">
        <f t="shared" si="181"/>
        <v>2015</v>
      </c>
      <c r="D3452" s="68">
        <v>15.022500000000001</v>
      </c>
      <c r="E3452" s="68">
        <v>15.1235</v>
      </c>
      <c r="F3452" s="68">
        <v>15.221299999999999</v>
      </c>
    </row>
    <row r="3453" spans="1:6">
      <c r="A3453" s="57" t="s">
        <v>6032</v>
      </c>
      <c r="B3453" s="58">
        <f t="shared" si="180"/>
        <v>42140</v>
      </c>
      <c r="C3453" s="59">
        <f t="shared" si="181"/>
        <v>2015</v>
      </c>
      <c r="D3453" s="60" t="s">
        <v>362</v>
      </c>
      <c r="E3453" s="60" t="s">
        <v>362</v>
      </c>
      <c r="F3453" s="61">
        <v>15.1235</v>
      </c>
    </row>
    <row r="3454" spans="1:6">
      <c r="A3454" s="65" t="s">
        <v>6033</v>
      </c>
      <c r="B3454" s="66">
        <f t="shared" si="180"/>
        <v>42141</v>
      </c>
      <c r="C3454" s="67">
        <f t="shared" si="181"/>
        <v>2015</v>
      </c>
      <c r="D3454" s="70" t="s">
        <v>362</v>
      </c>
      <c r="E3454" s="70" t="s">
        <v>362</v>
      </c>
      <c r="F3454" s="68">
        <v>15.1235</v>
      </c>
    </row>
    <row r="3455" spans="1:6">
      <c r="A3455" s="57" t="s">
        <v>6034</v>
      </c>
      <c r="B3455" s="58">
        <f t="shared" si="180"/>
        <v>42142</v>
      </c>
      <c r="C3455" s="59">
        <f t="shared" si="181"/>
        <v>2015</v>
      </c>
      <c r="D3455" s="61">
        <v>15.12</v>
      </c>
      <c r="E3455" s="61">
        <v>15.022500000000001</v>
      </c>
      <c r="F3455" s="61">
        <v>15.1235</v>
      </c>
    </row>
    <row r="3456" spans="1:6">
      <c r="A3456" s="65" t="s">
        <v>6035</v>
      </c>
      <c r="B3456" s="66">
        <f t="shared" si="180"/>
        <v>42143</v>
      </c>
      <c r="C3456" s="67">
        <f t="shared" si="181"/>
        <v>2015</v>
      </c>
      <c r="D3456" s="68">
        <v>15.200799999999999</v>
      </c>
      <c r="E3456" s="68">
        <v>15.12</v>
      </c>
      <c r="F3456" s="68">
        <v>15.022500000000001</v>
      </c>
    </row>
    <row r="3457" spans="1:6">
      <c r="A3457" s="57" t="s">
        <v>6036</v>
      </c>
      <c r="B3457" s="58">
        <f t="shared" si="180"/>
        <v>42144</v>
      </c>
      <c r="C3457" s="59">
        <f t="shared" si="181"/>
        <v>2015</v>
      </c>
      <c r="D3457" s="61">
        <v>15.212</v>
      </c>
      <c r="E3457" s="61">
        <v>15.200799999999999</v>
      </c>
      <c r="F3457" s="61">
        <v>15.12</v>
      </c>
    </row>
    <row r="3458" spans="1:6">
      <c r="A3458" s="65" t="s">
        <v>6037</v>
      </c>
      <c r="B3458" s="66">
        <f t="shared" si="180"/>
        <v>42145</v>
      </c>
      <c r="C3458" s="67">
        <f t="shared" si="181"/>
        <v>2015</v>
      </c>
      <c r="D3458" s="68">
        <v>15.2326</v>
      </c>
      <c r="E3458" s="68">
        <v>15.212</v>
      </c>
      <c r="F3458" s="68">
        <v>15.200799999999999</v>
      </c>
    </row>
    <row r="3459" spans="1:6">
      <c r="A3459" s="57" t="s">
        <v>6038</v>
      </c>
      <c r="B3459" s="58">
        <f t="shared" si="180"/>
        <v>42146</v>
      </c>
      <c r="C3459" s="59">
        <f t="shared" si="181"/>
        <v>2015</v>
      </c>
      <c r="D3459" s="61">
        <v>15.2918</v>
      </c>
      <c r="E3459" s="61">
        <v>15.2326</v>
      </c>
      <c r="F3459" s="61">
        <v>15.212</v>
      </c>
    </row>
    <row r="3460" spans="1:6">
      <c r="A3460" s="65" t="s">
        <v>6039</v>
      </c>
      <c r="B3460" s="66">
        <f t="shared" si="180"/>
        <v>42147</v>
      </c>
      <c r="C3460" s="67">
        <f t="shared" si="181"/>
        <v>2015</v>
      </c>
      <c r="D3460" s="70" t="s">
        <v>362</v>
      </c>
      <c r="E3460" s="70" t="s">
        <v>362</v>
      </c>
      <c r="F3460" s="68">
        <v>15.2326</v>
      </c>
    </row>
    <row r="3461" spans="1:6">
      <c r="A3461" s="57" t="s">
        <v>6040</v>
      </c>
      <c r="B3461" s="58">
        <f t="shared" si="180"/>
        <v>42148</v>
      </c>
      <c r="C3461" s="59">
        <f t="shared" si="181"/>
        <v>2015</v>
      </c>
      <c r="D3461" s="60" t="s">
        <v>362</v>
      </c>
      <c r="E3461" s="60" t="s">
        <v>362</v>
      </c>
      <c r="F3461" s="61">
        <v>15.2326</v>
      </c>
    </row>
    <row r="3462" spans="1:6">
      <c r="A3462" s="65" t="s">
        <v>6041</v>
      </c>
      <c r="B3462" s="66">
        <f t="shared" si="180"/>
        <v>42149</v>
      </c>
      <c r="C3462" s="67">
        <f t="shared" si="181"/>
        <v>2015</v>
      </c>
      <c r="D3462" s="68">
        <v>15.263500000000001</v>
      </c>
      <c r="E3462" s="68">
        <v>15.2918</v>
      </c>
      <c r="F3462" s="68">
        <v>15.2326</v>
      </c>
    </row>
    <row r="3463" spans="1:6">
      <c r="A3463" s="57" t="s">
        <v>6042</v>
      </c>
      <c r="B3463" s="58">
        <f t="shared" si="180"/>
        <v>42150</v>
      </c>
      <c r="C3463" s="59">
        <f t="shared" si="181"/>
        <v>2015</v>
      </c>
      <c r="D3463" s="61">
        <v>15.323499999999999</v>
      </c>
      <c r="E3463" s="61">
        <v>15.263500000000001</v>
      </c>
      <c r="F3463" s="61">
        <v>15.2918</v>
      </c>
    </row>
    <row r="3464" spans="1:6">
      <c r="A3464" s="65" t="s">
        <v>6043</v>
      </c>
      <c r="B3464" s="66">
        <f t="shared" si="180"/>
        <v>42151</v>
      </c>
      <c r="C3464" s="67">
        <f t="shared" si="181"/>
        <v>2015</v>
      </c>
      <c r="D3464" s="68">
        <v>15.3581</v>
      </c>
      <c r="E3464" s="68">
        <v>15.323499999999999</v>
      </c>
      <c r="F3464" s="68">
        <v>15.263500000000001</v>
      </c>
    </row>
    <row r="3465" spans="1:6">
      <c r="A3465" s="57" t="s">
        <v>6044</v>
      </c>
      <c r="B3465" s="58">
        <f t="shared" si="180"/>
        <v>42152</v>
      </c>
      <c r="C3465" s="59">
        <f t="shared" si="181"/>
        <v>2015</v>
      </c>
      <c r="D3465" s="61">
        <v>15.373699999999999</v>
      </c>
      <c r="E3465" s="61">
        <v>15.3581</v>
      </c>
      <c r="F3465" s="61">
        <v>15.323499999999999</v>
      </c>
    </row>
    <row r="3466" spans="1:6">
      <c r="A3466" s="65" t="s">
        <v>6045</v>
      </c>
      <c r="B3466" s="66">
        <f t="shared" si="180"/>
        <v>42153</v>
      </c>
      <c r="C3466" s="67">
        <f t="shared" si="181"/>
        <v>2015</v>
      </c>
      <c r="D3466" s="68">
        <v>15.381500000000001</v>
      </c>
      <c r="E3466" s="68">
        <v>15.373699999999999</v>
      </c>
      <c r="F3466" s="68">
        <v>15.3581</v>
      </c>
    </row>
    <row r="3467" spans="1:6">
      <c r="A3467" s="57" t="s">
        <v>6046</v>
      </c>
      <c r="B3467" s="58">
        <f t="shared" si="180"/>
        <v>42154</v>
      </c>
      <c r="C3467" s="59">
        <f t="shared" si="181"/>
        <v>2015</v>
      </c>
      <c r="D3467" s="60" t="s">
        <v>362</v>
      </c>
      <c r="E3467" s="60" t="s">
        <v>362</v>
      </c>
      <c r="F3467" s="61">
        <v>15.373699999999999</v>
      </c>
    </row>
    <row r="3468" spans="1:6">
      <c r="A3468" s="65" t="s">
        <v>6047</v>
      </c>
      <c r="B3468" s="66">
        <f t="shared" si="180"/>
        <v>42155</v>
      </c>
      <c r="C3468" s="67">
        <f t="shared" si="181"/>
        <v>2015</v>
      </c>
      <c r="D3468" s="70" t="s">
        <v>362</v>
      </c>
      <c r="E3468" s="70" t="s">
        <v>362</v>
      </c>
      <c r="F3468" s="68">
        <v>15.373699999999999</v>
      </c>
    </row>
    <row r="3469" spans="1:6">
      <c r="A3469" s="57" t="s">
        <v>6048</v>
      </c>
      <c r="B3469" s="58">
        <f t="shared" si="180"/>
        <v>42156</v>
      </c>
      <c r="C3469" s="59">
        <f t="shared" si="181"/>
        <v>2015</v>
      </c>
      <c r="D3469" s="61">
        <v>15.484500000000001</v>
      </c>
      <c r="E3469" s="61">
        <v>15.381500000000001</v>
      </c>
      <c r="F3469" s="61">
        <v>15.373699999999999</v>
      </c>
    </row>
    <row r="3470" spans="1:6">
      <c r="A3470" s="65" t="s">
        <v>6049</v>
      </c>
      <c r="B3470" s="66">
        <f t="shared" si="180"/>
        <v>42157</v>
      </c>
      <c r="C3470" s="67">
        <f t="shared" si="181"/>
        <v>2015</v>
      </c>
      <c r="D3470" s="68">
        <v>15.412800000000001</v>
      </c>
      <c r="E3470" s="68">
        <v>15.484500000000001</v>
      </c>
      <c r="F3470" s="68">
        <v>15.381500000000001</v>
      </c>
    </row>
    <row r="3471" spans="1:6">
      <c r="A3471" s="57" t="s">
        <v>6050</v>
      </c>
      <c r="B3471" s="58">
        <f t="shared" si="180"/>
        <v>42158</v>
      </c>
      <c r="C3471" s="59">
        <f t="shared" si="181"/>
        <v>2015</v>
      </c>
      <c r="D3471" s="61">
        <v>15.4833</v>
      </c>
      <c r="E3471" s="61">
        <v>15.412800000000001</v>
      </c>
      <c r="F3471" s="61">
        <v>15.484500000000001</v>
      </c>
    </row>
    <row r="3472" spans="1:6">
      <c r="A3472" s="65" t="s">
        <v>6051</v>
      </c>
      <c r="B3472" s="66">
        <f t="shared" si="180"/>
        <v>42159</v>
      </c>
      <c r="C3472" s="67">
        <f t="shared" si="181"/>
        <v>2015</v>
      </c>
      <c r="D3472" s="68">
        <v>15.534700000000001</v>
      </c>
      <c r="E3472" s="68">
        <v>15.4833</v>
      </c>
      <c r="F3472" s="68">
        <v>15.412800000000001</v>
      </c>
    </row>
    <row r="3473" spans="1:6">
      <c r="A3473" s="57" t="s">
        <v>6052</v>
      </c>
      <c r="B3473" s="58">
        <f t="shared" si="180"/>
        <v>42160</v>
      </c>
      <c r="C3473" s="59">
        <f t="shared" si="181"/>
        <v>2015</v>
      </c>
      <c r="D3473" s="61">
        <v>15.6958</v>
      </c>
      <c r="E3473" s="61">
        <v>15.534700000000001</v>
      </c>
      <c r="F3473" s="61">
        <v>15.4833</v>
      </c>
    </row>
    <row r="3474" spans="1:6">
      <c r="A3474" s="65" t="s">
        <v>6053</v>
      </c>
      <c r="B3474" s="66">
        <f t="shared" si="180"/>
        <v>42161</v>
      </c>
      <c r="C3474" s="67">
        <f t="shared" si="181"/>
        <v>2015</v>
      </c>
      <c r="D3474" s="70" t="s">
        <v>362</v>
      </c>
      <c r="E3474" s="70" t="s">
        <v>362</v>
      </c>
      <c r="F3474" s="68">
        <v>15.534700000000001</v>
      </c>
    </row>
    <row r="3475" spans="1:6">
      <c r="A3475" s="57" t="s">
        <v>6054</v>
      </c>
      <c r="B3475" s="58">
        <f t="shared" si="180"/>
        <v>42162</v>
      </c>
      <c r="C3475" s="59">
        <f t="shared" si="181"/>
        <v>2015</v>
      </c>
      <c r="D3475" s="60" t="s">
        <v>362</v>
      </c>
      <c r="E3475" s="60" t="s">
        <v>362</v>
      </c>
      <c r="F3475" s="61">
        <v>15.534700000000001</v>
      </c>
    </row>
    <row r="3476" spans="1:6">
      <c r="A3476" s="65" t="s">
        <v>6055</v>
      </c>
      <c r="B3476" s="66">
        <f t="shared" si="180"/>
        <v>42163</v>
      </c>
      <c r="C3476" s="67">
        <f t="shared" si="181"/>
        <v>2015</v>
      </c>
      <c r="D3476" s="68">
        <v>15.6715</v>
      </c>
      <c r="E3476" s="68">
        <v>15.6958</v>
      </c>
      <c r="F3476" s="68">
        <v>15.534700000000001</v>
      </c>
    </row>
    <row r="3477" spans="1:6">
      <c r="A3477" s="57" t="s">
        <v>6056</v>
      </c>
      <c r="B3477" s="58">
        <f t="shared" si="180"/>
        <v>42164</v>
      </c>
      <c r="C3477" s="59">
        <f t="shared" si="181"/>
        <v>2015</v>
      </c>
      <c r="D3477" s="61">
        <v>15.564500000000001</v>
      </c>
      <c r="E3477" s="61">
        <v>15.6715</v>
      </c>
      <c r="F3477" s="61">
        <v>15.6958</v>
      </c>
    </row>
    <row r="3478" spans="1:6">
      <c r="A3478" s="65" t="s">
        <v>6057</v>
      </c>
      <c r="B3478" s="66">
        <f t="shared" si="180"/>
        <v>42165</v>
      </c>
      <c r="C3478" s="67">
        <f t="shared" si="181"/>
        <v>2015</v>
      </c>
      <c r="D3478" s="68">
        <v>15.4779</v>
      </c>
      <c r="E3478" s="68">
        <v>15.564500000000001</v>
      </c>
      <c r="F3478" s="68">
        <v>15.6715</v>
      </c>
    </row>
    <row r="3479" spans="1:6">
      <c r="A3479" s="57" t="s">
        <v>6058</v>
      </c>
      <c r="B3479" s="58">
        <f t="shared" si="180"/>
        <v>42166</v>
      </c>
      <c r="C3479" s="59">
        <f t="shared" si="181"/>
        <v>2015</v>
      </c>
      <c r="D3479" s="61">
        <v>15.440899999999999</v>
      </c>
      <c r="E3479" s="61">
        <v>15.4779</v>
      </c>
      <c r="F3479" s="61">
        <v>15.564500000000001</v>
      </c>
    </row>
    <row r="3480" spans="1:6">
      <c r="A3480" s="65" t="s">
        <v>6059</v>
      </c>
      <c r="B3480" s="66">
        <f t="shared" si="180"/>
        <v>42167</v>
      </c>
      <c r="C3480" s="67">
        <f t="shared" si="181"/>
        <v>2015</v>
      </c>
      <c r="D3480" s="68">
        <v>15.4129</v>
      </c>
      <c r="E3480" s="68">
        <v>15.440899999999999</v>
      </c>
      <c r="F3480" s="68">
        <v>15.4779</v>
      </c>
    </row>
    <row r="3481" spans="1:6">
      <c r="A3481" s="57" t="s">
        <v>6060</v>
      </c>
      <c r="B3481" s="58">
        <f t="shared" si="180"/>
        <v>42168</v>
      </c>
      <c r="C3481" s="59">
        <f t="shared" si="181"/>
        <v>2015</v>
      </c>
      <c r="D3481" s="60" t="s">
        <v>362</v>
      </c>
      <c r="E3481" s="60" t="s">
        <v>362</v>
      </c>
      <c r="F3481" s="61">
        <v>15.440899999999999</v>
      </c>
    </row>
    <row r="3482" spans="1:6">
      <c r="A3482" s="65" t="s">
        <v>6061</v>
      </c>
      <c r="B3482" s="66">
        <f t="shared" si="180"/>
        <v>42169</v>
      </c>
      <c r="C3482" s="67">
        <f t="shared" si="181"/>
        <v>2015</v>
      </c>
      <c r="D3482" s="70" t="s">
        <v>362</v>
      </c>
      <c r="E3482" s="70" t="s">
        <v>362</v>
      </c>
      <c r="F3482" s="68">
        <v>15.440899999999999</v>
      </c>
    </row>
    <row r="3483" spans="1:6">
      <c r="A3483" s="57" t="s">
        <v>6062</v>
      </c>
      <c r="B3483" s="58">
        <f t="shared" si="180"/>
        <v>42170</v>
      </c>
      <c r="C3483" s="59">
        <f t="shared" si="181"/>
        <v>2015</v>
      </c>
      <c r="D3483" s="61">
        <v>15.432700000000001</v>
      </c>
      <c r="E3483" s="61">
        <v>15.4129</v>
      </c>
      <c r="F3483" s="61">
        <v>15.440899999999999</v>
      </c>
    </row>
    <row r="3484" spans="1:6">
      <c r="A3484" s="65" t="s">
        <v>6063</v>
      </c>
      <c r="B3484" s="66">
        <f t="shared" si="180"/>
        <v>42171</v>
      </c>
      <c r="C3484" s="67">
        <f t="shared" si="181"/>
        <v>2015</v>
      </c>
      <c r="D3484" s="68">
        <v>15.4192</v>
      </c>
      <c r="E3484" s="68">
        <v>15.432700000000001</v>
      </c>
      <c r="F3484" s="68">
        <v>15.4129</v>
      </c>
    </row>
    <row r="3485" spans="1:6">
      <c r="A3485" s="57" t="s">
        <v>6064</v>
      </c>
      <c r="B3485" s="58">
        <f t="shared" si="180"/>
        <v>42172</v>
      </c>
      <c r="C3485" s="59">
        <f t="shared" si="181"/>
        <v>2015</v>
      </c>
      <c r="D3485" s="61">
        <v>15.4199</v>
      </c>
      <c r="E3485" s="61">
        <v>15.4192</v>
      </c>
      <c r="F3485" s="61">
        <v>15.432700000000001</v>
      </c>
    </row>
    <row r="3486" spans="1:6">
      <c r="A3486" s="65" t="s">
        <v>6065</v>
      </c>
      <c r="B3486" s="66">
        <f t="shared" si="180"/>
        <v>42173</v>
      </c>
      <c r="C3486" s="67">
        <f t="shared" si="181"/>
        <v>2015</v>
      </c>
      <c r="D3486" s="68">
        <v>15.2828</v>
      </c>
      <c r="E3486" s="68">
        <v>15.4199</v>
      </c>
      <c r="F3486" s="68">
        <v>15.4192</v>
      </c>
    </row>
    <row r="3487" spans="1:6">
      <c r="A3487" s="57" t="s">
        <v>6066</v>
      </c>
      <c r="B3487" s="58">
        <f t="shared" ref="B3487:B3550" si="182">DATE(RIGHT(A3487,4),LEFT(RIGHT(A3487,7),2),LEFT(A3487,2))</f>
        <v>42174</v>
      </c>
      <c r="C3487" s="59">
        <f t="shared" ref="C3487:C3550" si="183">YEAR(B3487)</f>
        <v>2015</v>
      </c>
      <c r="D3487" s="61">
        <v>15.327400000000001</v>
      </c>
      <c r="E3487" s="61">
        <v>15.2828</v>
      </c>
      <c r="F3487" s="61">
        <v>15.4199</v>
      </c>
    </row>
    <row r="3488" spans="1:6">
      <c r="A3488" s="65" t="s">
        <v>6067</v>
      </c>
      <c r="B3488" s="66">
        <f t="shared" si="182"/>
        <v>42175</v>
      </c>
      <c r="C3488" s="67">
        <f t="shared" si="183"/>
        <v>2015</v>
      </c>
      <c r="D3488" s="70" t="s">
        <v>362</v>
      </c>
      <c r="E3488" s="70" t="s">
        <v>362</v>
      </c>
      <c r="F3488" s="68">
        <v>15.2828</v>
      </c>
    </row>
    <row r="3489" spans="1:6">
      <c r="A3489" s="57" t="s">
        <v>6068</v>
      </c>
      <c r="B3489" s="58">
        <f t="shared" si="182"/>
        <v>42176</v>
      </c>
      <c r="C3489" s="59">
        <f t="shared" si="183"/>
        <v>2015</v>
      </c>
      <c r="D3489" s="60" t="s">
        <v>362</v>
      </c>
      <c r="E3489" s="60" t="s">
        <v>362</v>
      </c>
      <c r="F3489" s="61">
        <v>15.2828</v>
      </c>
    </row>
    <row r="3490" spans="1:6">
      <c r="A3490" s="65" t="s">
        <v>6069</v>
      </c>
      <c r="B3490" s="66">
        <f t="shared" si="182"/>
        <v>42177</v>
      </c>
      <c r="C3490" s="67">
        <f t="shared" si="183"/>
        <v>2015</v>
      </c>
      <c r="D3490" s="68">
        <v>15.3072</v>
      </c>
      <c r="E3490" s="68">
        <v>15.327400000000001</v>
      </c>
      <c r="F3490" s="68">
        <v>15.2828</v>
      </c>
    </row>
    <row r="3491" spans="1:6">
      <c r="A3491" s="57" t="s">
        <v>6070</v>
      </c>
      <c r="B3491" s="58">
        <f t="shared" si="182"/>
        <v>42178</v>
      </c>
      <c r="C3491" s="59">
        <f t="shared" si="183"/>
        <v>2015</v>
      </c>
      <c r="D3491" s="61">
        <v>15.408799999999999</v>
      </c>
      <c r="E3491" s="61">
        <v>15.3072</v>
      </c>
      <c r="F3491" s="61">
        <v>15.327400000000001</v>
      </c>
    </row>
    <row r="3492" spans="1:6">
      <c r="A3492" s="65" t="s">
        <v>6071</v>
      </c>
      <c r="B3492" s="66">
        <f t="shared" si="182"/>
        <v>42179</v>
      </c>
      <c r="C3492" s="67">
        <f t="shared" si="183"/>
        <v>2015</v>
      </c>
      <c r="D3492" s="68">
        <v>15.455500000000001</v>
      </c>
      <c r="E3492" s="68">
        <v>15.408799999999999</v>
      </c>
      <c r="F3492" s="68">
        <v>15.3072</v>
      </c>
    </row>
    <row r="3493" spans="1:6">
      <c r="A3493" s="57" t="s">
        <v>6072</v>
      </c>
      <c r="B3493" s="58">
        <f t="shared" si="182"/>
        <v>42180</v>
      </c>
      <c r="C3493" s="59">
        <f t="shared" si="183"/>
        <v>2015</v>
      </c>
      <c r="D3493" s="61">
        <v>15.4816</v>
      </c>
      <c r="E3493" s="61">
        <v>15.455500000000001</v>
      </c>
      <c r="F3493" s="61">
        <v>15.408799999999999</v>
      </c>
    </row>
    <row r="3494" spans="1:6">
      <c r="A3494" s="65" t="s">
        <v>6073</v>
      </c>
      <c r="B3494" s="66">
        <f t="shared" si="182"/>
        <v>42181</v>
      </c>
      <c r="C3494" s="67">
        <f t="shared" si="183"/>
        <v>2015</v>
      </c>
      <c r="D3494" s="68">
        <v>15.567600000000001</v>
      </c>
      <c r="E3494" s="68">
        <v>15.4816</v>
      </c>
      <c r="F3494" s="68">
        <v>15.455500000000001</v>
      </c>
    </row>
    <row r="3495" spans="1:6">
      <c r="A3495" s="57" t="s">
        <v>6074</v>
      </c>
      <c r="B3495" s="58">
        <f t="shared" si="182"/>
        <v>42182</v>
      </c>
      <c r="C3495" s="59">
        <f t="shared" si="183"/>
        <v>2015</v>
      </c>
      <c r="D3495" s="60" t="s">
        <v>362</v>
      </c>
      <c r="E3495" s="60" t="s">
        <v>362</v>
      </c>
      <c r="F3495" s="61">
        <v>15.4816</v>
      </c>
    </row>
    <row r="3496" spans="1:6">
      <c r="A3496" s="65" t="s">
        <v>6075</v>
      </c>
      <c r="B3496" s="66">
        <f t="shared" si="182"/>
        <v>42183</v>
      </c>
      <c r="C3496" s="67">
        <f t="shared" si="183"/>
        <v>2015</v>
      </c>
      <c r="D3496" s="70" t="s">
        <v>362</v>
      </c>
      <c r="E3496" s="70" t="s">
        <v>362</v>
      </c>
      <c r="F3496" s="68">
        <v>15.4816</v>
      </c>
    </row>
    <row r="3497" spans="1:6">
      <c r="A3497" s="57" t="s">
        <v>6076</v>
      </c>
      <c r="B3497" s="58">
        <f t="shared" si="182"/>
        <v>42184</v>
      </c>
      <c r="C3497" s="59">
        <f t="shared" si="183"/>
        <v>2015</v>
      </c>
      <c r="D3497" s="61">
        <v>15.6599</v>
      </c>
      <c r="E3497" s="61">
        <v>15.567600000000001</v>
      </c>
      <c r="F3497" s="61">
        <v>15.4816</v>
      </c>
    </row>
    <row r="3498" spans="1:6">
      <c r="A3498" s="65" t="s">
        <v>6077</v>
      </c>
      <c r="B3498" s="66">
        <f t="shared" si="182"/>
        <v>42185</v>
      </c>
      <c r="C3498" s="67">
        <f t="shared" si="183"/>
        <v>2015</v>
      </c>
      <c r="D3498" s="68">
        <v>15.6854</v>
      </c>
      <c r="E3498" s="68">
        <v>15.6599</v>
      </c>
      <c r="F3498" s="68">
        <v>15.567600000000001</v>
      </c>
    </row>
    <row r="3499" spans="1:6">
      <c r="A3499" s="57" t="s">
        <v>6078</v>
      </c>
      <c r="B3499" s="58">
        <f t="shared" si="182"/>
        <v>42186</v>
      </c>
      <c r="C3499" s="59">
        <f t="shared" si="183"/>
        <v>2015</v>
      </c>
      <c r="D3499" s="61">
        <v>15.7829</v>
      </c>
      <c r="E3499" s="61">
        <v>15.6854</v>
      </c>
      <c r="F3499" s="61">
        <v>15.6599</v>
      </c>
    </row>
    <row r="3500" spans="1:6">
      <c r="A3500" s="65" t="s">
        <v>6079</v>
      </c>
      <c r="B3500" s="66">
        <f t="shared" si="182"/>
        <v>42187</v>
      </c>
      <c r="C3500" s="67">
        <f t="shared" si="183"/>
        <v>2015</v>
      </c>
      <c r="D3500" s="68">
        <v>15.6821</v>
      </c>
      <c r="E3500" s="68">
        <v>15.7829</v>
      </c>
      <c r="F3500" s="68">
        <v>15.6854</v>
      </c>
    </row>
    <row r="3501" spans="1:6">
      <c r="A3501" s="57" t="s">
        <v>6080</v>
      </c>
      <c r="B3501" s="58">
        <f t="shared" si="182"/>
        <v>42188</v>
      </c>
      <c r="C3501" s="59">
        <f t="shared" si="183"/>
        <v>2015</v>
      </c>
      <c r="D3501" s="61">
        <v>15.691800000000001</v>
      </c>
      <c r="E3501" s="61">
        <v>15.6821</v>
      </c>
      <c r="F3501" s="61">
        <v>15.7829</v>
      </c>
    </row>
    <row r="3502" spans="1:6">
      <c r="A3502" s="65" t="s">
        <v>6081</v>
      </c>
      <c r="B3502" s="66">
        <f t="shared" si="182"/>
        <v>42189</v>
      </c>
      <c r="C3502" s="67">
        <f t="shared" si="183"/>
        <v>2015</v>
      </c>
      <c r="D3502" s="70" t="s">
        <v>362</v>
      </c>
      <c r="E3502" s="70" t="s">
        <v>362</v>
      </c>
      <c r="F3502" s="68">
        <v>15.6821</v>
      </c>
    </row>
    <row r="3503" spans="1:6">
      <c r="A3503" s="57" t="s">
        <v>6082</v>
      </c>
      <c r="B3503" s="58">
        <f t="shared" si="182"/>
        <v>42190</v>
      </c>
      <c r="C3503" s="59">
        <f t="shared" si="183"/>
        <v>2015</v>
      </c>
      <c r="D3503" s="60" t="s">
        <v>362</v>
      </c>
      <c r="E3503" s="60" t="s">
        <v>362</v>
      </c>
      <c r="F3503" s="61">
        <v>15.6821</v>
      </c>
    </row>
    <row r="3504" spans="1:6">
      <c r="A3504" s="65" t="s">
        <v>6083</v>
      </c>
      <c r="B3504" s="66">
        <f t="shared" si="182"/>
        <v>42191</v>
      </c>
      <c r="C3504" s="67">
        <f t="shared" si="183"/>
        <v>2015</v>
      </c>
      <c r="D3504" s="68">
        <v>15.753</v>
      </c>
      <c r="E3504" s="68">
        <v>15.691800000000001</v>
      </c>
      <c r="F3504" s="68">
        <v>15.6821</v>
      </c>
    </row>
    <row r="3505" spans="1:6">
      <c r="A3505" s="57" t="s">
        <v>6084</v>
      </c>
      <c r="B3505" s="58">
        <f t="shared" si="182"/>
        <v>42192</v>
      </c>
      <c r="C3505" s="59">
        <f t="shared" si="183"/>
        <v>2015</v>
      </c>
      <c r="D3505" s="61">
        <v>15.828099999999999</v>
      </c>
      <c r="E3505" s="61">
        <v>15.753</v>
      </c>
      <c r="F3505" s="61">
        <v>15.691800000000001</v>
      </c>
    </row>
    <row r="3506" spans="1:6">
      <c r="A3506" s="65" t="s">
        <v>6085</v>
      </c>
      <c r="B3506" s="66">
        <f t="shared" si="182"/>
        <v>42193</v>
      </c>
      <c r="C3506" s="67">
        <f t="shared" si="183"/>
        <v>2015</v>
      </c>
      <c r="D3506" s="68">
        <v>15.817399999999999</v>
      </c>
      <c r="E3506" s="68">
        <v>15.828099999999999</v>
      </c>
      <c r="F3506" s="68">
        <v>15.753</v>
      </c>
    </row>
    <row r="3507" spans="1:6">
      <c r="A3507" s="57" t="s">
        <v>6086</v>
      </c>
      <c r="B3507" s="58">
        <f t="shared" si="182"/>
        <v>42194</v>
      </c>
      <c r="C3507" s="59">
        <f t="shared" si="183"/>
        <v>2015</v>
      </c>
      <c r="D3507" s="61">
        <v>15.785600000000001</v>
      </c>
      <c r="E3507" s="61">
        <v>15.817399999999999</v>
      </c>
      <c r="F3507" s="61">
        <v>15.828099999999999</v>
      </c>
    </row>
    <row r="3508" spans="1:6">
      <c r="A3508" s="65" t="s">
        <v>6087</v>
      </c>
      <c r="B3508" s="66">
        <f t="shared" si="182"/>
        <v>42195</v>
      </c>
      <c r="C3508" s="67">
        <f t="shared" si="183"/>
        <v>2015</v>
      </c>
      <c r="D3508" s="68">
        <v>15.732900000000001</v>
      </c>
      <c r="E3508" s="68">
        <v>15.785600000000001</v>
      </c>
      <c r="F3508" s="68">
        <v>15.817399999999999</v>
      </c>
    </row>
    <row r="3509" spans="1:6">
      <c r="A3509" s="57" t="s">
        <v>6088</v>
      </c>
      <c r="B3509" s="58">
        <f t="shared" si="182"/>
        <v>42196</v>
      </c>
      <c r="C3509" s="59">
        <f t="shared" si="183"/>
        <v>2015</v>
      </c>
      <c r="D3509" s="60" t="s">
        <v>362</v>
      </c>
      <c r="E3509" s="60" t="s">
        <v>362</v>
      </c>
      <c r="F3509" s="61">
        <v>15.785600000000001</v>
      </c>
    </row>
    <row r="3510" spans="1:6">
      <c r="A3510" s="65" t="s">
        <v>6089</v>
      </c>
      <c r="B3510" s="66">
        <f t="shared" si="182"/>
        <v>42197</v>
      </c>
      <c r="C3510" s="67">
        <f t="shared" si="183"/>
        <v>2015</v>
      </c>
      <c r="D3510" s="70" t="s">
        <v>362</v>
      </c>
      <c r="E3510" s="70" t="s">
        <v>362</v>
      </c>
      <c r="F3510" s="68">
        <v>15.785600000000001</v>
      </c>
    </row>
    <row r="3511" spans="1:6">
      <c r="A3511" s="57" t="s">
        <v>6090</v>
      </c>
      <c r="B3511" s="58">
        <f t="shared" si="182"/>
        <v>42198</v>
      </c>
      <c r="C3511" s="59">
        <f t="shared" si="183"/>
        <v>2015</v>
      </c>
      <c r="D3511" s="61">
        <v>15.740399999999999</v>
      </c>
      <c r="E3511" s="61">
        <v>15.732900000000001</v>
      </c>
      <c r="F3511" s="61">
        <v>15.785600000000001</v>
      </c>
    </row>
    <row r="3512" spans="1:6">
      <c r="A3512" s="65" t="s">
        <v>6091</v>
      </c>
      <c r="B3512" s="66">
        <f t="shared" si="182"/>
        <v>42199</v>
      </c>
      <c r="C3512" s="67">
        <f t="shared" si="183"/>
        <v>2015</v>
      </c>
      <c r="D3512" s="68">
        <v>15.672800000000001</v>
      </c>
      <c r="E3512" s="68">
        <v>15.740399999999999</v>
      </c>
      <c r="F3512" s="68">
        <v>15.732900000000001</v>
      </c>
    </row>
    <row r="3513" spans="1:6">
      <c r="A3513" s="57" t="s">
        <v>6092</v>
      </c>
      <c r="B3513" s="58">
        <f t="shared" si="182"/>
        <v>42200</v>
      </c>
      <c r="C3513" s="59">
        <f t="shared" si="183"/>
        <v>2015</v>
      </c>
      <c r="D3513" s="61">
        <v>15.747</v>
      </c>
      <c r="E3513" s="61">
        <v>15.672800000000001</v>
      </c>
      <c r="F3513" s="61">
        <v>15.740399999999999</v>
      </c>
    </row>
    <row r="3514" spans="1:6">
      <c r="A3514" s="65" t="s">
        <v>6093</v>
      </c>
      <c r="B3514" s="66">
        <f t="shared" si="182"/>
        <v>42201</v>
      </c>
      <c r="C3514" s="67">
        <f t="shared" si="183"/>
        <v>2015</v>
      </c>
      <c r="D3514" s="68">
        <v>15.801399999999999</v>
      </c>
      <c r="E3514" s="68">
        <v>15.747</v>
      </c>
      <c r="F3514" s="68">
        <v>15.672800000000001</v>
      </c>
    </row>
    <row r="3515" spans="1:6">
      <c r="A3515" s="57" t="s">
        <v>6094</v>
      </c>
      <c r="B3515" s="58">
        <f t="shared" si="182"/>
        <v>42202</v>
      </c>
      <c r="C3515" s="59">
        <f t="shared" si="183"/>
        <v>2015</v>
      </c>
      <c r="D3515" s="61">
        <v>15.912100000000001</v>
      </c>
      <c r="E3515" s="61">
        <v>15.801399999999999</v>
      </c>
      <c r="F3515" s="61">
        <v>15.747</v>
      </c>
    </row>
    <row r="3516" spans="1:6">
      <c r="A3516" s="65" t="s">
        <v>6095</v>
      </c>
      <c r="B3516" s="66">
        <f t="shared" si="182"/>
        <v>42203</v>
      </c>
      <c r="C3516" s="67">
        <f t="shared" si="183"/>
        <v>2015</v>
      </c>
      <c r="D3516" s="70" t="s">
        <v>362</v>
      </c>
      <c r="E3516" s="70" t="s">
        <v>362</v>
      </c>
      <c r="F3516" s="68">
        <v>15.801399999999999</v>
      </c>
    </row>
    <row r="3517" spans="1:6">
      <c r="A3517" s="57" t="s">
        <v>6096</v>
      </c>
      <c r="B3517" s="58">
        <f t="shared" si="182"/>
        <v>42204</v>
      </c>
      <c r="C3517" s="59">
        <f t="shared" si="183"/>
        <v>2015</v>
      </c>
      <c r="D3517" s="60" t="s">
        <v>362</v>
      </c>
      <c r="E3517" s="60" t="s">
        <v>362</v>
      </c>
      <c r="F3517" s="61">
        <v>15.801399999999999</v>
      </c>
    </row>
    <row r="3518" spans="1:6">
      <c r="A3518" s="65" t="s">
        <v>6097</v>
      </c>
      <c r="B3518" s="66">
        <f t="shared" si="182"/>
        <v>42205</v>
      </c>
      <c r="C3518" s="67">
        <f t="shared" si="183"/>
        <v>2015</v>
      </c>
      <c r="D3518" s="68">
        <v>15.9856</v>
      </c>
      <c r="E3518" s="68">
        <v>15.912100000000001</v>
      </c>
      <c r="F3518" s="68">
        <v>15.801399999999999</v>
      </c>
    </row>
    <row r="3519" spans="1:6">
      <c r="A3519" s="57" t="s">
        <v>6098</v>
      </c>
      <c r="B3519" s="58">
        <f t="shared" si="182"/>
        <v>42206</v>
      </c>
      <c r="C3519" s="59">
        <f t="shared" si="183"/>
        <v>2015</v>
      </c>
      <c r="D3519" s="61">
        <v>15.972799999999999</v>
      </c>
      <c r="E3519" s="61">
        <v>15.9856</v>
      </c>
      <c r="F3519" s="61">
        <v>15.912100000000001</v>
      </c>
    </row>
    <row r="3520" spans="1:6">
      <c r="A3520" s="65" t="s">
        <v>6099</v>
      </c>
      <c r="B3520" s="66">
        <f t="shared" si="182"/>
        <v>42207</v>
      </c>
      <c r="C3520" s="67">
        <f t="shared" si="183"/>
        <v>2015</v>
      </c>
      <c r="D3520" s="68">
        <v>16.094999999999999</v>
      </c>
      <c r="E3520" s="68">
        <v>15.972799999999999</v>
      </c>
      <c r="F3520" s="68">
        <v>15.9856</v>
      </c>
    </row>
    <row r="3521" spans="1:6">
      <c r="A3521" s="57" t="s">
        <v>6100</v>
      </c>
      <c r="B3521" s="58">
        <f t="shared" si="182"/>
        <v>42208</v>
      </c>
      <c r="C3521" s="59">
        <f t="shared" si="183"/>
        <v>2015</v>
      </c>
      <c r="D3521" s="61">
        <v>16.098800000000001</v>
      </c>
      <c r="E3521" s="61">
        <v>16.094999999999999</v>
      </c>
      <c r="F3521" s="61">
        <v>15.972799999999999</v>
      </c>
    </row>
    <row r="3522" spans="1:6">
      <c r="A3522" s="65" t="s">
        <v>6101</v>
      </c>
      <c r="B3522" s="66">
        <f t="shared" si="182"/>
        <v>42209</v>
      </c>
      <c r="C3522" s="67">
        <f t="shared" si="183"/>
        <v>2015</v>
      </c>
      <c r="D3522" s="68">
        <v>16.2364</v>
      </c>
      <c r="E3522" s="68">
        <v>16.098800000000001</v>
      </c>
      <c r="F3522" s="68">
        <v>16.094999999999999</v>
      </c>
    </row>
    <row r="3523" spans="1:6">
      <c r="A3523" s="57" t="s">
        <v>6102</v>
      </c>
      <c r="B3523" s="58">
        <f t="shared" si="182"/>
        <v>42210</v>
      </c>
      <c r="C3523" s="59">
        <f t="shared" si="183"/>
        <v>2015</v>
      </c>
      <c r="D3523" s="60" t="s">
        <v>362</v>
      </c>
      <c r="E3523" s="60" t="s">
        <v>362</v>
      </c>
      <c r="F3523" s="61">
        <v>16.098800000000001</v>
      </c>
    </row>
    <row r="3524" spans="1:6">
      <c r="A3524" s="65" t="s">
        <v>6103</v>
      </c>
      <c r="B3524" s="66">
        <f t="shared" si="182"/>
        <v>42211</v>
      </c>
      <c r="C3524" s="67">
        <f t="shared" si="183"/>
        <v>2015</v>
      </c>
      <c r="D3524" s="70" t="s">
        <v>362</v>
      </c>
      <c r="E3524" s="70" t="s">
        <v>362</v>
      </c>
      <c r="F3524" s="68">
        <v>16.098800000000001</v>
      </c>
    </row>
    <row r="3525" spans="1:6">
      <c r="A3525" s="57" t="s">
        <v>6104</v>
      </c>
      <c r="B3525" s="58">
        <f t="shared" si="182"/>
        <v>42212</v>
      </c>
      <c r="C3525" s="59">
        <f t="shared" si="183"/>
        <v>2015</v>
      </c>
      <c r="D3525" s="61">
        <v>16.2681</v>
      </c>
      <c r="E3525" s="61">
        <v>16.2364</v>
      </c>
      <c r="F3525" s="61">
        <v>16.098800000000001</v>
      </c>
    </row>
    <row r="3526" spans="1:6">
      <c r="A3526" s="65" t="s">
        <v>6105</v>
      </c>
      <c r="B3526" s="66">
        <f t="shared" si="182"/>
        <v>42213</v>
      </c>
      <c r="C3526" s="67">
        <f t="shared" si="183"/>
        <v>2015</v>
      </c>
      <c r="D3526" s="68">
        <v>16.2638</v>
      </c>
      <c r="E3526" s="68">
        <v>16.2681</v>
      </c>
      <c r="F3526" s="68">
        <v>16.2364</v>
      </c>
    </row>
    <row r="3527" spans="1:6">
      <c r="A3527" s="57" t="s">
        <v>6106</v>
      </c>
      <c r="B3527" s="58">
        <f t="shared" si="182"/>
        <v>42214</v>
      </c>
      <c r="C3527" s="59">
        <f t="shared" si="183"/>
        <v>2015</v>
      </c>
      <c r="D3527" s="61">
        <v>16.213999999999999</v>
      </c>
      <c r="E3527" s="61">
        <v>16.2638</v>
      </c>
      <c r="F3527" s="61">
        <v>16.2681</v>
      </c>
    </row>
    <row r="3528" spans="1:6">
      <c r="A3528" s="65" t="s">
        <v>6107</v>
      </c>
      <c r="B3528" s="66">
        <f t="shared" si="182"/>
        <v>42215</v>
      </c>
      <c r="C3528" s="67">
        <f t="shared" si="183"/>
        <v>2015</v>
      </c>
      <c r="D3528" s="68">
        <v>16.4512</v>
      </c>
      <c r="E3528" s="68">
        <v>16.213999999999999</v>
      </c>
      <c r="F3528" s="68">
        <v>16.2638</v>
      </c>
    </row>
    <row r="3529" spans="1:6">
      <c r="A3529" s="57" t="s">
        <v>6108</v>
      </c>
      <c r="B3529" s="58">
        <f t="shared" si="182"/>
        <v>42216</v>
      </c>
      <c r="C3529" s="59">
        <f t="shared" si="183"/>
        <v>2015</v>
      </c>
      <c r="D3529" s="61">
        <v>16.077200000000001</v>
      </c>
      <c r="E3529" s="61">
        <v>16.4512</v>
      </c>
      <c r="F3529" s="61">
        <v>16.213999999999999</v>
      </c>
    </row>
    <row r="3530" spans="1:6">
      <c r="A3530" s="65" t="s">
        <v>6109</v>
      </c>
      <c r="B3530" s="66">
        <f t="shared" si="182"/>
        <v>42217</v>
      </c>
      <c r="C3530" s="67">
        <f t="shared" si="183"/>
        <v>2015</v>
      </c>
      <c r="D3530" s="70" t="s">
        <v>362</v>
      </c>
      <c r="E3530" s="70" t="s">
        <v>362</v>
      </c>
      <c r="F3530" s="68">
        <v>16.4512</v>
      </c>
    </row>
    <row r="3531" spans="1:6">
      <c r="A3531" s="57" t="s">
        <v>6110</v>
      </c>
      <c r="B3531" s="58">
        <f t="shared" si="182"/>
        <v>42218</v>
      </c>
      <c r="C3531" s="59">
        <f t="shared" si="183"/>
        <v>2015</v>
      </c>
      <c r="D3531" s="60" t="s">
        <v>362</v>
      </c>
      <c r="E3531" s="60" t="s">
        <v>362</v>
      </c>
      <c r="F3531" s="61">
        <v>16.4512</v>
      </c>
    </row>
    <row r="3532" spans="1:6">
      <c r="A3532" s="65" t="s">
        <v>6111</v>
      </c>
      <c r="B3532" s="66">
        <f t="shared" si="182"/>
        <v>42219</v>
      </c>
      <c r="C3532" s="67">
        <f t="shared" si="183"/>
        <v>2015</v>
      </c>
      <c r="D3532" s="68">
        <v>16.1129</v>
      </c>
      <c r="E3532" s="68">
        <v>16.077200000000001</v>
      </c>
      <c r="F3532" s="68">
        <v>16.4512</v>
      </c>
    </row>
    <row r="3533" spans="1:6">
      <c r="A3533" s="57" t="s">
        <v>6112</v>
      </c>
      <c r="B3533" s="58">
        <f t="shared" si="182"/>
        <v>42220</v>
      </c>
      <c r="C3533" s="59">
        <f t="shared" si="183"/>
        <v>2015</v>
      </c>
      <c r="D3533" s="61">
        <v>16.1736</v>
      </c>
      <c r="E3533" s="61">
        <v>16.1129</v>
      </c>
      <c r="F3533" s="61">
        <v>16.077200000000001</v>
      </c>
    </row>
    <row r="3534" spans="1:6">
      <c r="A3534" s="65" t="s">
        <v>6113</v>
      </c>
      <c r="B3534" s="66">
        <f t="shared" si="182"/>
        <v>42221</v>
      </c>
      <c r="C3534" s="67">
        <f t="shared" si="183"/>
        <v>2015</v>
      </c>
      <c r="D3534" s="68">
        <v>16.376200000000001</v>
      </c>
      <c r="E3534" s="68">
        <v>16.1736</v>
      </c>
      <c r="F3534" s="68">
        <v>16.1129</v>
      </c>
    </row>
    <row r="3535" spans="1:6">
      <c r="A3535" s="57" t="s">
        <v>6114</v>
      </c>
      <c r="B3535" s="58">
        <f t="shared" si="182"/>
        <v>42222</v>
      </c>
      <c r="C3535" s="59">
        <f t="shared" si="183"/>
        <v>2015</v>
      </c>
      <c r="D3535" s="61">
        <v>16.353300000000001</v>
      </c>
      <c r="E3535" s="61">
        <v>16.376200000000001</v>
      </c>
      <c r="F3535" s="61">
        <v>16.1736</v>
      </c>
    </row>
    <row r="3536" spans="1:6">
      <c r="A3536" s="65" t="s">
        <v>6115</v>
      </c>
      <c r="B3536" s="66">
        <f t="shared" si="182"/>
        <v>42223</v>
      </c>
      <c r="C3536" s="67">
        <f t="shared" si="183"/>
        <v>2015</v>
      </c>
      <c r="D3536" s="68">
        <v>16.1645</v>
      </c>
      <c r="E3536" s="68">
        <v>16.353300000000001</v>
      </c>
      <c r="F3536" s="68">
        <v>16.376200000000001</v>
      </c>
    </row>
    <row r="3537" spans="1:6">
      <c r="A3537" s="57" t="s">
        <v>6116</v>
      </c>
      <c r="B3537" s="58">
        <f t="shared" si="182"/>
        <v>42224</v>
      </c>
      <c r="C3537" s="59">
        <f t="shared" si="183"/>
        <v>2015</v>
      </c>
      <c r="D3537" s="60" t="s">
        <v>362</v>
      </c>
      <c r="E3537" s="60" t="s">
        <v>362</v>
      </c>
      <c r="F3537" s="61">
        <v>16.353300000000001</v>
      </c>
    </row>
    <row r="3538" spans="1:6">
      <c r="A3538" s="65" t="s">
        <v>6117</v>
      </c>
      <c r="B3538" s="66">
        <f t="shared" si="182"/>
        <v>42225</v>
      </c>
      <c r="C3538" s="67">
        <f t="shared" si="183"/>
        <v>2015</v>
      </c>
      <c r="D3538" s="70" t="s">
        <v>362</v>
      </c>
      <c r="E3538" s="70" t="s">
        <v>362</v>
      </c>
      <c r="F3538" s="68">
        <v>16.353300000000001</v>
      </c>
    </row>
    <row r="3539" spans="1:6">
      <c r="A3539" s="57" t="s">
        <v>6118</v>
      </c>
      <c r="B3539" s="58">
        <f t="shared" si="182"/>
        <v>42226</v>
      </c>
      <c r="C3539" s="59">
        <f t="shared" si="183"/>
        <v>2015</v>
      </c>
      <c r="D3539" s="61">
        <v>16.165199999999999</v>
      </c>
      <c r="E3539" s="61">
        <v>16.1645</v>
      </c>
      <c r="F3539" s="61">
        <v>16.353300000000001</v>
      </c>
    </row>
    <row r="3540" spans="1:6">
      <c r="A3540" s="65" t="s">
        <v>6119</v>
      </c>
      <c r="B3540" s="66">
        <f t="shared" si="182"/>
        <v>42227</v>
      </c>
      <c r="C3540" s="67">
        <f t="shared" si="183"/>
        <v>2015</v>
      </c>
      <c r="D3540" s="68">
        <v>16.324100000000001</v>
      </c>
      <c r="E3540" s="68">
        <v>16.165199999999999</v>
      </c>
      <c r="F3540" s="68">
        <v>16.1645</v>
      </c>
    </row>
    <row r="3541" spans="1:6">
      <c r="A3541" s="57" t="s">
        <v>6120</v>
      </c>
      <c r="B3541" s="58">
        <f t="shared" si="182"/>
        <v>42228</v>
      </c>
      <c r="C3541" s="59">
        <f t="shared" si="183"/>
        <v>2015</v>
      </c>
      <c r="D3541" s="61">
        <v>16.297599999999999</v>
      </c>
      <c r="E3541" s="61">
        <v>16.324100000000001</v>
      </c>
      <c r="F3541" s="61">
        <v>16.165199999999999</v>
      </c>
    </row>
    <row r="3542" spans="1:6">
      <c r="A3542" s="65" t="s">
        <v>6121</v>
      </c>
      <c r="B3542" s="66">
        <f t="shared" si="182"/>
        <v>42229</v>
      </c>
      <c r="C3542" s="67">
        <f t="shared" si="183"/>
        <v>2015</v>
      </c>
      <c r="D3542" s="68">
        <v>16.354099999999999</v>
      </c>
      <c r="E3542" s="68">
        <v>16.297599999999999</v>
      </c>
      <c r="F3542" s="68">
        <v>16.324100000000001</v>
      </c>
    </row>
    <row r="3543" spans="1:6">
      <c r="A3543" s="57" t="s">
        <v>6122</v>
      </c>
      <c r="B3543" s="58">
        <f t="shared" si="182"/>
        <v>42230</v>
      </c>
      <c r="C3543" s="59">
        <f t="shared" si="183"/>
        <v>2015</v>
      </c>
      <c r="D3543" s="61">
        <v>16.3658</v>
      </c>
      <c r="E3543" s="61">
        <v>16.354099999999999</v>
      </c>
      <c r="F3543" s="61">
        <v>16.297599999999999</v>
      </c>
    </row>
    <row r="3544" spans="1:6">
      <c r="A3544" s="65" t="s">
        <v>6123</v>
      </c>
      <c r="B3544" s="66">
        <f t="shared" si="182"/>
        <v>42231</v>
      </c>
      <c r="C3544" s="67">
        <f t="shared" si="183"/>
        <v>2015</v>
      </c>
      <c r="D3544" s="70" t="s">
        <v>362</v>
      </c>
      <c r="E3544" s="70" t="s">
        <v>362</v>
      </c>
      <c r="F3544" s="68">
        <v>16.354099999999999</v>
      </c>
    </row>
    <row r="3545" spans="1:6">
      <c r="A3545" s="57" t="s">
        <v>6124</v>
      </c>
      <c r="B3545" s="58">
        <f t="shared" si="182"/>
        <v>42232</v>
      </c>
      <c r="C3545" s="59">
        <f t="shared" si="183"/>
        <v>2015</v>
      </c>
      <c r="D3545" s="60" t="s">
        <v>362</v>
      </c>
      <c r="E3545" s="60" t="s">
        <v>362</v>
      </c>
      <c r="F3545" s="61">
        <v>16.354099999999999</v>
      </c>
    </row>
    <row r="3546" spans="1:6">
      <c r="A3546" s="65" t="s">
        <v>6125</v>
      </c>
      <c r="B3546" s="66">
        <f t="shared" si="182"/>
        <v>42233</v>
      </c>
      <c r="C3546" s="67">
        <f t="shared" si="183"/>
        <v>2015</v>
      </c>
      <c r="D3546" s="68">
        <v>16.3993</v>
      </c>
      <c r="E3546" s="68">
        <v>16.3658</v>
      </c>
      <c r="F3546" s="68">
        <v>16.354099999999999</v>
      </c>
    </row>
    <row r="3547" spans="1:6">
      <c r="A3547" s="57" t="s">
        <v>6126</v>
      </c>
      <c r="B3547" s="58">
        <f t="shared" si="182"/>
        <v>42234</v>
      </c>
      <c r="C3547" s="59">
        <f t="shared" si="183"/>
        <v>2015</v>
      </c>
      <c r="D3547" s="61">
        <v>16.431699999999999</v>
      </c>
      <c r="E3547" s="61">
        <v>16.3993</v>
      </c>
      <c r="F3547" s="61">
        <v>16.3658</v>
      </c>
    </row>
    <row r="3548" spans="1:6">
      <c r="A3548" s="65" t="s">
        <v>6127</v>
      </c>
      <c r="B3548" s="66">
        <f t="shared" si="182"/>
        <v>42235</v>
      </c>
      <c r="C3548" s="67">
        <f t="shared" si="183"/>
        <v>2015</v>
      </c>
      <c r="D3548" s="68">
        <v>16.4908</v>
      </c>
      <c r="E3548" s="68">
        <v>16.431699999999999</v>
      </c>
      <c r="F3548" s="68">
        <v>16.3993</v>
      </c>
    </row>
    <row r="3549" spans="1:6">
      <c r="A3549" s="57" t="s">
        <v>6128</v>
      </c>
      <c r="B3549" s="58">
        <f t="shared" si="182"/>
        <v>42236</v>
      </c>
      <c r="C3549" s="59">
        <f t="shared" si="183"/>
        <v>2015</v>
      </c>
      <c r="D3549" s="61">
        <v>16.7182</v>
      </c>
      <c r="E3549" s="61">
        <v>16.4908</v>
      </c>
      <c r="F3549" s="61">
        <v>16.431699999999999</v>
      </c>
    </row>
    <row r="3550" spans="1:6">
      <c r="A3550" s="65" t="s">
        <v>6129</v>
      </c>
      <c r="B3550" s="66">
        <f t="shared" si="182"/>
        <v>42237</v>
      </c>
      <c r="C3550" s="67">
        <f t="shared" si="183"/>
        <v>2015</v>
      </c>
      <c r="D3550" s="68">
        <v>16.917100000000001</v>
      </c>
      <c r="E3550" s="68">
        <v>16.7182</v>
      </c>
      <c r="F3550" s="68">
        <v>16.4908</v>
      </c>
    </row>
    <row r="3551" spans="1:6">
      <c r="A3551" s="57" t="s">
        <v>6130</v>
      </c>
      <c r="B3551" s="58">
        <f t="shared" ref="B3551:B3614" si="184">DATE(RIGHT(A3551,4),LEFT(RIGHT(A3551,7),2),LEFT(A3551,2))</f>
        <v>42238</v>
      </c>
      <c r="C3551" s="59">
        <f t="shared" ref="C3551:C3614" si="185">YEAR(B3551)</f>
        <v>2015</v>
      </c>
      <c r="D3551" s="60" t="s">
        <v>362</v>
      </c>
      <c r="E3551" s="60" t="s">
        <v>362</v>
      </c>
      <c r="F3551" s="61">
        <v>16.7182</v>
      </c>
    </row>
    <row r="3552" spans="1:6">
      <c r="A3552" s="65" t="s">
        <v>6131</v>
      </c>
      <c r="B3552" s="66">
        <f t="shared" si="184"/>
        <v>42239</v>
      </c>
      <c r="C3552" s="67">
        <f t="shared" si="185"/>
        <v>2015</v>
      </c>
      <c r="D3552" s="70" t="s">
        <v>362</v>
      </c>
      <c r="E3552" s="70" t="s">
        <v>362</v>
      </c>
      <c r="F3552" s="68">
        <v>16.7182</v>
      </c>
    </row>
    <row r="3553" spans="1:6">
      <c r="A3553" s="57" t="s">
        <v>6132</v>
      </c>
      <c r="B3553" s="58">
        <f t="shared" si="184"/>
        <v>42240</v>
      </c>
      <c r="C3553" s="59">
        <f t="shared" si="185"/>
        <v>2015</v>
      </c>
      <c r="D3553" s="61">
        <v>17.0975</v>
      </c>
      <c r="E3553" s="61">
        <v>16.917100000000001</v>
      </c>
      <c r="F3553" s="61">
        <v>16.7182</v>
      </c>
    </row>
    <row r="3554" spans="1:6">
      <c r="A3554" s="65" t="s">
        <v>6133</v>
      </c>
      <c r="B3554" s="66">
        <f t="shared" si="184"/>
        <v>42241</v>
      </c>
      <c r="C3554" s="67">
        <f t="shared" si="185"/>
        <v>2015</v>
      </c>
      <c r="D3554" s="68">
        <v>16.985900000000001</v>
      </c>
      <c r="E3554" s="68">
        <v>17.0975</v>
      </c>
      <c r="F3554" s="68">
        <v>16.917100000000001</v>
      </c>
    </row>
    <row r="3555" spans="1:6">
      <c r="A3555" s="57" t="s">
        <v>6134</v>
      </c>
      <c r="B3555" s="58">
        <f t="shared" si="184"/>
        <v>42242</v>
      </c>
      <c r="C3555" s="59">
        <f t="shared" si="185"/>
        <v>2015</v>
      </c>
      <c r="D3555" s="61">
        <v>17.1065</v>
      </c>
      <c r="E3555" s="61">
        <v>16.985900000000001</v>
      </c>
      <c r="F3555" s="61">
        <v>17.0975</v>
      </c>
    </row>
    <row r="3556" spans="1:6">
      <c r="A3556" s="65" t="s">
        <v>6135</v>
      </c>
      <c r="B3556" s="66">
        <f t="shared" si="184"/>
        <v>42243</v>
      </c>
      <c r="C3556" s="67">
        <f t="shared" si="185"/>
        <v>2015</v>
      </c>
      <c r="D3556" s="68">
        <v>16.886299999999999</v>
      </c>
      <c r="E3556" s="68">
        <v>17.1065</v>
      </c>
      <c r="F3556" s="68">
        <v>16.985900000000001</v>
      </c>
    </row>
    <row r="3557" spans="1:6">
      <c r="A3557" s="57" t="s">
        <v>6136</v>
      </c>
      <c r="B3557" s="58">
        <f t="shared" si="184"/>
        <v>42244</v>
      </c>
      <c r="C3557" s="59">
        <f t="shared" si="185"/>
        <v>2015</v>
      </c>
      <c r="D3557" s="61">
        <v>16.7684</v>
      </c>
      <c r="E3557" s="61">
        <v>16.886299999999999</v>
      </c>
      <c r="F3557" s="61">
        <v>17.1065</v>
      </c>
    </row>
    <row r="3558" spans="1:6">
      <c r="A3558" s="65" t="s">
        <v>6137</v>
      </c>
      <c r="B3558" s="66">
        <f t="shared" si="184"/>
        <v>42245</v>
      </c>
      <c r="C3558" s="67">
        <f t="shared" si="185"/>
        <v>2015</v>
      </c>
      <c r="D3558" s="70" t="s">
        <v>362</v>
      </c>
      <c r="E3558" s="70" t="s">
        <v>362</v>
      </c>
      <c r="F3558" s="68">
        <v>16.886299999999999</v>
      </c>
    </row>
    <row r="3559" spans="1:6">
      <c r="A3559" s="57" t="s">
        <v>6138</v>
      </c>
      <c r="B3559" s="58">
        <f t="shared" si="184"/>
        <v>42246</v>
      </c>
      <c r="C3559" s="59">
        <f t="shared" si="185"/>
        <v>2015</v>
      </c>
      <c r="D3559" s="60" t="s">
        <v>362</v>
      </c>
      <c r="E3559" s="60" t="s">
        <v>362</v>
      </c>
      <c r="F3559" s="61">
        <v>16.886299999999999</v>
      </c>
    </row>
    <row r="3560" spans="1:6">
      <c r="A3560" s="65" t="s">
        <v>6139</v>
      </c>
      <c r="B3560" s="66">
        <f t="shared" si="184"/>
        <v>42247</v>
      </c>
      <c r="C3560" s="67">
        <f t="shared" si="185"/>
        <v>2015</v>
      </c>
      <c r="D3560" s="68">
        <v>16.782900000000001</v>
      </c>
      <c r="E3560" s="68">
        <v>16.7684</v>
      </c>
      <c r="F3560" s="68">
        <v>16.886299999999999</v>
      </c>
    </row>
    <row r="3561" spans="1:6">
      <c r="A3561" s="57" t="s">
        <v>6140</v>
      </c>
      <c r="B3561" s="58">
        <f t="shared" si="184"/>
        <v>42248</v>
      </c>
      <c r="C3561" s="59">
        <f t="shared" si="185"/>
        <v>2015</v>
      </c>
      <c r="D3561" s="61">
        <v>16.869199999999999</v>
      </c>
      <c r="E3561" s="61">
        <v>16.782900000000001</v>
      </c>
      <c r="F3561" s="61">
        <v>16.7684</v>
      </c>
    </row>
    <row r="3562" spans="1:6">
      <c r="A3562" s="65" t="s">
        <v>6141</v>
      </c>
      <c r="B3562" s="66">
        <f t="shared" si="184"/>
        <v>42249</v>
      </c>
      <c r="C3562" s="67">
        <f t="shared" si="185"/>
        <v>2015</v>
      </c>
      <c r="D3562" s="68">
        <v>16.944400000000002</v>
      </c>
      <c r="E3562" s="68">
        <v>16.869199999999999</v>
      </c>
      <c r="F3562" s="68">
        <v>16.782900000000001</v>
      </c>
    </row>
    <row r="3563" spans="1:6">
      <c r="A3563" s="57" t="s">
        <v>6142</v>
      </c>
      <c r="B3563" s="58">
        <f t="shared" si="184"/>
        <v>42250</v>
      </c>
      <c r="C3563" s="59">
        <f t="shared" si="185"/>
        <v>2015</v>
      </c>
      <c r="D3563" s="61">
        <v>16.791799999999999</v>
      </c>
      <c r="E3563" s="61">
        <v>16.944400000000002</v>
      </c>
      <c r="F3563" s="61">
        <v>16.869199999999999</v>
      </c>
    </row>
    <row r="3564" spans="1:6">
      <c r="A3564" s="65" t="s">
        <v>6143</v>
      </c>
      <c r="B3564" s="66">
        <f t="shared" si="184"/>
        <v>42251</v>
      </c>
      <c r="C3564" s="67">
        <f t="shared" si="185"/>
        <v>2015</v>
      </c>
      <c r="D3564" s="68">
        <v>16.845400000000001</v>
      </c>
      <c r="E3564" s="68">
        <v>16.791799999999999</v>
      </c>
      <c r="F3564" s="68">
        <v>16.944400000000002</v>
      </c>
    </row>
    <row r="3565" spans="1:6">
      <c r="A3565" s="57" t="s">
        <v>6144</v>
      </c>
      <c r="B3565" s="58">
        <f t="shared" si="184"/>
        <v>42252</v>
      </c>
      <c r="C3565" s="59">
        <f t="shared" si="185"/>
        <v>2015</v>
      </c>
      <c r="D3565" s="60" t="s">
        <v>362</v>
      </c>
      <c r="E3565" s="60" t="s">
        <v>362</v>
      </c>
      <c r="F3565" s="61">
        <v>16.791799999999999</v>
      </c>
    </row>
    <row r="3566" spans="1:6">
      <c r="A3566" s="65" t="s">
        <v>6145</v>
      </c>
      <c r="B3566" s="66">
        <f t="shared" si="184"/>
        <v>42253</v>
      </c>
      <c r="C3566" s="67">
        <f t="shared" si="185"/>
        <v>2015</v>
      </c>
      <c r="D3566" s="70" t="s">
        <v>362</v>
      </c>
      <c r="E3566" s="70" t="s">
        <v>362</v>
      </c>
      <c r="F3566" s="68">
        <v>16.791799999999999</v>
      </c>
    </row>
    <row r="3567" spans="1:6">
      <c r="A3567" s="57" t="s">
        <v>6146</v>
      </c>
      <c r="B3567" s="58">
        <f t="shared" si="184"/>
        <v>42254</v>
      </c>
      <c r="C3567" s="59">
        <f t="shared" si="185"/>
        <v>2015</v>
      </c>
      <c r="D3567" s="61">
        <v>16.988</v>
      </c>
      <c r="E3567" s="61">
        <v>16.845400000000001</v>
      </c>
      <c r="F3567" s="61">
        <v>16.791799999999999</v>
      </c>
    </row>
    <row r="3568" spans="1:6">
      <c r="A3568" s="65" t="s">
        <v>6147</v>
      </c>
      <c r="B3568" s="66">
        <f t="shared" si="184"/>
        <v>42255</v>
      </c>
      <c r="C3568" s="67">
        <f t="shared" si="185"/>
        <v>2015</v>
      </c>
      <c r="D3568" s="68">
        <v>16.797899999999998</v>
      </c>
      <c r="E3568" s="68">
        <v>16.988</v>
      </c>
      <c r="F3568" s="68">
        <v>16.845400000000001</v>
      </c>
    </row>
    <row r="3569" spans="1:6">
      <c r="A3569" s="57" t="s">
        <v>6148</v>
      </c>
      <c r="B3569" s="58">
        <f t="shared" si="184"/>
        <v>42256</v>
      </c>
      <c r="C3569" s="59">
        <f t="shared" si="185"/>
        <v>2015</v>
      </c>
      <c r="D3569" s="61">
        <v>16.7773</v>
      </c>
      <c r="E3569" s="61">
        <v>16.797899999999998</v>
      </c>
      <c r="F3569" s="61">
        <v>16.988</v>
      </c>
    </row>
    <row r="3570" spans="1:6">
      <c r="A3570" s="65" t="s">
        <v>6149</v>
      </c>
      <c r="B3570" s="66">
        <f t="shared" si="184"/>
        <v>42257</v>
      </c>
      <c r="C3570" s="67">
        <f t="shared" si="185"/>
        <v>2015</v>
      </c>
      <c r="D3570" s="68">
        <v>16.810300000000002</v>
      </c>
      <c r="E3570" s="68">
        <v>16.7773</v>
      </c>
      <c r="F3570" s="68">
        <v>16.797899999999998</v>
      </c>
    </row>
    <row r="3571" spans="1:6">
      <c r="A3571" s="57" t="s">
        <v>6150</v>
      </c>
      <c r="B3571" s="58">
        <f t="shared" si="184"/>
        <v>42258</v>
      </c>
      <c r="C3571" s="59">
        <f t="shared" si="185"/>
        <v>2015</v>
      </c>
      <c r="D3571" s="61">
        <v>16.8261</v>
      </c>
      <c r="E3571" s="61">
        <v>16.810300000000002</v>
      </c>
      <c r="F3571" s="61">
        <v>16.7773</v>
      </c>
    </row>
    <row r="3572" spans="1:6">
      <c r="A3572" s="65" t="s">
        <v>6151</v>
      </c>
      <c r="B3572" s="66">
        <f t="shared" si="184"/>
        <v>42259</v>
      </c>
      <c r="C3572" s="67">
        <f t="shared" si="185"/>
        <v>2015</v>
      </c>
      <c r="D3572" s="70" t="s">
        <v>362</v>
      </c>
      <c r="E3572" s="70" t="s">
        <v>362</v>
      </c>
      <c r="F3572" s="68">
        <v>16.810300000000002</v>
      </c>
    </row>
    <row r="3573" spans="1:6">
      <c r="A3573" s="57" t="s">
        <v>6152</v>
      </c>
      <c r="B3573" s="58">
        <f t="shared" si="184"/>
        <v>42260</v>
      </c>
      <c r="C3573" s="59">
        <f t="shared" si="185"/>
        <v>2015</v>
      </c>
      <c r="D3573" s="60" t="s">
        <v>362</v>
      </c>
      <c r="E3573" s="60" t="s">
        <v>362</v>
      </c>
      <c r="F3573" s="61">
        <v>16.810300000000002</v>
      </c>
    </row>
    <row r="3574" spans="1:6">
      <c r="A3574" s="65" t="s">
        <v>6153</v>
      </c>
      <c r="B3574" s="66">
        <f t="shared" si="184"/>
        <v>42261</v>
      </c>
      <c r="C3574" s="67">
        <f t="shared" si="185"/>
        <v>2015</v>
      </c>
      <c r="D3574" s="68">
        <v>16.816800000000001</v>
      </c>
      <c r="E3574" s="68">
        <v>16.8261</v>
      </c>
      <c r="F3574" s="68">
        <v>16.810300000000002</v>
      </c>
    </row>
    <row r="3575" spans="1:6">
      <c r="A3575" s="57" t="s">
        <v>6154</v>
      </c>
      <c r="B3575" s="58">
        <f t="shared" si="184"/>
        <v>42262</v>
      </c>
      <c r="C3575" s="59">
        <f t="shared" si="185"/>
        <v>2015</v>
      </c>
      <c r="D3575" s="61">
        <v>16.771599999999999</v>
      </c>
      <c r="E3575" s="61">
        <v>16.816800000000001</v>
      </c>
      <c r="F3575" s="61">
        <v>16.8261</v>
      </c>
    </row>
    <row r="3576" spans="1:6">
      <c r="A3576" s="65" t="s">
        <v>6155</v>
      </c>
      <c r="B3576" s="66">
        <f t="shared" si="184"/>
        <v>42263</v>
      </c>
      <c r="C3576" s="67">
        <f t="shared" si="185"/>
        <v>2015</v>
      </c>
      <c r="D3576" s="70" t="s">
        <v>362</v>
      </c>
      <c r="E3576" s="70" t="s">
        <v>362</v>
      </c>
      <c r="F3576" s="68">
        <v>16.816800000000001</v>
      </c>
    </row>
    <row r="3577" spans="1:6">
      <c r="A3577" s="57" t="s">
        <v>6156</v>
      </c>
      <c r="B3577" s="58">
        <f t="shared" si="184"/>
        <v>42264</v>
      </c>
      <c r="C3577" s="59">
        <f t="shared" si="185"/>
        <v>2015</v>
      </c>
      <c r="D3577" s="61">
        <v>16.568000000000001</v>
      </c>
      <c r="E3577" s="61">
        <v>16.771599999999999</v>
      </c>
      <c r="F3577" s="61">
        <v>16.816800000000001</v>
      </c>
    </row>
    <row r="3578" spans="1:6">
      <c r="A3578" s="65" t="s">
        <v>6157</v>
      </c>
      <c r="B3578" s="66">
        <f t="shared" si="184"/>
        <v>42265</v>
      </c>
      <c r="C3578" s="67">
        <f t="shared" si="185"/>
        <v>2015</v>
      </c>
      <c r="D3578" s="68">
        <v>16.539000000000001</v>
      </c>
      <c r="E3578" s="68">
        <v>16.568000000000001</v>
      </c>
      <c r="F3578" s="68">
        <v>16.771599999999999</v>
      </c>
    </row>
    <row r="3579" spans="1:6">
      <c r="A3579" s="57" t="s">
        <v>6158</v>
      </c>
      <c r="B3579" s="58">
        <f t="shared" si="184"/>
        <v>42266</v>
      </c>
      <c r="C3579" s="59">
        <f t="shared" si="185"/>
        <v>2015</v>
      </c>
      <c r="D3579" s="60" t="s">
        <v>362</v>
      </c>
      <c r="E3579" s="60" t="s">
        <v>362</v>
      </c>
      <c r="F3579" s="61">
        <v>16.568000000000001</v>
      </c>
    </row>
    <row r="3580" spans="1:6">
      <c r="A3580" s="65" t="s">
        <v>6159</v>
      </c>
      <c r="B3580" s="66">
        <f t="shared" si="184"/>
        <v>42267</v>
      </c>
      <c r="C3580" s="67">
        <f t="shared" si="185"/>
        <v>2015</v>
      </c>
      <c r="D3580" s="70" t="s">
        <v>362</v>
      </c>
      <c r="E3580" s="70" t="s">
        <v>362</v>
      </c>
      <c r="F3580" s="68">
        <v>16.568000000000001</v>
      </c>
    </row>
    <row r="3581" spans="1:6">
      <c r="A3581" s="57" t="s">
        <v>6160</v>
      </c>
      <c r="B3581" s="58">
        <f t="shared" si="184"/>
        <v>42268</v>
      </c>
      <c r="C3581" s="59">
        <f t="shared" si="185"/>
        <v>2015</v>
      </c>
      <c r="D3581" s="61">
        <v>16.686499999999999</v>
      </c>
      <c r="E3581" s="61">
        <v>16.539000000000001</v>
      </c>
      <c r="F3581" s="61">
        <v>16.568000000000001</v>
      </c>
    </row>
    <row r="3582" spans="1:6">
      <c r="A3582" s="65" t="s">
        <v>6161</v>
      </c>
      <c r="B3582" s="66">
        <f t="shared" si="184"/>
        <v>42269</v>
      </c>
      <c r="C3582" s="67">
        <f t="shared" si="185"/>
        <v>2015</v>
      </c>
      <c r="D3582" s="68">
        <v>16.871300000000002</v>
      </c>
      <c r="E3582" s="68">
        <v>16.686499999999999</v>
      </c>
      <c r="F3582" s="68">
        <v>16.539000000000001</v>
      </c>
    </row>
    <row r="3583" spans="1:6">
      <c r="A3583" s="57" t="s">
        <v>6162</v>
      </c>
      <c r="B3583" s="58">
        <f t="shared" si="184"/>
        <v>42270</v>
      </c>
      <c r="C3583" s="59">
        <f t="shared" si="185"/>
        <v>2015</v>
      </c>
      <c r="D3583" s="61">
        <v>17.045300000000001</v>
      </c>
      <c r="E3583" s="61">
        <v>16.871300000000002</v>
      </c>
      <c r="F3583" s="61">
        <v>16.686499999999999</v>
      </c>
    </row>
    <row r="3584" spans="1:6">
      <c r="A3584" s="65" t="s">
        <v>6163</v>
      </c>
      <c r="B3584" s="66">
        <f t="shared" si="184"/>
        <v>42271</v>
      </c>
      <c r="C3584" s="67">
        <f t="shared" si="185"/>
        <v>2015</v>
      </c>
      <c r="D3584" s="68">
        <v>17.114899999999999</v>
      </c>
      <c r="E3584" s="68">
        <v>17.045300000000001</v>
      </c>
      <c r="F3584" s="68">
        <v>16.871300000000002</v>
      </c>
    </row>
    <row r="3585" spans="1:6">
      <c r="A3585" s="57" t="s">
        <v>6164</v>
      </c>
      <c r="B3585" s="58">
        <f t="shared" si="184"/>
        <v>42272</v>
      </c>
      <c r="C3585" s="59">
        <f t="shared" si="185"/>
        <v>2015</v>
      </c>
      <c r="D3585" s="61">
        <v>16.959499999999998</v>
      </c>
      <c r="E3585" s="61">
        <v>17.114899999999999</v>
      </c>
      <c r="F3585" s="61">
        <v>17.045300000000001</v>
      </c>
    </row>
    <row r="3586" spans="1:6">
      <c r="A3586" s="65" t="s">
        <v>6165</v>
      </c>
      <c r="B3586" s="66">
        <f t="shared" si="184"/>
        <v>42273</v>
      </c>
      <c r="C3586" s="67">
        <f t="shared" si="185"/>
        <v>2015</v>
      </c>
      <c r="D3586" s="70" t="s">
        <v>362</v>
      </c>
      <c r="E3586" s="70" t="s">
        <v>362</v>
      </c>
      <c r="F3586" s="68">
        <v>17.114899999999999</v>
      </c>
    </row>
    <row r="3587" spans="1:6">
      <c r="A3587" s="57" t="s">
        <v>6166</v>
      </c>
      <c r="B3587" s="58">
        <f t="shared" si="184"/>
        <v>42274</v>
      </c>
      <c r="C3587" s="59">
        <f t="shared" si="185"/>
        <v>2015</v>
      </c>
      <c r="D3587" s="60" t="s">
        <v>362</v>
      </c>
      <c r="E3587" s="60" t="s">
        <v>362</v>
      </c>
      <c r="F3587" s="61">
        <v>17.114899999999999</v>
      </c>
    </row>
    <row r="3588" spans="1:6">
      <c r="A3588" s="65" t="s">
        <v>6167</v>
      </c>
      <c r="B3588" s="66">
        <f t="shared" si="184"/>
        <v>42275</v>
      </c>
      <c r="C3588" s="67">
        <f t="shared" si="185"/>
        <v>2015</v>
      </c>
      <c r="D3588" s="68">
        <v>17.007300000000001</v>
      </c>
      <c r="E3588" s="68">
        <v>16.959499999999998</v>
      </c>
      <c r="F3588" s="68">
        <v>17.114899999999999</v>
      </c>
    </row>
    <row r="3589" spans="1:6">
      <c r="A3589" s="57" t="s">
        <v>6168</v>
      </c>
      <c r="B3589" s="58">
        <f t="shared" si="184"/>
        <v>42276</v>
      </c>
      <c r="C3589" s="59">
        <f t="shared" si="185"/>
        <v>2015</v>
      </c>
      <c r="D3589" s="61">
        <v>17.077100000000002</v>
      </c>
      <c r="E3589" s="61">
        <v>17.007300000000001</v>
      </c>
      <c r="F3589" s="61">
        <v>16.959499999999998</v>
      </c>
    </row>
    <row r="3590" spans="1:6">
      <c r="A3590" s="65" t="s">
        <v>6169</v>
      </c>
      <c r="B3590" s="66">
        <f t="shared" si="184"/>
        <v>42277</v>
      </c>
      <c r="C3590" s="67">
        <f t="shared" si="185"/>
        <v>2015</v>
      </c>
      <c r="D3590" s="68">
        <v>16.9053</v>
      </c>
      <c r="E3590" s="68">
        <v>17.077100000000002</v>
      </c>
      <c r="F3590" s="68">
        <v>17.007300000000001</v>
      </c>
    </row>
    <row r="3591" spans="1:6">
      <c r="A3591" s="57" t="s">
        <v>6170</v>
      </c>
      <c r="B3591" s="58">
        <f t="shared" si="184"/>
        <v>42278</v>
      </c>
      <c r="C3591" s="59">
        <f t="shared" si="185"/>
        <v>2015</v>
      </c>
      <c r="D3591" s="61">
        <v>16.8566</v>
      </c>
      <c r="E3591" s="61">
        <v>16.9053</v>
      </c>
      <c r="F3591" s="61">
        <v>17.077100000000002</v>
      </c>
    </row>
    <row r="3592" spans="1:6">
      <c r="A3592" s="65" t="s">
        <v>6171</v>
      </c>
      <c r="B3592" s="66">
        <f t="shared" si="184"/>
        <v>42279</v>
      </c>
      <c r="C3592" s="67">
        <f t="shared" si="185"/>
        <v>2015</v>
      </c>
      <c r="D3592" s="68">
        <v>16.816199999999998</v>
      </c>
      <c r="E3592" s="68">
        <v>16.8566</v>
      </c>
      <c r="F3592" s="68">
        <v>16.9053</v>
      </c>
    </row>
    <row r="3593" spans="1:6">
      <c r="A3593" s="57" t="s">
        <v>6172</v>
      </c>
      <c r="B3593" s="58">
        <f t="shared" si="184"/>
        <v>42280</v>
      </c>
      <c r="C3593" s="59">
        <f t="shared" si="185"/>
        <v>2015</v>
      </c>
      <c r="D3593" s="60" t="s">
        <v>362</v>
      </c>
      <c r="E3593" s="60" t="s">
        <v>362</v>
      </c>
      <c r="F3593" s="61">
        <v>16.8566</v>
      </c>
    </row>
    <row r="3594" spans="1:6">
      <c r="A3594" s="65" t="s">
        <v>6173</v>
      </c>
      <c r="B3594" s="66">
        <f t="shared" si="184"/>
        <v>42281</v>
      </c>
      <c r="C3594" s="67">
        <f t="shared" si="185"/>
        <v>2015</v>
      </c>
      <c r="D3594" s="70" t="s">
        <v>362</v>
      </c>
      <c r="E3594" s="70" t="s">
        <v>362</v>
      </c>
      <c r="F3594" s="68">
        <v>16.8566</v>
      </c>
    </row>
    <row r="3595" spans="1:6">
      <c r="A3595" s="57" t="s">
        <v>6174</v>
      </c>
      <c r="B3595" s="58">
        <f t="shared" si="184"/>
        <v>42282</v>
      </c>
      <c r="C3595" s="59">
        <f t="shared" si="185"/>
        <v>2015</v>
      </c>
      <c r="D3595" s="61">
        <v>16.694099999999999</v>
      </c>
      <c r="E3595" s="61">
        <v>16.816199999999998</v>
      </c>
      <c r="F3595" s="61">
        <v>16.8566</v>
      </c>
    </row>
    <row r="3596" spans="1:6">
      <c r="A3596" s="65" t="s">
        <v>6175</v>
      </c>
      <c r="B3596" s="66">
        <f t="shared" si="184"/>
        <v>42283</v>
      </c>
      <c r="C3596" s="67">
        <f t="shared" si="185"/>
        <v>2015</v>
      </c>
      <c r="D3596" s="68">
        <v>16.687799999999999</v>
      </c>
      <c r="E3596" s="68">
        <v>16.694099999999999</v>
      </c>
      <c r="F3596" s="68">
        <v>16.816199999999998</v>
      </c>
    </row>
    <row r="3597" spans="1:6">
      <c r="A3597" s="57" t="s">
        <v>6176</v>
      </c>
      <c r="B3597" s="58">
        <f t="shared" si="184"/>
        <v>42284</v>
      </c>
      <c r="C3597" s="59">
        <f t="shared" si="185"/>
        <v>2015</v>
      </c>
      <c r="D3597" s="61">
        <v>16.5762</v>
      </c>
      <c r="E3597" s="61">
        <v>16.687799999999999</v>
      </c>
      <c r="F3597" s="61">
        <v>16.694099999999999</v>
      </c>
    </row>
    <row r="3598" spans="1:6">
      <c r="A3598" s="65" t="s">
        <v>6177</v>
      </c>
      <c r="B3598" s="66">
        <f t="shared" si="184"/>
        <v>42285</v>
      </c>
      <c r="C3598" s="67">
        <f t="shared" si="185"/>
        <v>2015</v>
      </c>
      <c r="D3598" s="68">
        <v>16.546399999999998</v>
      </c>
      <c r="E3598" s="68">
        <v>16.5762</v>
      </c>
      <c r="F3598" s="68">
        <v>16.687799999999999</v>
      </c>
    </row>
    <row r="3599" spans="1:6">
      <c r="A3599" s="57" t="s">
        <v>6178</v>
      </c>
      <c r="B3599" s="58">
        <f t="shared" si="184"/>
        <v>42286</v>
      </c>
      <c r="C3599" s="59">
        <f t="shared" si="185"/>
        <v>2015</v>
      </c>
      <c r="D3599" s="61">
        <v>16.417999999999999</v>
      </c>
      <c r="E3599" s="61">
        <v>16.546399999999998</v>
      </c>
      <c r="F3599" s="61">
        <v>16.5762</v>
      </c>
    </row>
    <row r="3600" spans="1:6">
      <c r="A3600" s="65" t="s">
        <v>6179</v>
      </c>
      <c r="B3600" s="66">
        <f t="shared" si="184"/>
        <v>42287</v>
      </c>
      <c r="C3600" s="67">
        <f t="shared" si="185"/>
        <v>2015</v>
      </c>
      <c r="D3600" s="70" t="s">
        <v>362</v>
      </c>
      <c r="E3600" s="70" t="s">
        <v>362</v>
      </c>
      <c r="F3600" s="68">
        <v>16.546399999999998</v>
      </c>
    </row>
    <row r="3601" spans="1:6">
      <c r="A3601" s="57" t="s">
        <v>6180</v>
      </c>
      <c r="B3601" s="58">
        <f t="shared" si="184"/>
        <v>42288</v>
      </c>
      <c r="C3601" s="59">
        <f t="shared" si="185"/>
        <v>2015</v>
      </c>
      <c r="D3601" s="60" t="s">
        <v>362</v>
      </c>
      <c r="E3601" s="60" t="s">
        <v>362</v>
      </c>
      <c r="F3601" s="61">
        <v>16.546399999999998</v>
      </c>
    </row>
    <row r="3602" spans="1:6">
      <c r="A3602" s="65" t="s">
        <v>6181</v>
      </c>
      <c r="B3602" s="66">
        <f t="shared" si="184"/>
        <v>42289</v>
      </c>
      <c r="C3602" s="67">
        <f t="shared" si="185"/>
        <v>2015</v>
      </c>
      <c r="D3602" s="68">
        <v>16.421900000000001</v>
      </c>
      <c r="E3602" s="68">
        <v>16.417999999999999</v>
      </c>
      <c r="F3602" s="68">
        <v>16.546399999999998</v>
      </c>
    </row>
    <row r="3603" spans="1:6">
      <c r="A3603" s="57" t="s">
        <v>6182</v>
      </c>
      <c r="B3603" s="58">
        <f t="shared" si="184"/>
        <v>42290</v>
      </c>
      <c r="C3603" s="59">
        <f t="shared" si="185"/>
        <v>2015</v>
      </c>
      <c r="D3603" s="61">
        <v>16.584800000000001</v>
      </c>
      <c r="E3603" s="61">
        <v>16.421900000000001</v>
      </c>
      <c r="F3603" s="61">
        <v>16.417999999999999</v>
      </c>
    </row>
    <row r="3604" spans="1:6">
      <c r="A3604" s="65" t="s">
        <v>6183</v>
      </c>
      <c r="B3604" s="66">
        <f t="shared" si="184"/>
        <v>42291</v>
      </c>
      <c r="C3604" s="67">
        <f t="shared" si="185"/>
        <v>2015</v>
      </c>
      <c r="D3604" s="68">
        <v>16.580400000000001</v>
      </c>
      <c r="E3604" s="68">
        <v>16.584800000000001</v>
      </c>
      <c r="F3604" s="68">
        <v>16.421900000000001</v>
      </c>
    </row>
    <row r="3605" spans="1:6">
      <c r="A3605" s="57" t="s">
        <v>6184</v>
      </c>
      <c r="B3605" s="58">
        <f t="shared" si="184"/>
        <v>42292</v>
      </c>
      <c r="C3605" s="59">
        <f t="shared" si="185"/>
        <v>2015</v>
      </c>
      <c r="D3605" s="61">
        <v>16.425000000000001</v>
      </c>
      <c r="E3605" s="61">
        <v>16.580400000000001</v>
      </c>
      <c r="F3605" s="61">
        <v>16.584800000000001</v>
      </c>
    </row>
    <row r="3606" spans="1:6">
      <c r="A3606" s="65" t="s">
        <v>6185</v>
      </c>
      <c r="B3606" s="66">
        <f t="shared" si="184"/>
        <v>42293</v>
      </c>
      <c r="C3606" s="67">
        <f t="shared" si="185"/>
        <v>2015</v>
      </c>
      <c r="D3606" s="68">
        <v>16.395900000000001</v>
      </c>
      <c r="E3606" s="68">
        <v>16.425000000000001</v>
      </c>
      <c r="F3606" s="68">
        <v>16.580400000000001</v>
      </c>
    </row>
    <row r="3607" spans="1:6">
      <c r="A3607" s="57" t="s">
        <v>6186</v>
      </c>
      <c r="B3607" s="58">
        <f t="shared" si="184"/>
        <v>42294</v>
      </c>
      <c r="C3607" s="59">
        <f t="shared" si="185"/>
        <v>2015</v>
      </c>
      <c r="D3607" s="60" t="s">
        <v>362</v>
      </c>
      <c r="E3607" s="60" t="s">
        <v>362</v>
      </c>
      <c r="F3607" s="61">
        <v>16.425000000000001</v>
      </c>
    </row>
    <row r="3608" spans="1:6">
      <c r="A3608" s="65" t="s">
        <v>6187</v>
      </c>
      <c r="B3608" s="66">
        <f t="shared" si="184"/>
        <v>42295</v>
      </c>
      <c r="C3608" s="67">
        <f t="shared" si="185"/>
        <v>2015</v>
      </c>
      <c r="D3608" s="70" t="s">
        <v>362</v>
      </c>
      <c r="E3608" s="70" t="s">
        <v>362</v>
      </c>
      <c r="F3608" s="68">
        <v>16.425000000000001</v>
      </c>
    </row>
    <row r="3609" spans="1:6">
      <c r="A3609" s="57" t="s">
        <v>6188</v>
      </c>
      <c r="B3609" s="58">
        <f t="shared" si="184"/>
        <v>42296</v>
      </c>
      <c r="C3609" s="59">
        <f t="shared" si="185"/>
        <v>2015</v>
      </c>
      <c r="D3609" s="61">
        <v>16.489899999999999</v>
      </c>
      <c r="E3609" s="61">
        <v>16.395900000000001</v>
      </c>
      <c r="F3609" s="61">
        <v>16.425000000000001</v>
      </c>
    </row>
    <row r="3610" spans="1:6">
      <c r="A3610" s="65" t="s">
        <v>6189</v>
      </c>
      <c r="B3610" s="66">
        <f t="shared" si="184"/>
        <v>42297</v>
      </c>
      <c r="C3610" s="67">
        <f t="shared" si="185"/>
        <v>2015</v>
      </c>
      <c r="D3610" s="68">
        <v>16.561800000000002</v>
      </c>
      <c r="E3610" s="68">
        <v>16.489899999999999</v>
      </c>
      <c r="F3610" s="68">
        <v>16.395900000000001</v>
      </c>
    </row>
    <row r="3611" spans="1:6">
      <c r="A3611" s="57" t="s">
        <v>6190</v>
      </c>
      <c r="B3611" s="58">
        <f t="shared" si="184"/>
        <v>42298</v>
      </c>
      <c r="C3611" s="59">
        <f t="shared" si="185"/>
        <v>2015</v>
      </c>
      <c r="D3611" s="61">
        <v>16.66</v>
      </c>
      <c r="E3611" s="61">
        <v>16.561800000000002</v>
      </c>
      <c r="F3611" s="61">
        <v>16.489899999999999</v>
      </c>
    </row>
    <row r="3612" spans="1:6">
      <c r="A3612" s="65" t="s">
        <v>6191</v>
      </c>
      <c r="B3612" s="66">
        <f t="shared" si="184"/>
        <v>42299</v>
      </c>
      <c r="C3612" s="67">
        <f t="shared" si="185"/>
        <v>2015</v>
      </c>
      <c r="D3612" s="68">
        <v>16.528400000000001</v>
      </c>
      <c r="E3612" s="68">
        <v>16.66</v>
      </c>
      <c r="F3612" s="68">
        <v>16.561800000000002</v>
      </c>
    </row>
    <row r="3613" spans="1:6">
      <c r="A3613" s="57" t="s">
        <v>6192</v>
      </c>
      <c r="B3613" s="58">
        <f t="shared" si="184"/>
        <v>42300</v>
      </c>
      <c r="C3613" s="59">
        <f t="shared" si="185"/>
        <v>2015</v>
      </c>
      <c r="D3613" s="61">
        <v>16.5138</v>
      </c>
      <c r="E3613" s="61">
        <v>16.528400000000001</v>
      </c>
      <c r="F3613" s="61">
        <v>16.66</v>
      </c>
    </row>
    <row r="3614" spans="1:6">
      <c r="A3614" s="65" t="s">
        <v>6193</v>
      </c>
      <c r="B3614" s="66">
        <f t="shared" si="184"/>
        <v>42301</v>
      </c>
      <c r="C3614" s="67">
        <f t="shared" si="185"/>
        <v>2015</v>
      </c>
      <c r="D3614" s="70" t="s">
        <v>362</v>
      </c>
      <c r="E3614" s="70" t="s">
        <v>362</v>
      </c>
      <c r="F3614" s="68">
        <v>16.528400000000001</v>
      </c>
    </row>
    <row r="3615" spans="1:6">
      <c r="A3615" s="57" t="s">
        <v>6194</v>
      </c>
      <c r="B3615" s="58">
        <f t="shared" ref="B3615:B3678" si="186">DATE(RIGHT(A3615,4),LEFT(RIGHT(A3615,7),2),LEFT(A3615,2))</f>
        <v>42302</v>
      </c>
      <c r="C3615" s="59">
        <f t="shared" ref="C3615:C3678" si="187">YEAR(B3615)</f>
        <v>2015</v>
      </c>
      <c r="D3615" s="60" t="s">
        <v>362</v>
      </c>
      <c r="E3615" s="60" t="s">
        <v>362</v>
      </c>
      <c r="F3615" s="61">
        <v>16.528400000000001</v>
      </c>
    </row>
    <row r="3616" spans="1:6">
      <c r="A3616" s="65" t="s">
        <v>6195</v>
      </c>
      <c r="B3616" s="66">
        <f t="shared" si="186"/>
        <v>42303</v>
      </c>
      <c r="C3616" s="67">
        <f t="shared" si="187"/>
        <v>2015</v>
      </c>
      <c r="D3616" s="68">
        <v>16.4998</v>
      </c>
      <c r="E3616" s="68">
        <v>16.5138</v>
      </c>
      <c r="F3616" s="68">
        <v>16.528400000000001</v>
      </c>
    </row>
    <row r="3617" spans="1:6">
      <c r="A3617" s="57" t="s">
        <v>6196</v>
      </c>
      <c r="B3617" s="58">
        <f t="shared" si="186"/>
        <v>42304</v>
      </c>
      <c r="C3617" s="59">
        <f t="shared" si="187"/>
        <v>2015</v>
      </c>
      <c r="D3617" s="61">
        <v>16.554500000000001</v>
      </c>
      <c r="E3617" s="61">
        <v>16.4998</v>
      </c>
      <c r="F3617" s="61">
        <v>16.5138</v>
      </c>
    </row>
    <row r="3618" spans="1:6">
      <c r="A3618" s="65" t="s">
        <v>6197</v>
      </c>
      <c r="B3618" s="66">
        <f t="shared" si="186"/>
        <v>42305</v>
      </c>
      <c r="C3618" s="67">
        <f t="shared" si="187"/>
        <v>2015</v>
      </c>
      <c r="D3618" s="68">
        <v>16.450299999999999</v>
      </c>
      <c r="E3618" s="68">
        <v>16.554500000000001</v>
      </c>
      <c r="F3618" s="68">
        <v>16.4998</v>
      </c>
    </row>
    <row r="3619" spans="1:6">
      <c r="A3619" s="57" t="s">
        <v>6198</v>
      </c>
      <c r="B3619" s="58">
        <f t="shared" si="186"/>
        <v>42306</v>
      </c>
      <c r="C3619" s="59">
        <f t="shared" si="187"/>
        <v>2015</v>
      </c>
      <c r="D3619" s="61">
        <v>16.6219</v>
      </c>
      <c r="E3619" s="61">
        <v>16.450299999999999</v>
      </c>
      <c r="F3619" s="61">
        <v>16.554500000000001</v>
      </c>
    </row>
    <row r="3620" spans="1:6">
      <c r="A3620" s="65" t="s">
        <v>6199</v>
      </c>
      <c r="B3620" s="66">
        <f t="shared" si="186"/>
        <v>42307</v>
      </c>
      <c r="C3620" s="67">
        <f t="shared" si="187"/>
        <v>2015</v>
      </c>
      <c r="D3620" s="68">
        <v>16.5244</v>
      </c>
      <c r="E3620" s="68">
        <v>16.6219</v>
      </c>
      <c r="F3620" s="68">
        <v>16.450299999999999</v>
      </c>
    </row>
    <row r="3621" spans="1:6">
      <c r="A3621" s="57" t="s">
        <v>6200</v>
      </c>
      <c r="B3621" s="58">
        <f t="shared" si="186"/>
        <v>42308</v>
      </c>
      <c r="C3621" s="59">
        <f t="shared" si="187"/>
        <v>2015</v>
      </c>
      <c r="D3621" s="60" t="s">
        <v>362</v>
      </c>
      <c r="E3621" s="60" t="s">
        <v>362</v>
      </c>
      <c r="F3621" s="61">
        <v>16.6219</v>
      </c>
    </row>
    <row r="3622" spans="1:6">
      <c r="A3622" s="65" t="s">
        <v>6201</v>
      </c>
      <c r="B3622" s="66">
        <f t="shared" si="186"/>
        <v>42309</v>
      </c>
      <c r="C3622" s="67">
        <f t="shared" si="187"/>
        <v>2015</v>
      </c>
      <c r="D3622" s="70" t="s">
        <v>362</v>
      </c>
      <c r="E3622" s="70" t="s">
        <v>362</v>
      </c>
      <c r="F3622" s="68">
        <v>16.6219</v>
      </c>
    </row>
    <row r="3623" spans="1:6">
      <c r="A3623" s="57" t="s">
        <v>6202</v>
      </c>
      <c r="B3623" s="58">
        <f t="shared" si="186"/>
        <v>42310</v>
      </c>
      <c r="C3623" s="59">
        <f t="shared" si="187"/>
        <v>2015</v>
      </c>
      <c r="D3623" s="60" t="s">
        <v>362</v>
      </c>
      <c r="E3623" s="60" t="s">
        <v>362</v>
      </c>
      <c r="F3623" s="61">
        <v>16.6219</v>
      </c>
    </row>
    <row r="3624" spans="1:6">
      <c r="A3624" s="65" t="s">
        <v>6203</v>
      </c>
      <c r="B3624" s="66">
        <f t="shared" si="186"/>
        <v>42311</v>
      </c>
      <c r="C3624" s="67">
        <f t="shared" si="187"/>
        <v>2015</v>
      </c>
      <c r="D3624" s="68">
        <v>16.419599999999999</v>
      </c>
      <c r="E3624" s="68">
        <v>16.5244</v>
      </c>
      <c r="F3624" s="68">
        <v>16.6219</v>
      </c>
    </row>
    <row r="3625" spans="1:6">
      <c r="A3625" s="57" t="s">
        <v>6204</v>
      </c>
      <c r="B3625" s="58">
        <f t="shared" si="186"/>
        <v>42312</v>
      </c>
      <c r="C3625" s="59">
        <f t="shared" si="187"/>
        <v>2015</v>
      </c>
      <c r="D3625" s="61">
        <v>16.514700000000001</v>
      </c>
      <c r="E3625" s="61">
        <v>16.419599999999999</v>
      </c>
      <c r="F3625" s="61">
        <v>16.5244</v>
      </c>
    </row>
    <row r="3626" spans="1:6">
      <c r="A3626" s="65" t="s">
        <v>6205</v>
      </c>
      <c r="B3626" s="66">
        <f t="shared" si="186"/>
        <v>42313</v>
      </c>
      <c r="C3626" s="67">
        <f t="shared" si="187"/>
        <v>2015</v>
      </c>
      <c r="D3626" s="68">
        <v>16.5959</v>
      </c>
      <c r="E3626" s="68">
        <v>16.514700000000001</v>
      </c>
      <c r="F3626" s="68">
        <v>16.419599999999999</v>
      </c>
    </row>
    <row r="3627" spans="1:6">
      <c r="A3627" s="57" t="s">
        <v>6206</v>
      </c>
      <c r="B3627" s="58">
        <f t="shared" si="186"/>
        <v>42314</v>
      </c>
      <c r="C3627" s="59">
        <f t="shared" si="187"/>
        <v>2015</v>
      </c>
      <c r="D3627" s="61">
        <v>16.838200000000001</v>
      </c>
      <c r="E3627" s="61">
        <v>16.5959</v>
      </c>
      <c r="F3627" s="61">
        <v>16.514700000000001</v>
      </c>
    </row>
    <row r="3628" spans="1:6">
      <c r="A3628" s="65" t="s">
        <v>6207</v>
      </c>
      <c r="B3628" s="66">
        <f t="shared" si="186"/>
        <v>42315</v>
      </c>
      <c r="C3628" s="67">
        <f t="shared" si="187"/>
        <v>2015</v>
      </c>
      <c r="D3628" s="70" t="s">
        <v>362</v>
      </c>
      <c r="E3628" s="70" t="s">
        <v>362</v>
      </c>
      <c r="F3628" s="68">
        <v>16.5959</v>
      </c>
    </row>
    <row r="3629" spans="1:6">
      <c r="A3629" s="57" t="s">
        <v>6208</v>
      </c>
      <c r="B3629" s="58">
        <f t="shared" si="186"/>
        <v>42316</v>
      </c>
      <c r="C3629" s="59">
        <f t="shared" si="187"/>
        <v>2015</v>
      </c>
      <c r="D3629" s="60" t="s">
        <v>362</v>
      </c>
      <c r="E3629" s="60" t="s">
        <v>362</v>
      </c>
      <c r="F3629" s="61">
        <v>16.5959</v>
      </c>
    </row>
    <row r="3630" spans="1:6">
      <c r="A3630" s="65" t="s">
        <v>6209</v>
      </c>
      <c r="B3630" s="66">
        <f t="shared" si="186"/>
        <v>42317</v>
      </c>
      <c r="C3630" s="67">
        <f t="shared" si="187"/>
        <v>2015</v>
      </c>
      <c r="D3630" s="68">
        <v>16.87</v>
      </c>
      <c r="E3630" s="68">
        <v>16.838200000000001</v>
      </c>
      <c r="F3630" s="68">
        <v>16.5959</v>
      </c>
    </row>
    <row r="3631" spans="1:6">
      <c r="A3631" s="57" t="s">
        <v>6210</v>
      </c>
      <c r="B3631" s="58">
        <f t="shared" si="186"/>
        <v>42318</v>
      </c>
      <c r="C3631" s="59">
        <f t="shared" si="187"/>
        <v>2015</v>
      </c>
      <c r="D3631" s="61">
        <v>16.765799999999999</v>
      </c>
      <c r="E3631" s="61">
        <v>16.87</v>
      </c>
      <c r="F3631" s="61">
        <v>16.838200000000001</v>
      </c>
    </row>
    <row r="3632" spans="1:6">
      <c r="A3632" s="65" t="s">
        <v>6211</v>
      </c>
      <c r="B3632" s="66">
        <f t="shared" si="186"/>
        <v>42319</v>
      </c>
      <c r="C3632" s="67">
        <f t="shared" si="187"/>
        <v>2015</v>
      </c>
      <c r="D3632" s="68">
        <v>16.717300000000002</v>
      </c>
      <c r="E3632" s="68">
        <v>16.765799999999999</v>
      </c>
      <c r="F3632" s="68">
        <v>16.87</v>
      </c>
    </row>
    <row r="3633" spans="1:6">
      <c r="A3633" s="57" t="s">
        <v>6212</v>
      </c>
      <c r="B3633" s="58">
        <f t="shared" si="186"/>
        <v>42320</v>
      </c>
      <c r="C3633" s="59">
        <f t="shared" si="187"/>
        <v>2015</v>
      </c>
      <c r="D3633" s="61">
        <v>16.740600000000001</v>
      </c>
      <c r="E3633" s="61">
        <v>16.717300000000002</v>
      </c>
      <c r="F3633" s="61">
        <v>16.765799999999999</v>
      </c>
    </row>
    <row r="3634" spans="1:6">
      <c r="A3634" s="65" t="s">
        <v>6213</v>
      </c>
      <c r="B3634" s="66">
        <f t="shared" si="186"/>
        <v>42321</v>
      </c>
      <c r="C3634" s="67">
        <f t="shared" si="187"/>
        <v>2015</v>
      </c>
      <c r="D3634" s="68">
        <v>16.7395</v>
      </c>
      <c r="E3634" s="68">
        <v>16.740600000000001</v>
      </c>
      <c r="F3634" s="68">
        <v>16.717300000000002</v>
      </c>
    </row>
    <row r="3635" spans="1:6">
      <c r="A3635" s="57" t="s">
        <v>6214</v>
      </c>
      <c r="B3635" s="58">
        <f t="shared" si="186"/>
        <v>42322</v>
      </c>
      <c r="C3635" s="59">
        <f t="shared" si="187"/>
        <v>2015</v>
      </c>
      <c r="D3635" s="60" t="s">
        <v>362</v>
      </c>
      <c r="E3635" s="60" t="s">
        <v>362</v>
      </c>
      <c r="F3635" s="61">
        <v>16.740600000000001</v>
      </c>
    </row>
    <row r="3636" spans="1:6">
      <c r="A3636" s="65" t="s">
        <v>6215</v>
      </c>
      <c r="B3636" s="66">
        <f t="shared" si="186"/>
        <v>42323</v>
      </c>
      <c r="C3636" s="67">
        <f t="shared" si="187"/>
        <v>2015</v>
      </c>
      <c r="D3636" s="70" t="s">
        <v>362</v>
      </c>
      <c r="E3636" s="70" t="s">
        <v>362</v>
      </c>
      <c r="F3636" s="68">
        <v>16.740600000000001</v>
      </c>
    </row>
    <row r="3637" spans="1:6">
      <c r="A3637" s="57" t="s">
        <v>6216</v>
      </c>
      <c r="B3637" s="58">
        <f t="shared" si="186"/>
        <v>42324</v>
      </c>
      <c r="C3637" s="59">
        <f t="shared" si="187"/>
        <v>2015</v>
      </c>
      <c r="D3637" s="60" t="s">
        <v>362</v>
      </c>
      <c r="E3637" s="60" t="s">
        <v>362</v>
      </c>
      <c r="F3637" s="61">
        <v>16.740600000000001</v>
      </c>
    </row>
    <row r="3638" spans="1:6">
      <c r="A3638" s="65" t="s">
        <v>6217</v>
      </c>
      <c r="B3638" s="66">
        <f t="shared" si="186"/>
        <v>42325</v>
      </c>
      <c r="C3638" s="67">
        <f t="shared" si="187"/>
        <v>2015</v>
      </c>
      <c r="D3638" s="68">
        <v>16.757000000000001</v>
      </c>
      <c r="E3638" s="68">
        <v>16.7395</v>
      </c>
      <c r="F3638" s="68">
        <v>16.740600000000001</v>
      </c>
    </row>
    <row r="3639" spans="1:6">
      <c r="A3639" s="57" t="s">
        <v>6218</v>
      </c>
      <c r="B3639" s="58">
        <f t="shared" si="186"/>
        <v>42326</v>
      </c>
      <c r="C3639" s="59">
        <f t="shared" si="187"/>
        <v>2015</v>
      </c>
      <c r="D3639" s="61">
        <v>16.7636</v>
      </c>
      <c r="E3639" s="61">
        <v>16.757000000000001</v>
      </c>
      <c r="F3639" s="61">
        <v>16.7395</v>
      </c>
    </row>
    <row r="3640" spans="1:6">
      <c r="A3640" s="65" t="s">
        <v>6219</v>
      </c>
      <c r="B3640" s="66">
        <f t="shared" si="186"/>
        <v>42327</v>
      </c>
      <c r="C3640" s="67">
        <f t="shared" si="187"/>
        <v>2015</v>
      </c>
      <c r="D3640" s="68">
        <v>16.5748</v>
      </c>
      <c r="E3640" s="68">
        <v>16.7636</v>
      </c>
      <c r="F3640" s="68">
        <v>16.757000000000001</v>
      </c>
    </row>
    <row r="3641" spans="1:6">
      <c r="A3641" s="57" t="s">
        <v>6220</v>
      </c>
      <c r="B3641" s="58">
        <f t="shared" si="186"/>
        <v>42328</v>
      </c>
      <c r="C3641" s="59">
        <f t="shared" si="187"/>
        <v>2015</v>
      </c>
      <c r="D3641" s="61">
        <v>16.512</v>
      </c>
      <c r="E3641" s="61">
        <v>16.5748</v>
      </c>
      <c r="F3641" s="61">
        <v>16.7636</v>
      </c>
    </row>
    <row r="3642" spans="1:6">
      <c r="A3642" s="65" t="s">
        <v>6221</v>
      </c>
      <c r="B3642" s="66">
        <f t="shared" si="186"/>
        <v>42329</v>
      </c>
      <c r="C3642" s="67">
        <f t="shared" si="187"/>
        <v>2015</v>
      </c>
      <c r="D3642" s="70" t="s">
        <v>362</v>
      </c>
      <c r="E3642" s="70" t="s">
        <v>362</v>
      </c>
      <c r="F3642" s="68">
        <v>16.5748</v>
      </c>
    </row>
    <row r="3643" spans="1:6">
      <c r="A3643" s="57" t="s">
        <v>6222</v>
      </c>
      <c r="B3643" s="58">
        <f t="shared" si="186"/>
        <v>42330</v>
      </c>
      <c r="C3643" s="59">
        <f t="shared" si="187"/>
        <v>2015</v>
      </c>
      <c r="D3643" s="60" t="s">
        <v>362</v>
      </c>
      <c r="E3643" s="60" t="s">
        <v>362</v>
      </c>
      <c r="F3643" s="61">
        <v>16.5748</v>
      </c>
    </row>
    <row r="3644" spans="1:6">
      <c r="A3644" s="65" t="s">
        <v>6223</v>
      </c>
      <c r="B3644" s="66">
        <f t="shared" si="186"/>
        <v>42331</v>
      </c>
      <c r="C3644" s="67">
        <f t="shared" si="187"/>
        <v>2015</v>
      </c>
      <c r="D3644" s="68">
        <v>16.5306</v>
      </c>
      <c r="E3644" s="68">
        <v>16.512</v>
      </c>
      <c r="F3644" s="68">
        <v>16.5748</v>
      </c>
    </row>
    <row r="3645" spans="1:6">
      <c r="A3645" s="57" t="s">
        <v>6224</v>
      </c>
      <c r="B3645" s="58">
        <f t="shared" si="186"/>
        <v>42332</v>
      </c>
      <c r="C3645" s="59">
        <f t="shared" si="187"/>
        <v>2015</v>
      </c>
      <c r="D3645" s="61">
        <v>16.470500000000001</v>
      </c>
      <c r="E3645" s="61">
        <v>16.5306</v>
      </c>
      <c r="F3645" s="61">
        <v>16.512</v>
      </c>
    </row>
    <row r="3646" spans="1:6">
      <c r="A3646" s="65" t="s">
        <v>6225</v>
      </c>
      <c r="B3646" s="66">
        <f t="shared" si="186"/>
        <v>42333</v>
      </c>
      <c r="C3646" s="67">
        <f t="shared" si="187"/>
        <v>2015</v>
      </c>
      <c r="D3646" s="68">
        <v>16.5548</v>
      </c>
      <c r="E3646" s="68">
        <v>16.470500000000001</v>
      </c>
      <c r="F3646" s="68">
        <v>16.5306</v>
      </c>
    </row>
    <row r="3647" spans="1:6">
      <c r="A3647" s="57" t="s">
        <v>6226</v>
      </c>
      <c r="B3647" s="58">
        <f t="shared" si="186"/>
        <v>42334</v>
      </c>
      <c r="C3647" s="59">
        <f t="shared" si="187"/>
        <v>2015</v>
      </c>
      <c r="D3647" s="61">
        <v>16.549199999999999</v>
      </c>
      <c r="E3647" s="61">
        <v>16.5548</v>
      </c>
      <c r="F3647" s="61">
        <v>16.470500000000001</v>
      </c>
    </row>
    <row r="3648" spans="1:6">
      <c r="A3648" s="65" t="s">
        <v>6227</v>
      </c>
      <c r="B3648" s="66">
        <f t="shared" si="186"/>
        <v>42335</v>
      </c>
      <c r="C3648" s="67">
        <f t="shared" si="187"/>
        <v>2015</v>
      </c>
      <c r="D3648" s="68">
        <v>16.578399999999998</v>
      </c>
      <c r="E3648" s="68">
        <v>16.549199999999999</v>
      </c>
      <c r="F3648" s="68">
        <v>16.5548</v>
      </c>
    </row>
    <row r="3649" spans="1:6">
      <c r="A3649" s="57" t="s">
        <v>6228</v>
      </c>
      <c r="B3649" s="58">
        <f t="shared" si="186"/>
        <v>42336</v>
      </c>
      <c r="C3649" s="59">
        <f t="shared" si="187"/>
        <v>2015</v>
      </c>
      <c r="D3649" s="60" t="s">
        <v>362</v>
      </c>
      <c r="E3649" s="60" t="s">
        <v>362</v>
      </c>
      <c r="F3649" s="61">
        <v>16.549199999999999</v>
      </c>
    </row>
    <row r="3650" spans="1:6">
      <c r="A3650" s="65" t="s">
        <v>6229</v>
      </c>
      <c r="B3650" s="66">
        <f t="shared" si="186"/>
        <v>42337</v>
      </c>
      <c r="C3650" s="67">
        <f t="shared" si="187"/>
        <v>2015</v>
      </c>
      <c r="D3650" s="70" t="s">
        <v>362</v>
      </c>
      <c r="E3650" s="70" t="s">
        <v>362</v>
      </c>
      <c r="F3650" s="68">
        <v>16.549199999999999</v>
      </c>
    </row>
    <row r="3651" spans="1:6">
      <c r="A3651" s="57" t="s">
        <v>6230</v>
      </c>
      <c r="B3651" s="58">
        <f t="shared" si="186"/>
        <v>42338</v>
      </c>
      <c r="C3651" s="59">
        <f t="shared" si="187"/>
        <v>2015</v>
      </c>
      <c r="D3651" s="61">
        <v>16.585599999999999</v>
      </c>
      <c r="E3651" s="61">
        <v>16.578399999999998</v>
      </c>
      <c r="F3651" s="61">
        <v>16.549199999999999</v>
      </c>
    </row>
    <row r="3652" spans="1:6">
      <c r="A3652" s="65" t="s">
        <v>6231</v>
      </c>
      <c r="B3652" s="66">
        <f t="shared" si="186"/>
        <v>42339</v>
      </c>
      <c r="C3652" s="67">
        <f t="shared" si="187"/>
        <v>2015</v>
      </c>
      <c r="D3652" s="68">
        <v>16.510400000000001</v>
      </c>
      <c r="E3652" s="68">
        <v>16.585599999999999</v>
      </c>
      <c r="F3652" s="68">
        <v>16.578399999999998</v>
      </c>
    </row>
    <row r="3653" spans="1:6">
      <c r="A3653" s="57" t="s">
        <v>6232</v>
      </c>
      <c r="B3653" s="58">
        <f t="shared" si="186"/>
        <v>42340</v>
      </c>
      <c r="C3653" s="59">
        <f t="shared" si="187"/>
        <v>2015</v>
      </c>
      <c r="D3653" s="61">
        <v>16.593299999999999</v>
      </c>
      <c r="E3653" s="61">
        <v>16.510400000000001</v>
      </c>
      <c r="F3653" s="61">
        <v>16.585599999999999</v>
      </c>
    </row>
    <row r="3654" spans="1:6">
      <c r="A3654" s="65" t="s">
        <v>6233</v>
      </c>
      <c r="B3654" s="66">
        <f t="shared" si="186"/>
        <v>42341</v>
      </c>
      <c r="C3654" s="67">
        <f t="shared" si="187"/>
        <v>2015</v>
      </c>
      <c r="D3654" s="68">
        <v>16.709499999999998</v>
      </c>
      <c r="E3654" s="68">
        <v>16.593299999999999</v>
      </c>
      <c r="F3654" s="68">
        <v>16.510400000000001</v>
      </c>
    </row>
    <row r="3655" spans="1:6">
      <c r="A3655" s="57" t="s">
        <v>6234</v>
      </c>
      <c r="B3655" s="58">
        <f t="shared" si="186"/>
        <v>42342</v>
      </c>
      <c r="C3655" s="59">
        <f t="shared" si="187"/>
        <v>2015</v>
      </c>
      <c r="D3655" s="61">
        <v>16.675699999999999</v>
      </c>
      <c r="E3655" s="61">
        <v>16.709499999999998</v>
      </c>
      <c r="F3655" s="61">
        <v>16.593299999999999</v>
      </c>
    </row>
    <row r="3656" spans="1:6">
      <c r="A3656" s="65" t="s">
        <v>6235</v>
      </c>
      <c r="B3656" s="66">
        <f t="shared" si="186"/>
        <v>42343</v>
      </c>
      <c r="C3656" s="67">
        <f t="shared" si="187"/>
        <v>2015</v>
      </c>
      <c r="D3656" s="70" t="s">
        <v>362</v>
      </c>
      <c r="E3656" s="70" t="s">
        <v>362</v>
      </c>
      <c r="F3656" s="68">
        <v>16.709499999999998</v>
      </c>
    </row>
    <row r="3657" spans="1:6">
      <c r="A3657" s="57" t="s">
        <v>6236</v>
      </c>
      <c r="B3657" s="58">
        <f t="shared" si="186"/>
        <v>42344</v>
      </c>
      <c r="C3657" s="59">
        <f t="shared" si="187"/>
        <v>2015</v>
      </c>
      <c r="D3657" s="60" t="s">
        <v>362</v>
      </c>
      <c r="E3657" s="60" t="s">
        <v>362</v>
      </c>
      <c r="F3657" s="61">
        <v>16.709499999999998</v>
      </c>
    </row>
    <row r="3658" spans="1:6">
      <c r="A3658" s="65" t="s">
        <v>6237</v>
      </c>
      <c r="B3658" s="66">
        <f t="shared" si="186"/>
        <v>42345</v>
      </c>
      <c r="C3658" s="67">
        <f t="shared" si="187"/>
        <v>2015</v>
      </c>
      <c r="D3658" s="68">
        <v>16.904399999999999</v>
      </c>
      <c r="E3658" s="68">
        <v>16.675699999999999</v>
      </c>
      <c r="F3658" s="68">
        <v>16.709499999999998</v>
      </c>
    </row>
    <row r="3659" spans="1:6">
      <c r="A3659" s="57" t="s">
        <v>6238</v>
      </c>
      <c r="B3659" s="58">
        <f t="shared" si="186"/>
        <v>42346</v>
      </c>
      <c r="C3659" s="59">
        <f t="shared" si="187"/>
        <v>2015</v>
      </c>
      <c r="D3659" s="61">
        <v>17.016400000000001</v>
      </c>
      <c r="E3659" s="61">
        <v>16.904399999999999</v>
      </c>
      <c r="F3659" s="61">
        <v>16.675699999999999</v>
      </c>
    </row>
    <row r="3660" spans="1:6">
      <c r="A3660" s="65" t="s">
        <v>6239</v>
      </c>
      <c r="B3660" s="66">
        <f t="shared" si="186"/>
        <v>42347</v>
      </c>
      <c r="C3660" s="67">
        <f t="shared" si="187"/>
        <v>2015</v>
      </c>
      <c r="D3660" s="68">
        <v>17.015999999999998</v>
      </c>
      <c r="E3660" s="68">
        <v>17.016400000000001</v>
      </c>
      <c r="F3660" s="68">
        <v>16.904399999999999</v>
      </c>
    </row>
    <row r="3661" spans="1:6">
      <c r="A3661" s="57" t="s">
        <v>6240</v>
      </c>
      <c r="B3661" s="58">
        <f t="shared" si="186"/>
        <v>42348</v>
      </c>
      <c r="C3661" s="59">
        <f t="shared" si="187"/>
        <v>2015</v>
      </c>
      <c r="D3661" s="61">
        <v>17.074999999999999</v>
      </c>
      <c r="E3661" s="61">
        <v>17.015999999999998</v>
      </c>
      <c r="F3661" s="61">
        <v>17.016400000000001</v>
      </c>
    </row>
    <row r="3662" spans="1:6">
      <c r="A3662" s="65" t="s">
        <v>6241</v>
      </c>
      <c r="B3662" s="66">
        <f t="shared" si="186"/>
        <v>42349</v>
      </c>
      <c r="C3662" s="67">
        <f t="shared" si="187"/>
        <v>2015</v>
      </c>
      <c r="D3662" s="68">
        <v>17.359200000000001</v>
      </c>
      <c r="E3662" s="68">
        <v>17.074999999999999</v>
      </c>
      <c r="F3662" s="68">
        <v>17.015999999999998</v>
      </c>
    </row>
    <row r="3663" spans="1:6">
      <c r="A3663" s="57" t="s">
        <v>6242</v>
      </c>
      <c r="B3663" s="58">
        <f t="shared" si="186"/>
        <v>42350</v>
      </c>
      <c r="C3663" s="59">
        <f t="shared" si="187"/>
        <v>2015</v>
      </c>
      <c r="D3663" s="60" t="s">
        <v>362</v>
      </c>
      <c r="E3663" s="60" t="s">
        <v>362</v>
      </c>
      <c r="F3663" s="61">
        <v>17.074999999999999</v>
      </c>
    </row>
    <row r="3664" spans="1:6">
      <c r="A3664" s="65" t="s">
        <v>6243</v>
      </c>
      <c r="B3664" s="66">
        <f t="shared" si="186"/>
        <v>42351</v>
      </c>
      <c r="C3664" s="67">
        <f t="shared" si="187"/>
        <v>2015</v>
      </c>
      <c r="D3664" s="70" t="s">
        <v>362</v>
      </c>
      <c r="E3664" s="70" t="s">
        <v>362</v>
      </c>
      <c r="F3664" s="68">
        <v>17.074999999999999</v>
      </c>
    </row>
    <row r="3665" spans="1:6">
      <c r="A3665" s="57" t="s">
        <v>6244</v>
      </c>
      <c r="B3665" s="58">
        <f t="shared" si="186"/>
        <v>42352</v>
      </c>
      <c r="C3665" s="59">
        <f t="shared" si="187"/>
        <v>2015</v>
      </c>
      <c r="D3665" s="61">
        <v>17.377600000000001</v>
      </c>
      <c r="E3665" s="61">
        <v>17.359200000000001</v>
      </c>
      <c r="F3665" s="61">
        <v>17.074999999999999</v>
      </c>
    </row>
    <row r="3666" spans="1:6">
      <c r="A3666" s="65" t="s">
        <v>6245</v>
      </c>
      <c r="B3666" s="66">
        <f t="shared" si="186"/>
        <v>42353</v>
      </c>
      <c r="C3666" s="67">
        <f t="shared" si="187"/>
        <v>2015</v>
      </c>
      <c r="D3666" s="68">
        <v>17.152899999999999</v>
      </c>
      <c r="E3666" s="68">
        <v>17.377600000000001</v>
      </c>
      <c r="F3666" s="68">
        <v>17.359200000000001</v>
      </c>
    </row>
    <row r="3667" spans="1:6">
      <c r="A3667" s="57" t="s">
        <v>6246</v>
      </c>
      <c r="B3667" s="58">
        <f t="shared" si="186"/>
        <v>42354</v>
      </c>
      <c r="C3667" s="59">
        <f t="shared" si="187"/>
        <v>2015</v>
      </c>
      <c r="D3667" s="61">
        <v>17.135999999999999</v>
      </c>
      <c r="E3667" s="61">
        <v>17.152899999999999</v>
      </c>
      <c r="F3667" s="61">
        <v>17.377600000000001</v>
      </c>
    </row>
    <row r="3668" spans="1:6">
      <c r="A3668" s="65" t="s">
        <v>6247</v>
      </c>
      <c r="B3668" s="66">
        <f t="shared" si="186"/>
        <v>42355</v>
      </c>
      <c r="C3668" s="67">
        <f t="shared" si="187"/>
        <v>2015</v>
      </c>
      <c r="D3668" s="68">
        <v>17.100000000000001</v>
      </c>
      <c r="E3668" s="68">
        <v>17.135999999999999</v>
      </c>
      <c r="F3668" s="68">
        <v>17.152899999999999</v>
      </c>
    </row>
    <row r="3669" spans="1:6">
      <c r="A3669" s="57" t="s">
        <v>6248</v>
      </c>
      <c r="B3669" s="58">
        <f t="shared" si="186"/>
        <v>42356</v>
      </c>
      <c r="C3669" s="59">
        <f t="shared" si="187"/>
        <v>2015</v>
      </c>
      <c r="D3669" s="61">
        <v>17.0139</v>
      </c>
      <c r="E3669" s="61">
        <v>17.100000000000001</v>
      </c>
      <c r="F3669" s="61">
        <v>17.135999999999999</v>
      </c>
    </row>
    <row r="3670" spans="1:6">
      <c r="A3670" s="65" t="s">
        <v>6249</v>
      </c>
      <c r="B3670" s="66">
        <f t="shared" si="186"/>
        <v>42357</v>
      </c>
      <c r="C3670" s="67">
        <f t="shared" si="187"/>
        <v>2015</v>
      </c>
      <c r="D3670" s="70" t="s">
        <v>362</v>
      </c>
      <c r="E3670" s="70" t="s">
        <v>362</v>
      </c>
      <c r="F3670" s="68">
        <v>17.100000000000001</v>
      </c>
    </row>
    <row r="3671" spans="1:6">
      <c r="A3671" s="57" t="s">
        <v>6250</v>
      </c>
      <c r="B3671" s="58">
        <f t="shared" si="186"/>
        <v>42358</v>
      </c>
      <c r="C3671" s="59">
        <f t="shared" si="187"/>
        <v>2015</v>
      </c>
      <c r="D3671" s="60" t="s">
        <v>362</v>
      </c>
      <c r="E3671" s="60" t="s">
        <v>362</v>
      </c>
      <c r="F3671" s="61">
        <v>17.100000000000001</v>
      </c>
    </row>
    <row r="3672" spans="1:6">
      <c r="A3672" s="65" t="s">
        <v>6251</v>
      </c>
      <c r="B3672" s="66">
        <f t="shared" si="186"/>
        <v>42359</v>
      </c>
      <c r="C3672" s="67">
        <f t="shared" si="187"/>
        <v>2015</v>
      </c>
      <c r="D3672" s="68">
        <v>17.103400000000001</v>
      </c>
      <c r="E3672" s="68">
        <v>17.0139</v>
      </c>
      <c r="F3672" s="68">
        <v>17.100000000000001</v>
      </c>
    </row>
    <row r="3673" spans="1:6">
      <c r="A3673" s="57" t="s">
        <v>6252</v>
      </c>
      <c r="B3673" s="58">
        <f t="shared" si="186"/>
        <v>42360</v>
      </c>
      <c r="C3673" s="59">
        <f t="shared" si="187"/>
        <v>2015</v>
      </c>
      <c r="D3673" s="61">
        <v>17.184699999999999</v>
      </c>
      <c r="E3673" s="61">
        <v>17.103400000000001</v>
      </c>
      <c r="F3673" s="61">
        <v>17.0139</v>
      </c>
    </row>
    <row r="3674" spans="1:6">
      <c r="A3674" s="65" t="s">
        <v>6253</v>
      </c>
      <c r="B3674" s="66">
        <f t="shared" si="186"/>
        <v>42361</v>
      </c>
      <c r="C3674" s="67">
        <f t="shared" si="187"/>
        <v>2015</v>
      </c>
      <c r="D3674" s="68">
        <v>17.1953</v>
      </c>
      <c r="E3674" s="68">
        <v>17.184699999999999</v>
      </c>
      <c r="F3674" s="68">
        <v>17.103400000000001</v>
      </c>
    </row>
    <row r="3675" spans="1:6">
      <c r="A3675" s="57" t="s">
        <v>6254</v>
      </c>
      <c r="B3675" s="58">
        <f t="shared" si="186"/>
        <v>42362</v>
      </c>
      <c r="C3675" s="59">
        <f t="shared" si="187"/>
        <v>2015</v>
      </c>
      <c r="D3675" s="61">
        <v>17.276</v>
      </c>
      <c r="E3675" s="61">
        <v>17.1953</v>
      </c>
      <c r="F3675" s="61">
        <v>17.184699999999999</v>
      </c>
    </row>
    <row r="3676" spans="1:6">
      <c r="A3676" s="65" t="s">
        <v>6255</v>
      </c>
      <c r="B3676" s="66">
        <f t="shared" si="186"/>
        <v>42363</v>
      </c>
      <c r="C3676" s="67">
        <f t="shared" si="187"/>
        <v>2015</v>
      </c>
      <c r="D3676" s="70" t="s">
        <v>362</v>
      </c>
      <c r="E3676" s="70" t="s">
        <v>362</v>
      </c>
      <c r="F3676" s="68">
        <v>17.1953</v>
      </c>
    </row>
    <row r="3677" spans="1:6">
      <c r="A3677" s="57" t="s">
        <v>6256</v>
      </c>
      <c r="B3677" s="58">
        <f t="shared" si="186"/>
        <v>42364</v>
      </c>
      <c r="C3677" s="59">
        <f t="shared" si="187"/>
        <v>2015</v>
      </c>
      <c r="D3677" s="60" t="s">
        <v>362</v>
      </c>
      <c r="E3677" s="60" t="s">
        <v>362</v>
      </c>
      <c r="F3677" s="61">
        <v>17.1953</v>
      </c>
    </row>
    <row r="3678" spans="1:6">
      <c r="A3678" s="65" t="s">
        <v>6257</v>
      </c>
      <c r="B3678" s="66">
        <f t="shared" si="186"/>
        <v>42365</v>
      </c>
      <c r="C3678" s="67">
        <f t="shared" si="187"/>
        <v>2015</v>
      </c>
      <c r="D3678" s="70" t="s">
        <v>362</v>
      </c>
      <c r="E3678" s="70" t="s">
        <v>362</v>
      </c>
      <c r="F3678" s="68">
        <v>17.1953</v>
      </c>
    </row>
    <row r="3679" spans="1:6">
      <c r="A3679" s="57" t="s">
        <v>6258</v>
      </c>
      <c r="B3679" s="58">
        <f t="shared" ref="B3679:B3742" si="188">DATE(RIGHT(A3679,4),LEFT(RIGHT(A3679,7),2),LEFT(A3679,2))</f>
        <v>42366</v>
      </c>
      <c r="C3679" s="59">
        <f t="shared" ref="C3679:C3742" si="189">YEAR(B3679)</f>
        <v>2015</v>
      </c>
      <c r="D3679" s="61">
        <v>17.271000000000001</v>
      </c>
      <c r="E3679" s="61">
        <v>17.276</v>
      </c>
      <c r="F3679" s="61">
        <v>17.1953</v>
      </c>
    </row>
    <row r="3680" spans="1:6">
      <c r="A3680" s="65" t="s">
        <v>6259</v>
      </c>
      <c r="B3680" s="66">
        <f t="shared" si="188"/>
        <v>42367</v>
      </c>
      <c r="C3680" s="67">
        <f t="shared" si="189"/>
        <v>2015</v>
      </c>
      <c r="D3680" s="68">
        <v>17.206499999999998</v>
      </c>
      <c r="E3680" s="68">
        <v>17.271000000000001</v>
      </c>
      <c r="F3680" s="68">
        <v>17.276</v>
      </c>
    </row>
    <row r="3681" spans="1:6">
      <c r="A3681" s="57" t="s">
        <v>6260</v>
      </c>
      <c r="B3681" s="58">
        <f t="shared" si="188"/>
        <v>42368</v>
      </c>
      <c r="C3681" s="59">
        <f t="shared" si="189"/>
        <v>2015</v>
      </c>
      <c r="D3681" s="61">
        <v>17.3398</v>
      </c>
      <c r="E3681" s="61">
        <v>17.206499999999998</v>
      </c>
      <c r="F3681" s="61">
        <v>17.271000000000001</v>
      </c>
    </row>
    <row r="3682" spans="1:6">
      <c r="A3682" s="65" t="s">
        <v>6261</v>
      </c>
      <c r="B3682" s="66">
        <f t="shared" si="188"/>
        <v>42369</v>
      </c>
      <c r="C3682" s="67">
        <f t="shared" si="189"/>
        <v>2015</v>
      </c>
      <c r="D3682" s="68">
        <v>17.248699999999999</v>
      </c>
      <c r="E3682" s="68">
        <v>17.3398</v>
      </c>
      <c r="F3682" s="68">
        <v>17.206499999999998</v>
      </c>
    </row>
    <row r="3683" spans="1:6">
      <c r="A3683" s="57" t="s">
        <v>6262</v>
      </c>
      <c r="B3683" s="58">
        <f t="shared" si="188"/>
        <v>42370</v>
      </c>
      <c r="C3683" s="59">
        <f t="shared" si="189"/>
        <v>2016</v>
      </c>
      <c r="D3683" s="60" t="s">
        <v>362</v>
      </c>
      <c r="E3683" s="60" t="s">
        <v>362</v>
      </c>
      <c r="F3683" s="61">
        <v>17.3398</v>
      </c>
    </row>
    <row r="3684" spans="1:6">
      <c r="A3684" s="65" t="s">
        <v>6263</v>
      </c>
      <c r="B3684" s="66">
        <f t="shared" si="188"/>
        <v>42371</v>
      </c>
      <c r="C3684" s="67">
        <f t="shared" si="189"/>
        <v>2016</v>
      </c>
      <c r="D3684" s="70" t="s">
        <v>362</v>
      </c>
      <c r="E3684" s="70" t="s">
        <v>362</v>
      </c>
      <c r="F3684" s="68">
        <v>17.3398</v>
      </c>
    </row>
    <row r="3685" spans="1:6">
      <c r="A3685" s="57" t="s">
        <v>6264</v>
      </c>
      <c r="B3685" s="58">
        <f t="shared" si="188"/>
        <v>42372</v>
      </c>
      <c r="C3685" s="59">
        <f t="shared" si="189"/>
        <v>2016</v>
      </c>
      <c r="D3685" s="60" t="s">
        <v>362</v>
      </c>
      <c r="E3685" s="60" t="s">
        <v>362</v>
      </c>
      <c r="F3685" s="61">
        <v>17.3398</v>
      </c>
    </row>
    <row r="3686" spans="1:6">
      <c r="A3686" s="65" t="s">
        <v>6265</v>
      </c>
      <c r="B3686" s="66">
        <f t="shared" si="188"/>
        <v>42373</v>
      </c>
      <c r="C3686" s="67">
        <f t="shared" si="189"/>
        <v>2016</v>
      </c>
      <c r="D3686" s="68">
        <v>17.352900000000002</v>
      </c>
      <c r="E3686" s="68">
        <v>17.248699999999999</v>
      </c>
      <c r="F3686" s="68">
        <v>17.3398</v>
      </c>
    </row>
    <row r="3687" spans="1:6">
      <c r="A3687" s="57" t="s">
        <v>6266</v>
      </c>
      <c r="B3687" s="58">
        <f t="shared" si="188"/>
        <v>42374</v>
      </c>
      <c r="C3687" s="59">
        <f t="shared" si="189"/>
        <v>2016</v>
      </c>
      <c r="D3687" s="61">
        <v>17.345600000000001</v>
      </c>
      <c r="E3687" s="61">
        <v>17.352900000000002</v>
      </c>
      <c r="F3687" s="61">
        <v>17.248699999999999</v>
      </c>
    </row>
    <row r="3688" spans="1:6">
      <c r="A3688" s="65" t="s">
        <v>6267</v>
      </c>
      <c r="B3688" s="66">
        <f t="shared" si="188"/>
        <v>42375</v>
      </c>
      <c r="C3688" s="67">
        <f t="shared" si="189"/>
        <v>2016</v>
      </c>
      <c r="D3688" s="68">
        <v>17.441099999999999</v>
      </c>
      <c r="E3688" s="68">
        <v>17.345600000000001</v>
      </c>
      <c r="F3688" s="68">
        <v>17.352900000000002</v>
      </c>
    </row>
    <row r="3689" spans="1:6">
      <c r="A3689" s="57" t="s">
        <v>6268</v>
      </c>
      <c r="B3689" s="58">
        <f t="shared" si="188"/>
        <v>42376</v>
      </c>
      <c r="C3689" s="59">
        <f t="shared" si="189"/>
        <v>2016</v>
      </c>
      <c r="D3689" s="61">
        <v>17.6568</v>
      </c>
      <c r="E3689" s="61">
        <v>17.441099999999999</v>
      </c>
      <c r="F3689" s="61">
        <v>17.345600000000001</v>
      </c>
    </row>
    <row r="3690" spans="1:6">
      <c r="A3690" s="65" t="s">
        <v>6269</v>
      </c>
      <c r="B3690" s="66">
        <f t="shared" si="188"/>
        <v>42377</v>
      </c>
      <c r="C3690" s="67">
        <f t="shared" si="189"/>
        <v>2016</v>
      </c>
      <c r="D3690" s="68">
        <v>17.9283</v>
      </c>
      <c r="E3690" s="68">
        <v>17.6568</v>
      </c>
      <c r="F3690" s="68">
        <v>17.441099999999999</v>
      </c>
    </row>
    <row r="3691" spans="1:6">
      <c r="A3691" s="57" t="s">
        <v>6270</v>
      </c>
      <c r="B3691" s="58">
        <f t="shared" si="188"/>
        <v>42378</v>
      </c>
      <c r="C3691" s="59">
        <f t="shared" si="189"/>
        <v>2016</v>
      </c>
      <c r="D3691" s="60" t="s">
        <v>362</v>
      </c>
      <c r="E3691" s="60" t="s">
        <v>362</v>
      </c>
      <c r="F3691" s="61">
        <v>17.6568</v>
      </c>
    </row>
    <row r="3692" spans="1:6">
      <c r="A3692" s="65" t="s">
        <v>6271</v>
      </c>
      <c r="B3692" s="66">
        <f t="shared" si="188"/>
        <v>42379</v>
      </c>
      <c r="C3692" s="67">
        <f t="shared" si="189"/>
        <v>2016</v>
      </c>
      <c r="D3692" s="70" t="s">
        <v>362</v>
      </c>
      <c r="E3692" s="70" t="s">
        <v>362</v>
      </c>
      <c r="F3692" s="68">
        <v>17.6568</v>
      </c>
    </row>
    <row r="3693" spans="1:6">
      <c r="A3693" s="57" t="s">
        <v>6272</v>
      </c>
      <c r="B3693" s="58">
        <f t="shared" si="188"/>
        <v>42380</v>
      </c>
      <c r="C3693" s="59">
        <f t="shared" si="189"/>
        <v>2016</v>
      </c>
      <c r="D3693" s="61">
        <v>17.930399999999999</v>
      </c>
      <c r="E3693" s="61">
        <v>17.9283</v>
      </c>
      <c r="F3693" s="61">
        <v>17.6568</v>
      </c>
    </row>
    <row r="3694" spans="1:6">
      <c r="A3694" s="65" t="s">
        <v>6273</v>
      </c>
      <c r="B3694" s="66">
        <f t="shared" si="188"/>
        <v>42381</v>
      </c>
      <c r="C3694" s="67">
        <f t="shared" si="189"/>
        <v>2016</v>
      </c>
      <c r="D3694" s="68">
        <v>17.911899999999999</v>
      </c>
      <c r="E3694" s="68">
        <v>17.930399999999999</v>
      </c>
      <c r="F3694" s="68">
        <v>17.9283</v>
      </c>
    </row>
    <row r="3695" spans="1:6">
      <c r="A3695" s="57" t="s">
        <v>6274</v>
      </c>
      <c r="B3695" s="58">
        <f t="shared" si="188"/>
        <v>42382</v>
      </c>
      <c r="C3695" s="59">
        <f t="shared" si="189"/>
        <v>2016</v>
      </c>
      <c r="D3695" s="61">
        <v>17.850000000000001</v>
      </c>
      <c r="E3695" s="61">
        <v>17.911899999999999</v>
      </c>
      <c r="F3695" s="61">
        <v>17.930399999999999</v>
      </c>
    </row>
    <row r="3696" spans="1:6">
      <c r="A3696" s="65" t="s">
        <v>6275</v>
      </c>
      <c r="B3696" s="66">
        <f t="shared" si="188"/>
        <v>42383</v>
      </c>
      <c r="C3696" s="67">
        <f t="shared" si="189"/>
        <v>2016</v>
      </c>
      <c r="D3696" s="68">
        <v>17.912099999999999</v>
      </c>
      <c r="E3696" s="68">
        <v>17.850000000000001</v>
      </c>
      <c r="F3696" s="68">
        <v>17.911899999999999</v>
      </c>
    </row>
    <row r="3697" spans="1:6">
      <c r="A3697" s="57" t="s">
        <v>6276</v>
      </c>
      <c r="B3697" s="58">
        <f t="shared" si="188"/>
        <v>42384</v>
      </c>
      <c r="C3697" s="59">
        <f t="shared" si="189"/>
        <v>2016</v>
      </c>
      <c r="D3697" s="61">
        <v>18.210799999999999</v>
      </c>
      <c r="E3697" s="61">
        <v>17.912099999999999</v>
      </c>
      <c r="F3697" s="61">
        <v>17.850000000000001</v>
      </c>
    </row>
    <row r="3698" spans="1:6">
      <c r="A3698" s="65" t="s">
        <v>6277</v>
      </c>
      <c r="B3698" s="66">
        <f t="shared" si="188"/>
        <v>42385</v>
      </c>
      <c r="C3698" s="67">
        <f t="shared" si="189"/>
        <v>2016</v>
      </c>
      <c r="D3698" s="70" t="s">
        <v>362</v>
      </c>
      <c r="E3698" s="70" t="s">
        <v>362</v>
      </c>
      <c r="F3698" s="68">
        <v>17.912099999999999</v>
      </c>
    </row>
    <row r="3699" spans="1:6">
      <c r="A3699" s="57" t="s">
        <v>6278</v>
      </c>
      <c r="B3699" s="58">
        <f t="shared" si="188"/>
        <v>42386</v>
      </c>
      <c r="C3699" s="59">
        <f t="shared" si="189"/>
        <v>2016</v>
      </c>
      <c r="D3699" s="60" t="s">
        <v>362</v>
      </c>
      <c r="E3699" s="60" t="s">
        <v>362</v>
      </c>
      <c r="F3699" s="61">
        <v>17.912099999999999</v>
      </c>
    </row>
    <row r="3700" spans="1:6">
      <c r="A3700" s="65" t="s">
        <v>6279</v>
      </c>
      <c r="B3700" s="66">
        <f t="shared" si="188"/>
        <v>42387</v>
      </c>
      <c r="C3700" s="67">
        <f t="shared" si="189"/>
        <v>2016</v>
      </c>
      <c r="D3700" s="68">
        <v>18.232700000000001</v>
      </c>
      <c r="E3700" s="68">
        <v>18.210799999999999</v>
      </c>
      <c r="F3700" s="68">
        <v>17.912099999999999</v>
      </c>
    </row>
    <row r="3701" spans="1:6">
      <c r="A3701" s="57" t="s">
        <v>6280</v>
      </c>
      <c r="B3701" s="58">
        <f t="shared" si="188"/>
        <v>42388</v>
      </c>
      <c r="C3701" s="59">
        <f t="shared" si="189"/>
        <v>2016</v>
      </c>
      <c r="D3701" s="61">
        <v>18.194700000000001</v>
      </c>
      <c r="E3701" s="61">
        <v>18.232700000000001</v>
      </c>
      <c r="F3701" s="61">
        <v>18.210799999999999</v>
      </c>
    </row>
    <row r="3702" spans="1:6">
      <c r="A3702" s="65" t="s">
        <v>6281</v>
      </c>
      <c r="B3702" s="66">
        <f t="shared" si="188"/>
        <v>42389</v>
      </c>
      <c r="C3702" s="67">
        <f t="shared" si="189"/>
        <v>2016</v>
      </c>
      <c r="D3702" s="68">
        <v>18.608000000000001</v>
      </c>
      <c r="E3702" s="68">
        <v>18.194700000000001</v>
      </c>
      <c r="F3702" s="68">
        <v>18.232700000000001</v>
      </c>
    </row>
    <row r="3703" spans="1:6">
      <c r="A3703" s="57" t="s">
        <v>6282</v>
      </c>
      <c r="B3703" s="58">
        <f t="shared" si="188"/>
        <v>42390</v>
      </c>
      <c r="C3703" s="59">
        <f t="shared" si="189"/>
        <v>2016</v>
      </c>
      <c r="D3703" s="61">
        <v>18.508400000000002</v>
      </c>
      <c r="E3703" s="61">
        <v>18.608000000000001</v>
      </c>
      <c r="F3703" s="61">
        <v>18.194700000000001</v>
      </c>
    </row>
    <row r="3704" spans="1:6">
      <c r="A3704" s="65" t="s">
        <v>6283</v>
      </c>
      <c r="B3704" s="66">
        <f t="shared" si="188"/>
        <v>42391</v>
      </c>
      <c r="C3704" s="67">
        <f t="shared" si="189"/>
        <v>2016</v>
      </c>
      <c r="D3704" s="68">
        <v>18.428000000000001</v>
      </c>
      <c r="E3704" s="68">
        <v>18.508400000000002</v>
      </c>
      <c r="F3704" s="68">
        <v>18.608000000000001</v>
      </c>
    </row>
    <row r="3705" spans="1:6">
      <c r="A3705" s="57" t="s">
        <v>6284</v>
      </c>
      <c r="B3705" s="58">
        <f t="shared" si="188"/>
        <v>42392</v>
      </c>
      <c r="C3705" s="59">
        <f t="shared" si="189"/>
        <v>2016</v>
      </c>
      <c r="D3705" s="60" t="s">
        <v>362</v>
      </c>
      <c r="E3705" s="60" t="s">
        <v>362</v>
      </c>
      <c r="F3705" s="61">
        <v>18.508400000000002</v>
      </c>
    </row>
    <row r="3706" spans="1:6">
      <c r="A3706" s="65" t="s">
        <v>6285</v>
      </c>
      <c r="B3706" s="66">
        <f t="shared" si="188"/>
        <v>42393</v>
      </c>
      <c r="C3706" s="67">
        <f t="shared" si="189"/>
        <v>2016</v>
      </c>
      <c r="D3706" s="70" t="s">
        <v>362</v>
      </c>
      <c r="E3706" s="70" t="s">
        <v>362</v>
      </c>
      <c r="F3706" s="68">
        <v>18.508400000000002</v>
      </c>
    </row>
    <row r="3707" spans="1:6">
      <c r="A3707" s="57" t="s">
        <v>6286</v>
      </c>
      <c r="B3707" s="58">
        <f t="shared" si="188"/>
        <v>42394</v>
      </c>
      <c r="C3707" s="59">
        <f t="shared" si="189"/>
        <v>2016</v>
      </c>
      <c r="D3707" s="61">
        <v>18.5352</v>
      </c>
      <c r="E3707" s="61">
        <v>18.428000000000001</v>
      </c>
      <c r="F3707" s="61">
        <v>18.508400000000002</v>
      </c>
    </row>
    <row r="3708" spans="1:6">
      <c r="A3708" s="65" t="s">
        <v>6287</v>
      </c>
      <c r="B3708" s="66">
        <f t="shared" si="188"/>
        <v>42395</v>
      </c>
      <c r="C3708" s="67">
        <f t="shared" si="189"/>
        <v>2016</v>
      </c>
      <c r="D3708" s="68">
        <v>18.471499999999999</v>
      </c>
      <c r="E3708" s="68">
        <v>18.5352</v>
      </c>
      <c r="F3708" s="68">
        <v>18.428000000000001</v>
      </c>
    </row>
    <row r="3709" spans="1:6">
      <c r="A3709" s="57" t="s">
        <v>6288</v>
      </c>
      <c r="B3709" s="58">
        <f t="shared" si="188"/>
        <v>42396</v>
      </c>
      <c r="C3709" s="59">
        <f t="shared" si="189"/>
        <v>2016</v>
      </c>
      <c r="D3709" s="61">
        <v>18.452999999999999</v>
      </c>
      <c r="E3709" s="61">
        <v>18.471499999999999</v>
      </c>
      <c r="F3709" s="61">
        <v>18.5352</v>
      </c>
    </row>
    <row r="3710" spans="1:6">
      <c r="A3710" s="65" t="s">
        <v>6289</v>
      </c>
      <c r="B3710" s="66">
        <f t="shared" si="188"/>
        <v>42397</v>
      </c>
      <c r="C3710" s="67">
        <f t="shared" si="189"/>
        <v>2016</v>
      </c>
      <c r="D3710" s="68">
        <v>18.290600000000001</v>
      </c>
      <c r="E3710" s="68">
        <v>18.452999999999999</v>
      </c>
      <c r="F3710" s="68">
        <v>18.471499999999999</v>
      </c>
    </row>
    <row r="3711" spans="1:6">
      <c r="A3711" s="57" t="s">
        <v>6290</v>
      </c>
      <c r="B3711" s="58">
        <f t="shared" si="188"/>
        <v>42398</v>
      </c>
      <c r="C3711" s="59">
        <f t="shared" si="189"/>
        <v>2016</v>
      </c>
      <c r="D3711" s="61">
        <v>18.1935</v>
      </c>
      <c r="E3711" s="61">
        <v>18.290600000000001</v>
      </c>
      <c r="F3711" s="61">
        <v>18.452999999999999</v>
      </c>
    </row>
    <row r="3712" spans="1:6">
      <c r="A3712" s="65" t="s">
        <v>6291</v>
      </c>
      <c r="B3712" s="66">
        <f t="shared" si="188"/>
        <v>42399</v>
      </c>
      <c r="C3712" s="67">
        <f t="shared" si="189"/>
        <v>2016</v>
      </c>
      <c r="D3712" s="70" t="s">
        <v>362</v>
      </c>
      <c r="E3712" s="70" t="s">
        <v>362</v>
      </c>
      <c r="F3712" s="68">
        <v>18.290600000000001</v>
      </c>
    </row>
    <row r="3713" spans="1:6">
      <c r="A3713" s="57" t="s">
        <v>6292</v>
      </c>
      <c r="B3713" s="58">
        <f t="shared" si="188"/>
        <v>42400</v>
      </c>
      <c r="C3713" s="59">
        <f t="shared" si="189"/>
        <v>2016</v>
      </c>
      <c r="D3713" s="60" t="s">
        <v>362</v>
      </c>
      <c r="E3713" s="60" t="s">
        <v>362</v>
      </c>
      <c r="F3713" s="61">
        <v>18.290600000000001</v>
      </c>
    </row>
    <row r="3714" spans="1:6">
      <c r="A3714" s="65" t="s">
        <v>6293</v>
      </c>
      <c r="B3714" s="66">
        <f t="shared" si="188"/>
        <v>42401</v>
      </c>
      <c r="C3714" s="67">
        <f t="shared" si="189"/>
        <v>2016</v>
      </c>
      <c r="D3714" s="70" t="s">
        <v>362</v>
      </c>
      <c r="E3714" s="70" t="s">
        <v>362</v>
      </c>
      <c r="F3714" s="68">
        <v>18.290600000000001</v>
      </c>
    </row>
    <row r="3715" spans="1:6">
      <c r="A3715" s="57" t="s">
        <v>6294</v>
      </c>
      <c r="B3715" s="58">
        <f t="shared" si="188"/>
        <v>42402</v>
      </c>
      <c r="C3715" s="59">
        <f t="shared" si="189"/>
        <v>2016</v>
      </c>
      <c r="D3715" s="61">
        <v>18.490200000000002</v>
      </c>
      <c r="E3715" s="61">
        <v>18.1935</v>
      </c>
      <c r="F3715" s="61">
        <v>18.290600000000001</v>
      </c>
    </row>
    <row r="3716" spans="1:6">
      <c r="A3716" s="65" t="s">
        <v>6295</v>
      </c>
      <c r="B3716" s="66">
        <f t="shared" si="188"/>
        <v>42403</v>
      </c>
      <c r="C3716" s="67">
        <f t="shared" si="189"/>
        <v>2016</v>
      </c>
      <c r="D3716" s="68">
        <v>18.453700000000001</v>
      </c>
      <c r="E3716" s="68">
        <v>18.490200000000002</v>
      </c>
      <c r="F3716" s="68">
        <v>18.1935</v>
      </c>
    </row>
    <row r="3717" spans="1:6">
      <c r="A3717" s="57" t="s">
        <v>6296</v>
      </c>
      <c r="B3717" s="58">
        <f t="shared" si="188"/>
        <v>42404</v>
      </c>
      <c r="C3717" s="59">
        <f t="shared" si="189"/>
        <v>2016</v>
      </c>
      <c r="D3717" s="61">
        <v>18.1891</v>
      </c>
      <c r="E3717" s="61">
        <v>18.453700000000001</v>
      </c>
      <c r="F3717" s="61">
        <v>18.490200000000002</v>
      </c>
    </row>
    <row r="3718" spans="1:6">
      <c r="A3718" s="65" t="s">
        <v>6297</v>
      </c>
      <c r="B3718" s="66">
        <f t="shared" si="188"/>
        <v>42405</v>
      </c>
      <c r="C3718" s="67">
        <f t="shared" si="189"/>
        <v>2016</v>
      </c>
      <c r="D3718" s="68">
        <v>18.3748</v>
      </c>
      <c r="E3718" s="68">
        <v>18.1891</v>
      </c>
      <c r="F3718" s="68">
        <v>18.453700000000001</v>
      </c>
    </row>
    <row r="3719" spans="1:6">
      <c r="A3719" s="57" t="s">
        <v>6298</v>
      </c>
      <c r="B3719" s="58">
        <f t="shared" si="188"/>
        <v>42406</v>
      </c>
      <c r="C3719" s="59">
        <f t="shared" si="189"/>
        <v>2016</v>
      </c>
      <c r="D3719" s="60" t="s">
        <v>362</v>
      </c>
      <c r="E3719" s="60" t="s">
        <v>362</v>
      </c>
      <c r="F3719" s="61">
        <v>18.1891</v>
      </c>
    </row>
    <row r="3720" spans="1:6">
      <c r="A3720" s="65" t="s">
        <v>6299</v>
      </c>
      <c r="B3720" s="66">
        <f t="shared" si="188"/>
        <v>42407</v>
      </c>
      <c r="C3720" s="67">
        <f t="shared" si="189"/>
        <v>2016</v>
      </c>
      <c r="D3720" s="70" t="s">
        <v>362</v>
      </c>
      <c r="E3720" s="70" t="s">
        <v>362</v>
      </c>
      <c r="F3720" s="68">
        <v>18.1891</v>
      </c>
    </row>
    <row r="3721" spans="1:6">
      <c r="A3721" s="57" t="s">
        <v>6300</v>
      </c>
      <c r="B3721" s="58">
        <f t="shared" si="188"/>
        <v>42408</v>
      </c>
      <c r="C3721" s="59">
        <f t="shared" si="189"/>
        <v>2016</v>
      </c>
      <c r="D3721" s="61">
        <v>18.695900000000002</v>
      </c>
      <c r="E3721" s="61">
        <v>18.3748</v>
      </c>
      <c r="F3721" s="61">
        <v>18.1891</v>
      </c>
    </row>
    <row r="3722" spans="1:6">
      <c r="A3722" s="65" t="s">
        <v>6301</v>
      </c>
      <c r="B3722" s="66">
        <f t="shared" si="188"/>
        <v>42409</v>
      </c>
      <c r="C3722" s="67">
        <f t="shared" si="189"/>
        <v>2016</v>
      </c>
      <c r="D3722" s="68">
        <v>18.7818</v>
      </c>
      <c r="E3722" s="68">
        <v>18.695900000000002</v>
      </c>
      <c r="F3722" s="68">
        <v>18.3748</v>
      </c>
    </row>
    <row r="3723" spans="1:6">
      <c r="A3723" s="57" t="s">
        <v>6302</v>
      </c>
      <c r="B3723" s="58">
        <f t="shared" si="188"/>
        <v>42410</v>
      </c>
      <c r="C3723" s="59">
        <f t="shared" si="189"/>
        <v>2016</v>
      </c>
      <c r="D3723" s="61">
        <v>18.808900000000001</v>
      </c>
      <c r="E3723" s="61">
        <v>18.7818</v>
      </c>
      <c r="F3723" s="61">
        <v>18.695900000000002</v>
      </c>
    </row>
    <row r="3724" spans="1:6">
      <c r="A3724" s="65" t="s">
        <v>6303</v>
      </c>
      <c r="B3724" s="66">
        <f t="shared" si="188"/>
        <v>42411</v>
      </c>
      <c r="C3724" s="67">
        <f t="shared" si="189"/>
        <v>2016</v>
      </c>
      <c r="D3724" s="68">
        <v>19.1754</v>
      </c>
      <c r="E3724" s="68">
        <v>18.808900000000001</v>
      </c>
      <c r="F3724" s="68">
        <v>18.7818</v>
      </c>
    </row>
    <row r="3725" spans="1:6">
      <c r="A3725" s="57" t="s">
        <v>6304</v>
      </c>
      <c r="B3725" s="58">
        <f t="shared" si="188"/>
        <v>42412</v>
      </c>
      <c r="C3725" s="59">
        <f t="shared" si="189"/>
        <v>2016</v>
      </c>
      <c r="D3725" s="61">
        <v>19.039200000000001</v>
      </c>
      <c r="E3725" s="61">
        <v>19.1754</v>
      </c>
      <c r="F3725" s="61">
        <v>18.808900000000001</v>
      </c>
    </row>
    <row r="3726" spans="1:6">
      <c r="A3726" s="65" t="s">
        <v>6305</v>
      </c>
      <c r="B3726" s="66">
        <f t="shared" si="188"/>
        <v>42413</v>
      </c>
      <c r="C3726" s="67">
        <f t="shared" si="189"/>
        <v>2016</v>
      </c>
      <c r="D3726" s="70" t="s">
        <v>362</v>
      </c>
      <c r="E3726" s="70" t="s">
        <v>362</v>
      </c>
      <c r="F3726" s="68">
        <v>19.1754</v>
      </c>
    </row>
    <row r="3727" spans="1:6">
      <c r="A3727" s="57" t="s">
        <v>6306</v>
      </c>
      <c r="B3727" s="58">
        <f t="shared" si="188"/>
        <v>42414</v>
      </c>
      <c r="C3727" s="59">
        <f t="shared" si="189"/>
        <v>2016</v>
      </c>
      <c r="D3727" s="60" t="s">
        <v>362</v>
      </c>
      <c r="E3727" s="60" t="s">
        <v>362</v>
      </c>
      <c r="F3727" s="61">
        <v>19.1754</v>
      </c>
    </row>
    <row r="3728" spans="1:6">
      <c r="A3728" s="65" t="s">
        <v>6307</v>
      </c>
      <c r="B3728" s="66">
        <f t="shared" si="188"/>
        <v>42415</v>
      </c>
      <c r="C3728" s="67">
        <f t="shared" si="189"/>
        <v>2016</v>
      </c>
      <c r="D3728" s="68">
        <v>18.847100000000001</v>
      </c>
      <c r="E3728" s="68">
        <v>19.039200000000001</v>
      </c>
      <c r="F3728" s="68">
        <v>19.1754</v>
      </c>
    </row>
    <row r="3729" spans="1:6">
      <c r="A3729" s="57" t="s">
        <v>6308</v>
      </c>
      <c r="B3729" s="58">
        <f t="shared" si="188"/>
        <v>42416</v>
      </c>
      <c r="C3729" s="59">
        <f t="shared" si="189"/>
        <v>2016</v>
      </c>
      <c r="D3729" s="61">
        <v>18.814800000000002</v>
      </c>
      <c r="E3729" s="61">
        <v>18.847100000000001</v>
      </c>
      <c r="F3729" s="61">
        <v>19.039200000000001</v>
      </c>
    </row>
    <row r="3730" spans="1:6">
      <c r="A3730" s="65" t="s">
        <v>6309</v>
      </c>
      <c r="B3730" s="66">
        <f t="shared" si="188"/>
        <v>42417</v>
      </c>
      <c r="C3730" s="67">
        <f t="shared" si="189"/>
        <v>2016</v>
      </c>
      <c r="D3730" s="68">
        <v>18.389500000000002</v>
      </c>
      <c r="E3730" s="68">
        <v>18.814800000000002</v>
      </c>
      <c r="F3730" s="68">
        <v>18.847100000000001</v>
      </c>
    </row>
    <row r="3731" spans="1:6">
      <c r="A3731" s="57" t="s">
        <v>6310</v>
      </c>
      <c r="B3731" s="58">
        <f t="shared" si="188"/>
        <v>42418</v>
      </c>
      <c r="C3731" s="59">
        <f t="shared" si="189"/>
        <v>2016</v>
      </c>
      <c r="D3731" s="61">
        <v>18.143899999999999</v>
      </c>
      <c r="E3731" s="61">
        <v>18.389500000000002</v>
      </c>
      <c r="F3731" s="61">
        <v>18.814800000000002</v>
      </c>
    </row>
    <row r="3732" spans="1:6">
      <c r="A3732" s="65" t="s">
        <v>6311</v>
      </c>
      <c r="B3732" s="66">
        <f t="shared" si="188"/>
        <v>42419</v>
      </c>
      <c r="C3732" s="67">
        <f t="shared" si="189"/>
        <v>2016</v>
      </c>
      <c r="D3732" s="68">
        <v>18.276199999999999</v>
      </c>
      <c r="E3732" s="68">
        <v>18.143899999999999</v>
      </c>
      <c r="F3732" s="68">
        <v>18.389500000000002</v>
      </c>
    </row>
    <row r="3733" spans="1:6">
      <c r="A3733" s="57" t="s">
        <v>6312</v>
      </c>
      <c r="B3733" s="58">
        <f t="shared" si="188"/>
        <v>42420</v>
      </c>
      <c r="C3733" s="59">
        <f t="shared" si="189"/>
        <v>2016</v>
      </c>
      <c r="D3733" s="60" t="s">
        <v>362</v>
      </c>
      <c r="E3733" s="60" t="s">
        <v>362</v>
      </c>
      <c r="F3733" s="61">
        <v>18.143899999999999</v>
      </c>
    </row>
    <row r="3734" spans="1:6">
      <c r="A3734" s="65" t="s">
        <v>6313</v>
      </c>
      <c r="B3734" s="66">
        <f t="shared" si="188"/>
        <v>42421</v>
      </c>
      <c r="C3734" s="67">
        <f t="shared" si="189"/>
        <v>2016</v>
      </c>
      <c r="D3734" s="70" t="s">
        <v>362</v>
      </c>
      <c r="E3734" s="70" t="s">
        <v>362</v>
      </c>
      <c r="F3734" s="68">
        <v>18.143899999999999</v>
      </c>
    </row>
    <row r="3735" spans="1:6">
      <c r="A3735" s="57" t="s">
        <v>6314</v>
      </c>
      <c r="B3735" s="58">
        <f t="shared" si="188"/>
        <v>42422</v>
      </c>
      <c r="C3735" s="59">
        <f t="shared" si="189"/>
        <v>2016</v>
      </c>
      <c r="D3735" s="61">
        <v>18.056799999999999</v>
      </c>
      <c r="E3735" s="61">
        <v>18.276199999999999</v>
      </c>
      <c r="F3735" s="61">
        <v>18.143899999999999</v>
      </c>
    </row>
    <row r="3736" spans="1:6">
      <c r="A3736" s="65" t="s">
        <v>6315</v>
      </c>
      <c r="B3736" s="66">
        <f t="shared" si="188"/>
        <v>42423</v>
      </c>
      <c r="C3736" s="67">
        <f t="shared" si="189"/>
        <v>2016</v>
      </c>
      <c r="D3736" s="68">
        <v>18.194800000000001</v>
      </c>
      <c r="E3736" s="68">
        <v>18.056799999999999</v>
      </c>
      <c r="F3736" s="68">
        <v>18.276199999999999</v>
      </c>
    </row>
    <row r="3737" spans="1:6">
      <c r="A3737" s="57" t="s">
        <v>6316</v>
      </c>
      <c r="B3737" s="58">
        <f t="shared" si="188"/>
        <v>42424</v>
      </c>
      <c r="C3737" s="59">
        <f t="shared" si="189"/>
        <v>2016</v>
      </c>
      <c r="D3737" s="61">
        <v>18.289300000000001</v>
      </c>
      <c r="E3737" s="61">
        <v>18.194800000000001</v>
      </c>
      <c r="F3737" s="61">
        <v>18.056799999999999</v>
      </c>
    </row>
    <row r="3738" spans="1:6">
      <c r="A3738" s="65" t="s">
        <v>6317</v>
      </c>
      <c r="B3738" s="66">
        <f t="shared" si="188"/>
        <v>42425</v>
      </c>
      <c r="C3738" s="67">
        <f t="shared" si="189"/>
        <v>2016</v>
      </c>
      <c r="D3738" s="68">
        <v>18.167999999999999</v>
      </c>
      <c r="E3738" s="68">
        <v>18.289300000000001</v>
      </c>
      <c r="F3738" s="68">
        <v>18.194800000000001</v>
      </c>
    </row>
    <row r="3739" spans="1:6">
      <c r="A3739" s="57" t="s">
        <v>6318</v>
      </c>
      <c r="B3739" s="58">
        <f t="shared" si="188"/>
        <v>42426</v>
      </c>
      <c r="C3739" s="59">
        <f t="shared" si="189"/>
        <v>2016</v>
      </c>
      <c r="D3739" s="61">
        <v>18.1706</v>
      </c>
      <c r="E3739" s="61">
        <v>18.167999999999999</v>
      </c>
      <c r="F3739" s="61">
        <v>18.289300000000001</v>
      </c>
    </row>
    <row r="3740" spans="1:6">
      <c r="A3740" s="65" t="s">
        <v>6319</v>
      </c>
      <c r="B3740" s="66">
        <f t="shared" si="188"/>
        <v>42427</v>
      </c>
      <c r="C3740" s="67">
        <f t="shared" si="189"/>
        <v>2016</v>
      </c>
      <c r="D3740" s="70" t="s">
        <v>362</v>
      </c>
      <c r="E3740" s="70" t="s">
        <v>362</v>
      </c>
      <c r="F3740" s="68">
        <v>18.167999999999999</v>
      </c>
    </row>
    <row r="3741" spans="1:6">
      <c r="A3741" s="57" t="s">
        <v>6320</v>
      </c>
      <c r="B3741" s="58">
        <f t="shared" si="188"/>
        <v>42428</v>
      </c>
      <c r="C3741" s="59">
        <f t="shared" si="189"/>
        <v>2016</v>
      </c>
      <c r="D3741" s="60" t="s">
        <v>362</v>
      </c>
      <c r="E3741" s="60" t="s">
        <v>362</v>
      </c>
      <c r="F3741" s="61">
        <v>18.167999999999999</v>
      </c>
    </row>
    <row r="3742" spans="1:6">
      <c r="A3742" s="65" t="s">
        <v>6321</v>
      </c>
      <c r="B3742" s="66">
        <f t="shared" si="188"/>
        <v>42429</v>
      </c>
      <c r="C3742" s="67">
        <f t="shared" si="189"/>
        <v>2016</v>
      </c>
      <c r="D3742" s="68">
        <v>18.102</v>
      </c>
      <c r="E3742" s="68">
        <v>18.1706</v>
      </c>
      <c r="F3742" s="68">
        <v>18.167999999999999</v>
      </c>
    </row>
    <row r="3743" spans="1:6">
      <c r="A3743" s="57" t="s">
        <v>6322</v>
      </c>
      <c r="B3743" s="58">
        <f t="shared" ref="B3743:B3806" si="190">DATE(RIGHT(A3743,4),LEFT(RIGHT(A3743,7),2),LEFT(A3743,2))</f>
        <v>42430</v>
      </c>
      <c r="C3743" s="59">
        <f t="shared" ref="C3743:C3806" si="191">YEAR(B3743)</f>
        <v>2016</v>
      </c>
      <c r="D3743" s="61">
        <v>17.943200000000001</v>
      </c>
      <c r="E3743" s="61">
        <v>18.102</v>
      </c>
      <c r="F3743" s="61">
        <v>18.1706</v>
      </c>
    </row>
    <row r="3744" spans="1:6">
      <c r="A3744" s="65" t="s">
        <v>6323</v>
      </c>
      <c r="B3744" s="66">
        <f t="shared" si="190"/>
        <v>42431</v>
      </c>
      <c r="C3744" s="67">
        <f t="shared" si="191"/>
        <v>2016</v>
      </c>
      <c r="D3744" s="68">
        <v>17.856100000000001</v>
      </c>
      <c r="E3744" s="68">
        <v>17.943200000000001</v>
      </c>
      <c r="F3744" s="68">
        <v>18.102</v>
      </c>
    </row>
    <row r="3745" spans="1:6">
      <c r="A3745" s="57" t="s">
        <v>6324</v>
      </c>
      <c r="B3745" s="58">
        <f t="shared" si="190"/>
        <v>42432</v>
      </c>
      <c r="C3745" s="59">
        <f t="shared" si="191"/>
        <v>2016</v>
      </c>
      <c r="D3745" s="61">
        <v>17.897099999999998</v>
      </c>
      <c r="E3745" s="61">
        <v>17.856100000000001</v>
      </c>
      <c r="F3745" s="61">
        <v>17.943200000000001</v>
      </c>
    </row>
    <row r="3746" spans="1:6">
      <c r="A3746" s="65" t="s">
        <v>6325</v>
      </c>
      <c r="B3746" s="66">
        <f t="shared" si="190"/>
        <v>42433</v>
      </c>
      <c r="C3746" s="67">
        <f t="shared" si="191"/>
        <v>2016</v>
      </c>
      <c r="D3746" s="68">
        <v>17.772300000000001</v>
      </c>
      <c r="E3746" s="68">
        <v>17.897099999999998</v>
      </c>
      <c r="F3746" s="68">
        <v>17.856100000000001</v>
      </c>
    </row>
    <row r="3747" spans="1:6">
      <c r="A3747" s="57" t="s">
        <v>6326</v>
      </c>
      <c r="B3747" s="58">
        <f t="shared" si="190"/>
        <v>42434</v>
      </c>
      <c r="C3747" s="59">
        <f t="shared" si="191"/>
        <v>2016</v>
      </c>
      <c r="D3747" s="60" t="s">
        <v>362</v>
      </c>
      <c r="E3747" s="60" t="s">
        <v>362</v>
      </c>
      <c r="F3747" s="61">
        <v>17.897099999999998</v>
      </c>
    </row>
    <row r="3748" spans="1:6">
      <c r="A3748" s="65" t="s">
        <v>6327</v>
      </c>
      <c r="B3748" s="66">
        <f t="shared" si="190"/>
        <v>42435</v>
      </c>
      <c r="C3748" s="67">
        <f t="shared" si="191"/>
        <v>2016</v>
      </c>
      <c r="D3748" s="70" t="s">
        <v>362</v>
      </c>
      <c r="E3748" s="70" t="s">
        <v>362</v>
      </c>
      <c r="F3748" s="68">
        <v>17.897099999999998</v>
      </c>
    </row>
    <row r="3749" spans="1:6">
      <c r="A3749" s="57" t="s">
        <v>6328</v>
      </c>
      <c r="B3749" s="58">
        <f t="shared" si="190"/>
        <v>42436</v>
      </c>
      <c r="C3749" s="59">
        <f t="shared" si="191"/>
        <v>2016</v>
      </c>
      <c r="D3749" s="61">
        <v>17.752600000000001</v>
      </c>
      <c r="E3749" s="61">
        <v>17.772300000000001</v>
      </c>
      <c r="F3749" s="61">
        <v>17.897099999999998</v>
      </c>
    </row>
    <row r="3750" spans="1:6">
      <c r="A3750" s="65" t="s">
        <v>6329</v>
      </c>
      <c r="B3750" s="66">
        <f t="shared" si="190"/>
        <v>42437</v>
      </c>
      <c r="C3750" s="67">
        <f t="shared" si="191"/>
        <v>2016</v>
      </c>
      <c r="D3750" s="68">
        <v>17.904399999999999</v>
      </c>
      <c r="E3750" s="68">
        <v>17.752600000000001</v>
      </c>
      <c r="F3750" s="68">
        <v>17.772300000000001</v>
      </c>
    </row>
    <row r="3751" spans="1:6">
      <c r="A3751" s="57" t="s">
        <v>6330</v>
      </c>
      <c r="B3751" s="58">
        <f t="shared" si="190"/>
        <v>42438</v>
      </c>
      <c r="C3751" s="59">
        <f t="shared" si="191"/>
        <v>2016</v>
      </c>
      <c r="D3751" s="61">
        <v>17.752300000000002</v>
      </c>
      <c r="E3751" s="61">
        <v>17.904399999999999</v>
      </c>
      <c r="F3751" s="61">
        <v>17.752600000000001</v>
      </c>
    </row>
    <row r="3752" spans="1:6">
      <c r="A3752" s="65" t="s">
        <v>6331</v>
      </c>
      <c r="B3752" s="66">
        <f t="shared" si="190"/>
        <v>42439</v>
      </c>
      <c r="C3752" s="67">
        <f t="shared" si="191"/>
        <v>2016</v>
      </c>
      <c r="D3752" s="68">
        <v>17.860099999999999</v>
      </c>
      <c r="E3752" s="68">
        <v>17.752300000000002</v>
      </c>
      <c r="F3752" s="68">
        <v>17.904399999999999</v>
      </c>
    </row>
    <row r="3753" spans="1:6">
      <c r="A3753" s="57" t="s">
        <v>6332</v>
      </c>
      <c r="B3753" s="58">
        <f t="shared" si="190"/>
        <v>42440</v>
      </c>
      <c r="C3753" s="59">
        <f t="shared" si="191"/>
        <v>2016</v>
      </c>
      <c r="D3753" s="61">
        <v>17.700199999999999</v>
      </c>
      <c r="E3753" s="61">
        <v>17.860099999999999</v>
      </c>
      <c r="F3753" s="61">
        <v>17.752300000000002</v>
      </c>
    </row>
    <row r="3754" spans="1:6">
      <c r="A3754" s="65" t="s">
        <v>6333</v>
      </c>
      <c r="B3754" s="66">
        <f t="shared" si="190"/>
        <v>42441</v>
      </c>
      <c r="C3754" s="67">
        <f t="shared" si="191"/>
        <v>2016</v>
      </c>
      <c r="D3754" s="70" t="s">
        <v>362</v>
      </c>
      <c r="E3754" s="70" t="s">
        <v>362</v>
      </c>
      <c r="F3754" s="68">
        <v>17.860099999999999</v>
      </c>
    </row>
    <row r="3755" spans="1:6">
      <c r="A3755" s="57" t="s">
        <v>6334</v>
      </c>
      <c r="B3755" s="58">
        <f t="shared" si="190"/>
        <v>42442</v>
      </c>
      <c r="C3755" s="59">
        <f t="shared" si="191"/>
        <v>2016</v>
      </c>
      <c r="D3755" s="60" t="s">
        <v>362</v>
      </c>
      <c r="E3755" s="60" t="s">
        <v>362</v>
      </c>
      <c r="F3755" s="61">
        <v>17.860099999999999</v>
      </c>
    </row>
    <row r="3756" spans="1:6">
      <c r="A3756" s="65" t="s">
        <v>6335</v>
      </c>
      <c r="B3756" s="66">
        <f t="shared" si="190"/>
        <v>42443</v>
      </c>
      <c r="C3756" s="67">
        <f t="shared" si="191"/>
        <v>2016</v>
      </c>
      <c r="D3756" s="68">
        <v>17.769100000000002</v>
      </c>
      <c r="E3756" s="68">
        <v>17.700199999999999</v>
      </c>
      <c r="F3756" s="68">
        <v>17.860099999999999</v>
      </c>
    </row>
    <row r="3757" spans="1:6">
      <c r="A3757" s="57" t="s">
        <v>6336</v>
      </c>
      <c r="B3757" s="58">
        <f t="shared" si="190"/>
        <v>42444</v>
      </c>
      <c r="C3757" s="59">
        <f t="shared" si="191"/>
        <v>2016</v>
      </c>
      <c r="D3757" s="61">
        <v>17.925999999999998</v>
      </c>
      <c r="E3757" s="61">
        <v>17.769100000000002</v>
      </c>
      <c r="F3757" s="61">
        <v>17.700199999999999</v>
      </c>
    </row>
    <row r="3758" spans="1:6">
      <c r="A3758" s="65" t="s">
        <v>6337</v>
      </c>
      <c r="B3758" s="66">
        <f t="shared" si="190"/>
        <v>42445</v>
      </c>
      <c r="C3758" s="67">
        <f t="shared" si="191"/>
        <v>2016</v>
      </c>
      <c r="D3758" s="68">
        <v>17.930800000000001</v>
      </c>
      <c r="E3758" s="68">
        <v>17.925999999999998</v>
      </c>
      <c r="F3758" s="68">
        <v>17.769100000000002</v>
      </c>
    </row>
    <row r="3759" spans="1:6">
      <c r="A3759" s="57" t="s">
        <v>6338</v>
      </c>
      <c r="B3759" s="58">
        <f t="shared" si="190"/>
        <v>42446</v>
      </c>
      <c r="C3759" s="59">
        <f t="shared" si="191"/>
        <v>2016</v>
      </c>
      <c r="D3759" s="61">
        <v>17.403400000000001</v>
      </c>
      <c r="E3759" s="61">
        <v>17.930800000000001</v>
      </c>
      <c r="F3759" s="61">
        <v>17.925999999999998</v>
      </c>
    </row>
    <row r="3760" spans="1:6">
      <c r="A3760" s="65" t="s">
        <v>6339</v>
      </c>
      <c r="B3760" s="66">
        <f t="shared" si="190"/>
        <v>42447</v>
      </c>
      <c r="C3760" s="67">
        <f t="shared" si="191"/>
        <v>2016</v>
      </c>
      <c r="D3760" s="68">
        <v>17.299499999999998</v>
      </c>
      <c r="E3760" s="68">
        <v>17.403400000000001</v>
      </c>
      <c r="F3760" s="68">
        <v>17.930800000000001</v>
      </c>
    </row>
    <row r="3761" spans="1:6">
      <c r="A3761" s="57" t="s">
        <v>6340</v>
      </c>
      <c r="B3761" s="58">
        <f t="shared" si="190"/>
        <v>42448</v>
      </c>
      <c r="C3761" s="59">
        <f t="shared" si="191"/>
        <v>2016</v>
      </c>
      <c r="D3761" s="60" t="s">
        <v>362</v>
      </c>
      <c r="E3761" s="60" t="s">
        <v>362</v>
      </c>
      <c r="F3761" s="61">
        <v>17.403400000000001</v>
      </c>
    </row>
    <row r="3762" spans="1:6">
      <c r="A3762" s="65" t="s">
        <v>6341</v>
      </c>
      <c r="B3762" s="66">
        <f t="shared" si="190"/>
        <v>42449</v>
      </c>
      <c r="C3762" s="67">
        <f t="shared" si="191"/>
        <v>2016</v>
      </c>
      <c r="D3762" s="70" t="s">
        <v>362</v>
      </c>
      <c r="E3762" s="70" t="s">
        <v>362</v>
      </c>
      <c r="F3762" s="68">
        <v>17.403400000000001</v>
      </c>
    </row>
    <row r="3763" spans="1:6">
      <c r="A3763" s="57" t="s">
        <v>6342</v>
      </c>
      <c r="B3763" s="58">
        <f t="shared" si="190"/>
        <v>42450</v>
      </c>
      <c r="C3763" s="59">
        <f t="shared" si="191"/>
        <v>2016</v>
      </c>
      <c r="D3763" s="60" t="s">
        <v>362</v>
      </c>
      <c r="E3763" s="60" t="s">
        <v>362</v>
      </c>
      <c r="F3763" s="61">
        <v>17.403400000000001</v>
      </c>
    </row>
    <row r="3764" spans="1:6">
      <c r="A3764" s="65" t="s">
        <v>6343</v>
      </c>
      <c r="B3764" s="66">
        <f t="shared" si="190"/>
        <v>42451</v>
      </c>
      <c r="C3764" s="67">
        <f t="shared" si="191"/>
        <v>2016</v>
      </c>
      <c r="D3764" s="68">
        <v>17.336099999999998</v>
      </c>
      <c r="E3764" s="68">
        <v>17.299499999999998</v>
      </c>
      <c r="F3764" s="68">
        <v>17.403400000000001</v>
      </c>
    </row>
    <row r="3765" spans="1:6">
      <c r="A3765" s="57" t="s">
        <v>6344</v>
      </c>
      <c r="B3765" s="58">
        <f t="shared" si="190"/>
        <v>42452</v>
      </c>
      <c r="C3765" s="59">
        <f t="shared" si="191"/>
        <v>2016</v>
      </c>
      <c r="D3765" s="61">
        <v>17.5273</v>
      </c>
      <c r="E3765" s="61">
        <v>17.336099999999998</v>
      </c>
      <c r="F3765" s="61">
        <v>17.299499999999998</v>
      </c>
    </row>
    <row r="3766" spans="1:6">
      <c r="A3766" s="65" t="s">
        <v>6345</v>
      </c>
      <c r="B3766" s="66">
        <f t="shared" si="190"/>
        <v>42453</v>
      </c>
      <c r="C3766" s="67">
        <f t="shared" si="191"/>
        <v>2016</v>
      </c>
      <c r="D3766" s="70" t="s">
        <v>362</v>
      </c>
      <c r="E3766" s="70" t="s">
        <v>362</v>
      </c>
      <c r="F3766" s="68">
        <v>17.336099999999998</v>
      </c>
    </row>
    <row r="3767" spans="1:6">
      <c r="A3767" s="57" t="s">
        <v>6346</v>
      </c>
      <c r="B3767" s="58">
        <f t="shared" si="190"/>
        <v>42454</v>
      </c>
      <c r="C3767" s="59">
        <f t="shared" si="191"/>
        <v>2016</v>
      </c>
      <c r="D3767" s="60" t="s">
        <v>362</v>
      </c>
      <c r="E3767" s="60" t="s">
        <v>362</v>
      </c>
      <c r="F3767" s="61">
        <v>17.336099999999998</v>
      </c>
    </row>
    <row r="3768" spans="1:6">
      <c r="A3768" s="65" t="s">
        <v>6347</v>
      </c>
      <c r="B3768" s="66">
        <f t="shared" si="190"/>
        <v>42455</v>
      </c>
      <c r="C3768" s="67">
        <f t="shared" si="191"/>
        <v>2016</v>
      </c>
      <c r="D3768" s="70" t="s">
        <v>362</v>
      </c>
      <c r="E3768" s="70" t="s">
        <v>362</v>
      </c>
      <c r="F3768" s="68">
        <v>17.336099999999998</v>
      </c>
    </row>
    <row r="3769" spans="1:6">
      <c r="A3769" s="57" t="s">
        <v>6348</v>
      </c>
      <c r="B3769" s="58">
        <f t="shared" si="190"/>
        <v>42456</v>
      </c>
      <c r="C3769" s="59">
        <f t="shared" si="191"/>
        <v>2016</v>
      </c>
      <c r="D3769" s="60" t="s">
        <v>362</v>
      </c>
      <c r="E3769" s="60" t="s">
        <v>362</v>
      </c>
      <c r="F3769" s="61">
        <v>17.336099999999998</v>
      </c>
    </row>
    <row r="3770" spans="1:6">
      <c r="A3770" s="65" t="s">
        <v>6349</v>
      </c>
      <c r="B3770" s="66">
        <f t="shared" si="190"/>
        <v>42457</v>
      </c>
      <c r="C3770" s="67">
        <f t="shared" si="191"/>
        <v>2016</v>
      </c>
      <c r="D3770" s="68">
        <v>17.460999999999999</v>
      </c>
      <c r="E3770" s="68">
        <v>17.5273</v>
      </c>
      <c r="F3770" s="68">
        <v>17.336099999999998</v>
      </c>
    </row>
    <row r="3771" spans="1:6">
      <c r="A3771" s="57" t="s">
        <v>6350</v>
      </c>
      <c r="B3771" s="58">
        <f t="shared" si="190"/>
        <v>42458</v>
      </c>
      <c r="C3771" s="59">
        <f t="shared" si="191"/>
        <v>2016</v>
      </c>
      <c r="D3771" s="61">
        <v>17.401499999999999</v>
      </c>
      <c r="E3771" s="61">
        <v>17.460999999999999</v>
      </c>
      <c r="F3771" s="61">
        <v>17.5273</v>
      </c>
    </row>
    <row r="3772" spans="1:6">
      <c r="A3772" s="65" t="s">
        <v>6351</v>
      </c>
      <c r="B3772" s="66">
        <f t="shared" si="190"/>
        <v>42459</v>
      </c>
      <c r="C3772" s="67">
        <f t="shared" si="191"/>
        <v>2016</v>
      </c>
      <c r="D3772" s="68">
        <v>17.250900000000001</v>
      </c>
      <c r="E3772" s="68">
        <v>17.401499999999999</v>
      </c>
      <c r="F3772" s="68">
        <v>17.460999999999999</v>
      </c>
    </row>
    <row r="3773" spans="1:6">
      <c r="A3773" s="57" t="s">
        <v>6352</v>
      </c>
      <c r="B3773" s="58">
        <f t="shared" si="190"/>
        <v>42460</v>
      </c>
      <c r="C3773" s="59">
        <f t="shared" si="191"/>
        <v>2016</v>
      </c>
      <c r="D3773" s="61">
        <v>17.236999999999998</v>
      </c>
      <c r="E3773" s="61">
        <v>17.250900000000001</v>
      </c>
      <c r="F3773" s="61">
        <v>17.401499999999999</v>
      </c>
    </row>
    <row r="3774" spans="1:6">
      <c r="A3774" s="65" t="s">
        <v>6353</v>
      </c>
      <c r="B3774" s="66">
        <f t="shared" si="190"/>
        <v>42461</v>
      </c>
      <c r="C3774" s="67">
        <f t="shared" si="191"/>
        <v>2016</v>
      </c>
      <c r="D3774" s="68">
        <v>17.3338</v>
      </c>
      <c r="E3774" s="68">
        <v>17.236999999999998</v>
      </c>
      <c r="F3774" s="68">
        <v>17.250900000000001</v>
      </c>
    </row>
    <row r="3775" spans="1:6">
      <c r="A3775" s="57" t="s">
        <v>6354</v>
      </c>
      <c r="B3775" s="58">
        <f t="shared" si="190"/>
        <v>42462</v>
      </c>
      <c r="C3775" s="59">
        <f t="shared" si="191"/>
        <v>2016</v>
      </c>
      <c r="D3775" s="60" t="s">
        <v>362</v>
      </c>
      <c r="E3775" s="60" t="s">
        <v>362</v>
      </c>
      <c r="F3775" s="61">
        <v>17.236999999999998</v>
      </c>
    </row>
    <row r="3776" spans="1:6">
      <c r="A3776" s="65" t="s">
        <v>6355</v>
      </c>
      <c r="B3776" s="66">
        <f t="shared" si="190"/>
        <v>42463</v>
      </c>
      <c r="C3776" s="67">
        <f t="shared" si="191"/>
        <v>2016</v>
      </c>
      <c r="D3776" s="70" t="s">
        <v>362</v>
      </c>
      <c r="E3776" s="70" t="s">
        <v>362</v>
      </c>
      <c r="F3776" s="68">
        <v>17.236999999999998</v>
      </c>
    </row>
    <row r="3777" spans="1:6">
      <c r="A3777" s="57" t="s">
        <v>6356</v>
      </c>
      <c r="B3777" s="58">
        <f t="shared" si="190"/>
        <v>42464</v>
      </c>
      <c r="C3777" s="59">
        <f t="shared" si="191"/>
        <v>2016</v>
      </c>
      <c r="D3777" s="61">
        <v>17.448399999999999</v>
      </c>
      <c r="E3777" s="61">
        <v>17.3338</v>
      </c>
      <c r="F3777" s="61">
        <v>17.236999999999998</v>
      </c>
    </row>
    <row r="3778" spans="1:6">
      <c r="A3778" s="65" t="s">
        <v>6357</v>
      </c>
      <c r="B3778" s="66">
        <f t="shared" si="190"/>
        <v>42465</v>
      </c>
      <c r="C3778" s="67">
        <f t="shared" si="191"/>
        <v>2016</v>
      </c>
      <c r="D3778" s="68">
        <v>17.725200000000001</v>
      </c>
      <c r="E3778" s="68">
        <v>17.448399999999999</v>
      </c>
      <c r="F3778" s="68">
        <v>17.3338</v>
      </c>
    </row>
    <row r="3779" spans="1:6">
      <c r="A3779" s="57" t="s">
        <v>6358</v>
      </c>
      <c r="B3779" s="58">
        <f t="shared" si="190"/>
        <v>42466</v>
      </c>
      <c r="C3779" s="59">
        <f t="shared" si="191"/>
        <v>2016</v>
      </c>
      <c r="D3779" s="61">
        <v>17.7286</v>
      </c>
      <c r="E3779" s="61">
        <v>17.725200000000001</v>
      </c>
      <c r="F3779" s="61">
        <v>17.448399999999999</v>
      </c>
    </row>
    <row r="3780" spans="1:6">
      <c r="A3780" s="65" t="s">
        <v>6359</v>
      </c>
      <c r="B3780" s="66">
        <f t="shared" si="190"/>
        <v>42467</v>
      </c>
      <c r="C3780" s="67">
        <f t="shared" si="191"/>
        <v>2016</v>
      </c>
      <c r="D3780" s="68">
        <v>17.893000000000001</v>
      </c>
      <c r="E3780" s="68">
        <v>17.7286</v>
      </c>
      <c r="F3780" s="68">
        <v>17.725200000000001</v>
      </c>
    </row>
    <row r="3781" spans="1:6">
      <c r="A3781" s="57" t="s">
        <v>6360</v>
      </c>
      <c r="B3781" s="58">
        <f t="shared" si="190"/>
        <v>42468</v>
      </c>
      <c r="C3781" s="59">
        <f t="shared" si="191"/>
        <v>2016</v>
      </c>
      <c r="D3781" s="61">
        <v>17.739100000000001</v>
      </c>
      <c r="E3781" s="61">
        <v>17.893000000000001</v>
      </c>
      <c r="F3781" s="61">
        <v>17.7286</v>
      </c>
    </row>
    <row r="3782" spans="1:6">
      <c r="A3782" s="65" t="s">
        <v>6361</v>
      </c>
      <c r="B3782" s="66">
        <f t="shared" si="190"/>
        <v>42469</v>
      </c>
      <c r="C3782" s="67">
        <f t="shared" si="191"/>
        <v>2016</v>
      </c>
      <c r="D3782" s="70" t="s">
        <v>362</v>
      </c>
      <c r="E3782" s="70" t="s">
        <v>362</v>
      </c>
      <c r="F3782" s="68">
        <v>17.893000000000001</v>
      </c>
    </row>
    <row r="3783" spans="1:6">
      <c r="A3783" s="57" t="s">
        <v>6362</v>
      </c>
      <c r="B3783" s="58">
        <f t="shared" si="190"/>
        <v>42470</v>
      </c>
      <c r="C3783" s="59">
        <f t="shared" si="191"/>
        <v>2016</v>
      </c>
      <c r="D3783" s="60" t="s">
        <v>362</v>
      </c>
      <c r="E3783" s="60" t="s">
        <v>362</v>
      </c>
      <c r="F3783" s="61">
        <v>17.893000000000001</v>
      </c>
    </row>
    <row r="3784" spans="1:6">
      <c r="A3784" s="65" t="s">
        <v>6363</v>
      </c>
      <c r="B3784" s="66">
        <f t="shared" si="190"/>
        <v>42471</v>
      </c>
      <c r="C3784" s="67">
        <f t="shared" si="191"/>
        <v>2016</v>
      </c>
      <c r="D3784" s="68">
        <v>17.645199999999999</v>
      </c>
      <c r="E3784" s="68">
        <v>17.739100000000001</v>
      </c>
      <c r="F3784" s="68">
        <v>17.893000000000001</v>
      </c>
    </row>
    <row r="3785" spans="1:6">
      <c r="A3785" s="57" t="s">
        <v>6364</v>
      </c>
      <c r="B3785" s="58">
        <f t="shared" si="190"/>
        <v>42472</v>
      </c>
      <c r="C3785" s="59">
        <f t="shared" si="191"/>
        <v>2016</v>
      </c>
      <c r="D3785" s="61">
        <v>17.571899999999999</v>
      </c>
      <c r="E3785" s="61">
        <v>17.645199999999999</v>
      </c>
      <c r="F3785" s="61">
        <v>17.739100000000001</v>
      </c>
    </row>
    <row r="3786" spans="1:6">
      <c r="A3786" s="65" t="s">
        <v>6365</v>
      </c>
      <c r="B3786" s="66">
        <f t="shared" si="190"/>
        <v>42473</v>
      </c>
      <c r="C3786" s="67">
        <f t="shared" si="191"/>
        <v>2016</v>
      </c>
      <c r="D3786" s="68">
        <v>17.489999999999998</v>
      </c>
      <c r="E3786" s="68">
        <v>17.571899999999999</v>
      </c>
      <c r="F3786" s="68">
        <v>17.645199999999999</v>
      </c>
    </row>
    <row r="3787" spans="1:6">
      <c r="A3787" s="57" t="s">
        <v>6366</v>
      </c>
      <c r="B3787" s="58">
        <f t="shared" si="190"/>
        <v>42474</v>
      </c>
      <c r="C3787" s="59">
        <f t="shared" si="191"/>
        <v>2016</v>
      </c>
      <c r="D3787" s="61">
        <v>17.388000000000002</v>
      </c>
      <c r="E3787" s="61">
        <v>17.489999999999998</v>
      </c>
      <c r="F3787" s="61">
        <v>17.571899999999999</v>
      </c>
    </row>
    <row r="3788" spans="1:6">
      <c r="A3788" s="65" t="s">
        <v>6367</v>
      </c>
      <c r="B3788" s="66">
        <f t="shared" si="190"/>
        <v>42475</v>
      </c>
      <c r="C3788" s="67">
        <f t="shared" si="191"/>
        <v>2016</v>
      </c>
      <c r="D3788" s="68">
        <v>17.5669</v>
      </c>
      <c r="E3788" s="68">
        <v>17.388000000000002</v>
      </c>
      <c r="F3788" s="68">
        <v>17.489999999999998</v>
      </c>
    </row>
    <row r="3789" spans="1:6">
      <c r="A3789" s="57" t="s">
        <v>6368</v>
      </c>
      <c r="B3789" s="58">
        <f t="shared" si="190"/>
        <v>42476</v>
      </c>
      <c r="C3789" s="59">
        <f t="shared" si="191"/>
        <v>2016</v>
      </c>
      <c r="D3789" s="60" t="s">
        <v>362</v>
      </c>
      <c r="E3789" s="60" t="s">
        <v>362</v>
      </c>
      <c r="F3789" s="61">
        <v>17.388000000000002</v>
      </c>
    </row>
    <row r="3790" spans="1:6">
      <c r="A3790" s="65" t="s">
        <v>6369</v>
      </c>
      <c r="B3790" s="66">
        <f t="shared" si="190"/>
        <v>42477</v>
      </c>
      <c r="C3790" s="67">
        <f t="shared" si="191"/>
        <v>2016</v>
      </c>
      <c r="D3790" s="70" t="s">
        <v>362</v>
      </c>
      <c r="E3790" s="70" t="s">
        <v>362</v>
      </c>
      <c r="F3790" s="68">
        <v>17.388000000000002</v>
      </c>
    </row>
    <row r="3791" spans="1:6">
      <c r="A3791" s="57" t="s">
        <v>6370</v>
      </c>
      <c r="B3791" s="58">
        <f t="shared" si="190"/>
        <v>42478</v>
      </c>
      <c r="C3791" s="59">
        <f t="shared" si="191"/>
        <v>2016</v>
      </c>
      <c r="D3791" s="61">
        <v>17.459800000000001</v>
      </c>
      <c r="E3791" s="61">
        <v>17.5669</v>
      </c>
      <c r="F3791" s="61">
        <v>17.388000000000002</v>
      </c>
    </row>
    <row r="3792" spans="1:6">
      <c r="A3792" s="65" t="s">
        <v>6371</v>
      </c>
      <c r="B3792" s="66">
        <f t="shared" si="190"/>
        <v>42479</v>
      </c>
      <c r="C3792" s="67">
        <f t="shared" si="191"/>
        <v>2016</v>
      </c>
      <c r="D3792" s="68">
        <v>17.282499999999999</v>
      </c>
      <c r="E3792" s="68">
        <v>17.459800000000001</v>
      </c>
      <c r="F3792" s="68">
        <v>17.5669</v>
      </c>
    </row>
    <row r="3793" spans="1:6">
      <c r="A3793" s="57" t="s">
        <v>6372</v>
      </c>
      <c r="B3793" s="58">
        <f t="shared" si="190"/>
        <v>42480</v>
      </c>
      <c r="C3793" s="59">
        <f t="shared" si="191"/>
        <v>2016</v>
      </c>
      <c r="D3793" s="61">
        <v>17.3078</v>
      </c>
      <c r="E3793" s="61">
        <v>17.282499999999999</v>
      </c>
      <c r="F3793" s="61">
        <v>17.459800000000001</v>
      </c>
    </row>
    <row r="3794" spans="1:6">
      <c r="A3794" s="65" t="s">
        <v>6373</v>
      </c>
      <c r="B3794" s="66">
        <f t="shared" si="190"/>
        <v>42481</v>
      </c>
      <c r="C3794" s="67">
        <f t="shared" si="191"/>
        <v>2016</v>
      </c>
      <c r="D3794" s="68">
        <v>17.420200000000001</v>
      </c>
      <c r="E3794" s="68">
        <v>17.3078</v>
      </c>
      <c r="F3794" s="68">
        <v>17.282499999999999</v>
      </c>
    </row>
    <row r="3795" spans="1:6">
      <c r="A3795" s="57" t="s">
        <v>6374</v>
      </c>
      <c r="B3795" s="58">
        <f t="shared" si="190"/>
        <v>42482</v>
      </c>
      <c r="C3795" s="59">
        <f t="shared" si="191"/>
        <v>2016</v>
      </c>
      <c r="D3795" s="61">
        <v>17.4359</v>
      </c>
      <c r="E3795" s="61">
        <v>17.420200000000001</v>
      </c>
      <c r="F3795" s="61">
        <v>17.3078</v>
      </c>
    </row>
    <row r="3796" spans="1:6">
      <c r="A3796" s="65" t="s">
        <v>6375</v>
      </c>
      <c r="B3796" s="66">
        <f t="shared" si="190"/>
        <v>42483</v>
      </c>
      <c r="C3796" s="67">
        <f t="shared" si="191"/>
        <v>2016</v>
      </c>
      <c r="D3796" s="70" t="s">
        <v>362</v>
      </c>
      <c r="E3796" s="70" t="s">
        <v>362</v>
      </c>
      <c r="F3796" s="68">
        <v>17.420200000000001</v>
      </c>
    </row>
    <row r="3797" spans="1:6">
      <c r="A3797" s="57" t="s">
        <v>6376</v>
      </c>
      <c r="B3797" s="58">
        <f t="shared" si="190"/>
        <v>42484</v>
      </c>
      <c r="C3797" s="59">
        <f t="shared" si="191"/>
        <v>2016</v>
      </c>
      <c r="D3797" s="60" t="s">
        <v>362</v>
      </c>
      <c r="E3797" s="60" t="s">
        <v>362</v>
      </c>
      <c r="F3797" s="61">
        <v>17.420200000000001</v>
      </c>
    </row>
    <row r="3798" spans="1:6">
      <c r="A3798" s="65" t="s">
        <v>6377</v>
      </c>
      <c r="B3798" s="66">
        <f t="shared" si="190"/>
        <v>42485</v>
      </c>
      <c r="C3798" s="67">
        <f t="shared" si="191"/>
        <v>2016</v>
      </c>
      <c r="D3798" s="68">
        <v>17.586600000000001</v>
      </c>
      <c r="E3798" s="68">
        <v>17.4359</v>
      </c>
      <c r="F3798" s="68">
        <v>17.420200000000001</v>
      </c>
    </row>
    <row r="3799" spans="1:6">
      <c r="A3799" s="57" t="s">
        <v>6378</v>
      </c>
      <c r="B3799" s="58">
        <f t="shared" si="190"/>
        <v>42486</v>
      </c>
      <c r="C3799" s="59">
        <f t="shared" si="191"/>
        <v>2016</v>
      </c>
      <c r="D3799" s="61">
        <v>17.4298</v>
      </c>
      <c r="E3799" s="61">
        <v>17.586600000000001</v>
      </c>
      <c r="F3799" s="61">
        <v>17.4359</v>
      </c>
    </row>
    <row r="3800" spans="1:6">
      <c r="A3800" s="65" t="s">
        <v>6379</v>
      </c>
      <c r="B3800" s="66">
        <f t="shared" si="190"/>
        <v>42487</v>
      </c>
      <c r="C3800" s="67">
        <f t="shared" si="191"/>
        <v>2016</v>
      </c>
      <c r="D3800" s="68">
        <v>17.3993</v>
      </c>
      <c r="E3800" s="68">
        <v>17.4298</v>
      </c>
      <c r="F3800" s="68">
        <v>17.586600000000001</v>
      </c>
    </row>
    <row r="3801" spans="1:6">
      <c r="A3801" s="57" t="s">
        <v>6380</v>
      </c>
      <c r="B3801" s="58">
        <f t="shared" si="190"/>
        <v>42488</v>
      </c>
      <c r="C3801" s="59">
        <f t="shared" si="191"/>
        <v>2016</v>
      </c>
      <c r="D3801" s="61">
        <v>17.212499999999999</v>
      </c>
      <c r="E3801" s="61">
        <v>17.3993</v>
      </c>
      <c r="F3801" s="61">
        <v>17.4298</v>
      </c>
    </row>
    <row r="3802" spans="1:6">
      <c r="A3802" s="65" t="s">
        <v>6381</v>
      </c>
      <c r="B3802" s="66">
        <f t="shared" si="190"/>
        <v>42489</v>
      </c>
      <c r="C3802" s="67">
        <f t="shared" si="191"/>
        <v>2016</v>
      </c>
      <c r="D3802" s="68">
        <v>17.1767</v>
      </c>
      <c r="E3802" s="68">
        <v>17.212499999999999</v>
      </c>
      <c r="F3802" s="68">
        <v>17.3993</v>
      </c>
    </row>
    <row r="3803" spans="1:6">
      <c r="A3803" s="57" t="s">
        <v>6382</v>
      </c>
      <c r="B3803" s="58">
        <f t="shared" si="190"/>
        <v>42490</v>
      </c>
      <c r="C3803" s="59">
        <f t="shared" si="191"/>
        <v>2016</v>
      </c>
      <c r="D3803" s="60" t="s">
        <v>362</v>
      </c>
      <c r="E3803" s="60" t="s">
        <v>362</v>
      </c>
      <c r="F3803" s="61">
        <v>17.212499999999999</v>
      </c>
    </row>
    <row r="3804" spans="1:6">
      <c r="A3804" s="65" t="s">
        <v>6383</v>
      </c>
      <c r="B3804" s="66">
        <f t="shared" si="190"/>
        <v>42491</v>
      </c>
      <c r="C3804" s="67">
        <f t="shared" si="191"/>
        <v>2016</v>
      </c>
      <c r="D3804" s="70" t="s">
        <v>362</v>
      </c>
      <c r="E3804" s="70" t="s">
        <v>362</v>
      </c>
      <c r="F3804" s="68">
        <v>17.212499999999999</v>
      </c>
    </row>
    <row r="3805" spans="1:6">
      <c r="A3805" s="57" t="s">
        <v>6384</v>
      </c>
      <c r="B3805" s="58">
        <f t="shared" si="190"/>
        <v>42492</v>
      </c>
      <c r="C3805" s="59">
        <f t="shared" si="191"/>
        <v>2016</v>
      </c>
      <c r="D3805" s="61">
        <v>17.227900000000002</v>
      </c>
      <c r="E3805" s="61">
        <v>17.1767</v>
      </c>
      <c r="F3805" s="61">
        <v>17.212499999999999</v>
      </c>
    </row>
    <row r="3806" spans="1:6">
      <c r="A3806" s="65" t="s">
        <v>6385</v>
      </c>
      <c r="B3806" s="66">
        <f t="shared" si="190"/>
        <v>42493</v>
      </c>
      <c r="C3806" s="67">
        <f t="shared" si="191"/>
        <v>2016</v>
      </c>
      <c r="D3806" s="68">
        <v>17.523399999999999</v>
      </c>
      <c r="E3806" s="68">
        <v>17.227900000000002</v>
      </c>
      <c r="F3806" s="68">
        <v>17.1767</v>
      </c>
    </row>
    <row r="3807" spans="1:6">
      <c r="A3807" s="57" t="s">
        <v>6386</v>
      </c>
      <c r="B3807" s="58">
        <f t="shared" ref="B3807:B3870" si="192">DATE(RIGHT(A3807,4),LEFT(RIGHT(A3807,7),2),LEFT(A3807,2))</f>
        <v>42494</v>
      </c>
      <c r="C3807" s="59">
        <f t="shared" ref="C3807:C3870" si="193">YEAR(B3807)</f>
        <v>2016</v>
      </c>
      <c r="D3807" s="61">
        <v>17.735800000000001</v>
      </c>
      <c r="E3807" s="61">
        <v>17.523399999999999</v>
      </c>
      <c r="F3807" s="61">
        <v>17.227900000000002</v>
      </c>
    </row>
    <row r="3808" spans="1:6">
      <c r="A3808" s="65" t="s">
        <v>6387</v>
      </c>
      <c r="B3808" s="66">
        <f t="shared" si="192"/>
        <v>42495</v>
      </c>
      <c r="C3808" s="67">
        <f t="shared" si="193"/>
        <v>2016</v>
      </c>
      <c r="D3808" s="68">
        <v>17.7866</v>
      </c>
      <c r="E3808" s="68">
        <v>17.735800000000001</v>
      </c>
      <c r="F3808" s="68">
        <v>17.523399999999999</v>
      </c>
    </row>
    <row r="3809" spans="1:6">
      <c r="A3809" s="57" t="s">
        <v>6388</v>
      </c>
      <c r="B3809" s="58">
        <f t="shared" si="192"/>
        <v>42496</v>
      </c>
      <c r="C3809" s="59">
        <f t="shared" si="193"/>
        <v>2016</v>
      </c>
      <c r="D3809" s="61">
        <v>17.920400000000001</v>
      </c>
      <c r="E3809" s="61">
        <v>17.7866</v>
      </c>
      <c r="F3809" s="61">
        <v>17.735800000000001</v>
      </c>
    </row>
    <row r="3810" spans="1:6">
      <c r="A3810" s="65" t="s">
        <v>6389</v>
      </c>
      <c r="B3810" s="66">
        <f t="shared" si="192"/>
        <v>42497</v>
      </c>
      <c r="C3810" s="67">
        <f t="shared" si="193"/>
        <v>2016</v>
      </c>
      <c r="D3810" s="70" t="s">
        <v>362</v>
      </c>
      <c r="E3810" s="70" t="s">
        <v>362</v>
      </c>
      <c r="F3810" s="68">
        <v>17.7866</v>
      </c>
    </row>
    <row r="3811" spans="1:6">
      <c r="A3811" s="57" t="s">
        <v>6390</v>
      </c>
      <c r="B3811" s="58">
        <f t="shared" si="192"/>
        <v>42498</v>
      </c>
      <c r="C3811" s="59">
        <f t="shared" si="193"/>
        <v>2016</v>
      </c>
      <c r="D3811" s="60" t="s">
        <v>362</v>
      </c>
      <c r="E3811" s="60" t="s">
        <v>362</v>
      </c>
      <c r="F3811" s="61">
        <v>17.7866</v>
      </c>
    </row>
    <row r="3812" spans="1:6">
      <c r="A3812" s="65" t="s">
        <v>6391</v>
      </c>
      <c r="B3812" s="66">
        <f t="shared" si="192"/>
        <v>42499</v>
      </c>
      <c r="C3812" s="67">
        <f t="shared" si="193"/>
        <v>2016</v>
      </c>
      <c r="D3812" s="68">
        <v>18.103300000000001</v>
      </c>
      <c r="E3812" s="68">
        <v>17.920400000000001</v>
      </c>
      <c r="F3812" s="68">
        <v>17.7866</v>
      </c>
    </row>
    <row r="3813" spans="1:6">
      <c r="A3813" s="57" t="s">
        <v>6392</v>
      </c>
      <c r="B3813" s="58">
        <f t="shared" si="192"/>
        <v>42500</v>
      </c>
      <c r="C3813" s="59">
        <f t="shared" si="193"/>
        <v>2016</v>
      </c>
      <c r="D3813" s="61">
        <v>18.020499999999998</v>
      </c>
      <c r="E3813" s="61">
        <v>18.103300000000001</v>
      </c>
      <c r="F3813" s="61">
        <v>17.920400000000001</v>
      </c>
    </row>
    <row r="3814" spans="1:6">
      <c r="A3814" s="65" t="s">
        <v>6393</v>
      </c>
      <c r="B3814" s="66">
        <f t="shared" si="192"/>
        <v>42501</v>
      </c>
      <c r="C3814" s="67">
        <f t="shared" si="193"/>
        <v>2016</v>
      </c>
      <c r="D3814" s="68">
        <v>17.954899999999999</v>
      </c>
      <c r="E3814" s="68">
        <v>18.020499999999998</v>
      </c>
      <c r="F3814" s="68">
        <v>18.103300000000001</v>
      </c>
    </row>
    <row r="3815" spans="1:6">
      <c r="A3815" s="57" t="s">
        <v>6394</v>
      </c>
      <c r="B3815" s="58">
        <f t="shared" si="192"/>
        <v>42502</v>
      </c>
      <c r="C3815" s="59">
        <f t="shared" si="193"/>
        <v>2016</v>
      </c>
      <c r="D3815" s="61">
        <v>17.991499999999998</v>
      </c>
      <c r="E3815" s="61">
        <v>17.954899999999999</v>
      </c>
      <c r="F3815" s="61">
        <v>18.020499999999998</v>
      </c>
    </row>
    <row r="3816" spans="1:6">
      <c r="A3816" s="65" t="s">
        <v>6395</v>
      </c>
      <c r="B3816" s="66">
        <f t="shared" si="192"/>
        <v>42503</v>
      </c>
      <c r="C3816" s="67">
        <f t="shared" si="193"/>
        <v>2016</v>
      </c>
      <c r="D3816" s="68">
        <v>18.156199999999998</v>
      </c>
      <c r="E3816" s="68">
        <v>17.991499999999998</v>
      </c>
      <c r="F3816" s="68">
        <v>17.954899999999999</v>
      </c>
    </row>
    <row r="3817" spans="1:6">
      <c r="A3817" s="57" t="s">
        <v>6396</v>
      </c>
      <c r="B3817" s="58">
        <f t="shared" si="192"/>
        <v>42504</v>
      </c>
      <c r="C3817" s="59">
        <f t="shared" si="193"/>
        <v>2016</v>
      </c>
      <c r="D3817" s="60" t="s">
        <v>362</v>
      </c>
      <c r="E3817" s="60" t="s">
        <v>362</v>
      </c>
      <c r="F3817" s="61">
        <v>17.991499999999998</v>
      </c>
    </row>
    <row r="3818" spans="1:6">
      <c r="A3818" s="65" t="s">
        <v>6397</v>
      </c>
      <c r="B3818" s="66">
        <f t="shared" si="192"/>
        <v>42505</v>
      </c>
      <c r="C3818" s="67">
        <f t="shared" si="193"/>
        <v>2016</v>
      </c>
      <c r="D3818" s="70" t="s">
        <v>362</v>
      </c>
      <c r="E3818" s="70" t="s">
        <v>362</v>
      </c>
      <c r="F3818" s="68">
        <v>17.991499999999998</v>
      </c>
    </row>
    <row r="3819" spans="1:6">
      <c r="A3819" s="57" t="s">
        <v>6398</v>
      </c>
      <c r="B3819" s="58">
        <f t="shared" si="192"/>
        <v>42506</v>
      </c>
      <c r="C3819" s="59">
        <f t="shared" si="193"/>
        <v>2016</v>
      </c>
      <c r="D3819" s="61">
        <v>18.179500000000001</v>
      </c>
      <c r="E3819" s="61">
        <v>18.156199999999998</v>
      </c>
      <c r="F3819" s="61">
        <v>17.991499999999998</v>
      </c>
    </row>
    <row r="3820" spans="1:6">
      <c r="A3820" s="65" t="s">
        <v>6399</v>
      </c>
      <c r="B3820" s="66">
        <f t="shared" si="192"/>
        <v>42507</v>
      </c>
      <c r="C3820" s="67">
        <f t="shared" si="193"/>
        <v>2016</v>
      </c>
      <c r="D3820" s="68">
        <v>18.3217</v>
      </c>
      <c r="E3820" s="68">
        <v>18.179500000000001</v>
      </c>
      <c r="F3820" s="68">
        <v>18.156199999999998</v>
      </c>
    </row>
    <row r="3821" spans="1:6">
      <c r="A3821" s="57" t="s">
        <v>6400</v>
      </c>
      <c r="B3821" s="58">
        <f t="shared" si="192"/>
        <v>42508</v>
      </c>
      <c r="C3821" s="59">
        <f t="shared" si="193"/>
        <v>2016</v>
      </c>
      <c r="D3821" s="61">
        <v>18.376100000000001</v>
      </c>
      <c r="E3821" s="61">
        <v>18.3217</v>
      </c>
      <c r="F3821" s="61">
        <v>18.179500000000001</v>
      </c>
    </row>
    <row r="3822" spans="1:6">
      <c r="A3822" s="65" t="s">
        <v>6401</v>
      </c>
      <c r="B3822" s="66">
        <f t="shared" si="192"/>
        <v>42509</v>
      </c>
      <c r="C3822" s="67">
        <f t="shared" si="193"/>
        <v>2016</v>
      </c>
      <c r="D3822" s="68">
        <v>18.546500000000002</v>
      </c>
      <c r="E3822" s="68">
        <v>18.376100000000001</v>
      </c>
      <c r="F3822" s="68">
        <v>18.3217</v>
      </c>
    </row>
    <row r="3823" spans="1:6">
      <c r="A3823" s="57" t="s">
        <v>6402</v>
      </c>
      <c r="B3823" s="58">
        <f t="shared" si="192"/>
        <v>42510</v>
      </c>
      <c r="C3823" s="59">
        <f t="shared" si="193"/>
        <v>2016</v>
      </c>
      <c r="D3823" s="61">
        <v>18.3826</v>
      </c>
      <c r="E3823" s="61">
        <v>18.546500000000002</v>
      </c>
      <c r="F3823" s="61">
        <v>18.376100000000001</v>
      </c>
    </row>
    <row r="3824" spans="1:6">
      <c r="A3824" s="65" t="s">
        <v>6403</v>
      </c>
      <c r="B3824" s="66">
        <f t="shared" si="192"/>
        <v>42511</v>
      </c>
      <c r="C3824" s="67">
        <f t="shared" si="193"/>
        <v>2016</v>
      </c>
      <c r="D3824" s="70" t="s">
        <v>362</v>
      </c>
      <c r="E3824" s="70" t="s">
        <v>362</v>
      </c>
      <c r="F3824" s="68">
        <v>18.546500000000002</v>
      </c>
    </row>
    <row r="3825" spans="1:6">
      <c r="A3825" s="57" t="s">
        <v>6404</v>
      </c>
      <c r="B3825" s="58">
        <f t="shared" si="192"/>
        <v>42512</v>
      </c>
      <c r="C3825" s="59">
        <f t="shared" si="193"/>
        <v>2016</v>
      </c>
      <c r="D3825" s="60" t="s">
        <v>362</v>
      </c>
      <c r="E3825" s="60" t="s">
        <v>362</v>
      </c>
      <c r="F3825" s="61">
        <v>18.546500000000002</v>
      </c>
    </row>
    <row r="3826" spans="1:6">
      <c r="A3826" s="65" t="s">
        <v>6405</v>
      </c>
      <c r="B3826" s="66">
        <f t="shared" si="192"/>
        <v>42513</v>
      </c>
      <c r="C3826" s="67">
        <f t="shared" si="193"/>
        <v>2016</v>
      </c>
      <c r="D3826" s="68">
        <v>18.444400000000002</v>
      </c>
      <c r="E3826" s="68">
        <v>18.3826</v>
      </c>
      <c r="F3826" s="68">
        <v>18.546500000000002</v>
      </c>
    </row>
    <row r="3827" spans="1:6">
      <c r="A3827" s="57" t="s">
        <v>6406</v>
      </c>
      <c r="B3827" s="58">
        <f t="shared" si="192"/>
        <v>42514</v>
      </c>
      <c r="C3827" s="59">
        <f t="shared" si="193"/>
        <v>2016</v>
      </c>
      <c r="D3827" s="61">
        <v>18.4694</v>
      </c>
      <c r="E3827" s="61">
        <v>18.444400000000002</v>
      </c>
      <c r="F3827" s="61">
        <v>18.3826</v>
      </c>
    </row>
    <row r="3828" spans="1:6">
      <c r="A3828" s="65" t="s">
        <v>6407</v>
      </c>
      <c r="B3828" s="66">
        <f t="shared" si="192"/>
        <v>42515</v>
      </c>
      <c r="C3828" s="67">
        <f t="shared" si="193"/>
        <v>2016</v>
      </c>
      <c r="D3828" s="68">
        <v>18.452000000000002</v>
      </c>
      <c r="E3828" s="68">
        <v>18.4694</v>
      </c>
      <c r="F3828" s="68">
        <v>18.444400000000002</v>
      </c>
    </row>
    <row r="3829" spans="1:6">
      <c r="A3829" s="57" t="s">
        <v>6408</v>
      </c>
      <c r="B3829" s="58">
        <f t="shared" si="192"/>
        <v>42516</v>
      </c>
      <c r="C3829" s="59">
        <f t="shared" si="193"/>
        <v>2016</v>
      </c>
      <c r="D3829" s="61">
        <v>18.4572</v>
      </c>
      <c r="E3829" s="61">
        <v>18.452000000000002</v>
      </c>
      <c r="F3829" s="61">
        <v>18.4694</v>
      </c>
    </row>
    <row r="3830" spans="1:6">
      <c r="A3830" s="65" t="s">
        <v>6409</v>
      </c>
      <c r="B3830" s="66">
        <f t="shared" si="192"/>
        <v>42517</v>
      </c>
      <c r="C3830" s="67">
        <f t="shared" si="193"/>
        <v>2016</v>
      </c>
      <c r="D3830" s="68">
        <v>18.4527</v>
      </c>
      <c r="E3830" s="68">
        <v>18.4572</v>
      </c>
      <c r="F3830" s="68">
        <v>18.452000000000002</v>
      </c>
    </row>
    <row r="3831" spans="1:6">
      <c r="A3831" s="57" t="s">
        <v>6410</v>
      </c>
      <c r="B3831" s="58">
        <f t="shared" si="192"/>
        <v>42518</v>
      </c>
      <c r="C3831" s="59">
        <f t="shared" si="193"/>
        <v>2016</v>
      </c>
      <c r="D3831" s="60" t="s">
        <v>362</v>
      </c>
      <c r="E3831" s="60" t="s">
        <v>362</v>
      </c>
      <c r="F3831" s="61">
        <v>18.4572</v>
      </c>
    </row>
    <row r="3832" spans="1:6">
      <c r="A3832" s="65" t="s">
        <v>6411</v>
      </c>
      <c r="B3832" s="66">
        <f t="shared" si="192"/>
        <v>42519</v>
      </c>
      <c r="C3832" s="67">
        <f t="shared" si="193"/>
        <v>2016</v>
      </c>
      <c r="D3832" s="70" t="s">
        <v>362</v>
      </c>
      <c r="E3832" s="70" t="s">
        <v>362</v>
      </c>
      <c r="F3832" s="68">
        <v>18.4572</v>
      </c>
    </row>
    <row r="3833" spans="1:6">
      <c r="A3833" s="57" t="s">
        <v>6412</v>
      </c>
      <c r="B3833" s="58">
        <f t="shared" si="192"/>
        <v>42520</v>
      </c>
      <c r="C3833" s="59">
        <f t="shared" si="193"/>
        <v>2016</v>
      </c>
      <c r="D3833" s="61">
        <v>18.477699999999999</v>
      </c>
      <c r="E3833" s="61">
        <v>18.4527</v>
      </c>
      <c r="F3833" s="61">
        <v>18.4572</v>
      </c>
    </row>
    <row r="3834" spans="1:6">
      <c r="A3834" s="65" t="s">
        <v>6413</v>
      </c>
      <c r="B3834" s="66">
        <f t="shared" si="192"/>
        <v>42521</v>
      </c>
      <c r="C3834" s="67">
        <f t="shared" si="193"/>
        <v>2016</v>
      </c>
      <c r="D3834" s="68">
        <v>18.411799999999999</v>
      </c>
      <c r="E3834" s="68">
        <v>18.477699999999999</v>
      </c>
      <c r="F3834" s="68">
        <v>18.4527</v>
      </c>
    </row>
    <row r="3835" spans="1:6">
      <c r="A3835" s="57" t="s">
        <v>6414</v>
      </c>
      <c r="B3835" s="58">
        <f t="shared" si="192"/>
        <v>42522</v>
      </c>
      <c r="C3835" s="59">
        <f t="shared" si="193"/>
        <v>2016</v>
      </c>
      <c r="D3835" s="61">
        <v>18.529900000000001</v>
      </c>
      <c r="E3835" s="61">
        <v>18.411799999999999</v>
      </c>
      <c r="F3835" s="61">
        <v>18.477699999999999</v>
      </c>
    </row>
    <row r="3836" spans="1:6">
      <c r="A3836" s="65" t="s">
        <v>6415</v>
      </c>
      <c r="B3836" s="66">
        <f t="shared" si="192"/>
        <v>42523</v>
      </c>
      <c r="C3836" s="67">
        <f t="shared" si="193"/>
        <v>2016</v>
      </c>
      <c r="D3836" s="68">
        <v>18.6097</v>
      </c>
      <c r="E3836" s="68">
        <v>18.529900000000001</v>
      </c>
      <c r="F3836" s="68">
        <v>18.411799999999999</v>
      </c>
    </row>
    <row r="3837" spans="1:6">
      <c r="A3837" s="57" t="s">
        <v>6416</v>
      </c>
      <c r="B3837" s="58">
        <f t="shared" si="192"/>
        <v>42524</v>
      </c>
      <c r="C3837" s="59">
        <f t="shared" si="193"/>
        <v>2016</v>
      </c>
      <c r="D3837" s="61">
        <v>18.628299999999999</v>
      </c>
      <c r="E3837" s="61">
        <v>18.6097</v>
      </c>
      <c r="F3837" s="61">
        <v>18.529900000000001</v>
      </c>
    </row>
    <row r="3838" spans="1:6">
      <c r="A3838" s="65" t="s">
        <v>6417</v>
      </c>
      <c r="B3838" s="66">
        <f t="shared" si="192"/>
        <v>42525</v>
      </c>
      <c r="C3838" s="67">
        <f t="shared" si="193"/>
        <v>2016</v>
      </c>
      <c r="D3838" s="70" t="s">
        <v>362</v>
      </c>
      <c r="E3838" s="70" t="s">
        <v>362</v>
      </c>
      <c r="F3838" s="68">
        <v>18.6097</v>
      </c>
    </row>
    <row r="3839" spans="1:6">
      <c r="A3839" s="57" t="s">
        <v>6418</v>
      </c>
      <c r="B3839" s="58">
        <f t="shared" si="192"/>
        <v>42526</v>
      </c>
      <c r="C3839" s="59">
        <f t="shared" si="193"/>
        <v>2016</v>
      </c>
      <c r="D3839" s="60" t="s">
        <v>362</v>
      </c>
      <c r="E3839" s="60" t="s">
        <v>362</v>
      </c>
      <c r="F3839" s="61">
        <v>18.6097</v>
      </c>
    </row>
    <row r="3840" spans="1:6">
      <c r="A3840" s="65" t="s">
        <v>6419</v>
      </c>
      <c r="B3840" s="66">
        <f t="shared" si="192"/>
        <v>42527</v>
      </c>
      <c r="C3840" s="67">
        <f t="shared" si="193"/>
        <v>2016</v>
      </c>
      <c r="D3840" s="68">
        <v>18.588899999999999</v>
      </c>
      <c r="E3840" s="68">
        <v>18.628299999999999</v>
      </c>
      <c r="F3840" s="68">
        <v>18.6097</v>
      </c>
    </row>
    <row r="3841" spans="1:6">
      <c r="A3841" s="57" t="s">
        <v>6420</v>
      </c>
      <c r="B3841" s="58">
        <f t="shared" si="192"/>
        <v>42528</v>
      </c>
      <c r="C3841" s="59">
        <f t="shared" si="193"/>
        <v>2016</v>
      </c>
      <c r="D3841" s="61">
        <v>18.506699999999999</v>
      </c>
      <c r="E3841" s="61">
        <v>18.588899999999999</v>
      </c>
      <c r="F3841" s="61">
        <v>18.628299999999999</v>
      </c>
    </row>
    <row r="3842" spans="1:6">
      <c r="A3842" s="65" t="s">
        <v>6421</v>
      </c>
      <c r="B3842" s="66">
        <f t="shared" si="192"/>
        <v>42529</v>
      </c>
      <c r="C3842" s="67">
        <f t="shared" si="193"/>
        <v>2016</v>
      </c>
      <c r="D3842" s="68">
        <v>18.149100000000001</v>
      </c>
      <c r="E3842" s="68">
        <v>18.506699999999999</v>
      </c>
      <c r="F3842" s="68">
        <v>18.588899999999999</v>
      </c>
    </row>
    <row r="3843" spans="1:6">
      <c r="A3843" s="57" t="s">
        <v>6422</v>
      </c>
      <c r="B3843" s="58">
        <f t="shared" si="192"/>
        <v>42530</v>
      </c>
      <c r="C3843" s="59">
        <f t="shared" si="193"/>
        <v>2016</v>
      </c>
      <c r="D3843" s="61">
        <v>18.2742</v>
      </c>
      <c r="E3843" s="61">
        <v>18.149100000000001</v>
      </c>
      <c r="F3843" s="61">
        <v>18.506699999999999</v>
      </c>
    </row>
    <row r="3844" spans="1:6">
      <c r="A3844" s="65" t="s">
        <v>6423</v>
      </c>
      <c r="B3844" s="66">
        <f t="shared" si="192"/>
        <v>42531</v>
      </c>
      <c r="C3844" s="67">
        <f t="shared" si="193"/>
        <v>2016</v>
      </c>
      <c r="D3844" s="68">
        <v>18.5046</v>
      </c>
      <c r="E3844" s="68">
        <v>18.2742</v>
      </c>
      <c r="F3844" s="68">
        <v>18.149100000000001</v>
      </c>
    </row>
    <row r="3845" spans="1:6">
      <c r="A3845" s="57" t="s">
        <v>6424</v>
      </c>
      <c r="B3845" s="58">
        <f t="shared" si="192"/>
        <v>42532</v>
      </c>
      <c r="C3845" s="59">
        <f t="shared" si="193"/>
        <v>2016</v>
      </c>
      <c r="D3845" s="60" t="s">
        <v>362</v>
      </c>
      <c r="E3845" s="60" t="s">
        <v>362</v>
      </c>
      <c r="F3845" s="61">
        <v>18.2742</v>
      </c>
    </row>
    <row r="3846" spans="1:6">
      <c r="A3846" s="65" t="s">
        <v>6425</v>
      </c>
      <c r="B3846" s="66">
        <f t="shared" si="192"/>
        <v>42533</v>
      </c>
      <c r="C3846" s="67">
        <f t="shared" si="193"/>
        <v>2016</v>
      </c>
      <c r="D3846" s="70" t="s">
        <v>362</v>
      </c>
      <c r="E3846" s="70" t="s">
        <v>362</v>
      </c>
      <c r="F3846" s="68">
        <v>18.2742</v>
      </c>
    </row>
    <row r="3847" spans="1:6">
      <c r="A3847" s="57" t="s">
        <v>6426</v>
      </c>
      <c r="B3847" s="58">
        <f t="shared" si="192"/>
        <v>42534</v>
      </c>
      <c r="C3847" s="59">
        <f t="shared" si="193"/>
        <v>2016</v>
      </c>
      <c r="D3847" s="61">
        <v>18.791499999999999</v>
      </c>
      <c r="E3847" s="61">
        <v>18.5046</v>
      </c>
      <c r="F3847" s="61">
        <v>18.2742</v>
      </c>
    </row>
    <row r="3848" spans="1:6">
      <c r="A3848" s="65" t="s">
        <v>6427</v>
      </c>
      <c r="B3848" s="66">
        <f t="shared" si="192"/>
        <v>42535</v>
      </c>
      <c r="C3848" s="67">
        <f t="shared" si="193"/>
        <v>2016</v>
      </c>
      <c r="D3848" s="68">
        <v>18.981400000000001</v>
      </c>
      <c r="E3848" s="68">
        <v>18.791499999999999</v>
      </c>
      <c r="F3848" s="68">
        <v>18.5046</v>
      </c>
    </row>
    <row r="3849" spans="1:6">
      <c r="A3849" s="57" t="s">
        <v>6428</v>
      </c>
      <c r="B3849" s="58">
        <f t="shared" si="192"/>
        <v>42536</v>
      </c>
      <c r="C3849" s="59">
        <f t="shared" si="193"/>
        <v>2016</v>
      </c>
      <c r="D3849" s="61">
        <v>18.8672</v>
      </c>
      <c r="E3849" s="61">
        <v>18.981400000000001</v>
      </c>
      <c r="F3849" s="61">
        <v>18.791499999999999</v>
      </c>
    </row>
    <row r="3850" spans="1:6">
      <c r="A3850" s="65" t="s">
        <v>6429</v>
      </c>
      <c r="B3850" s="66">
        <f t="shared" si="192"/>
        <v>42537</v>
      </c>
      <c r="C3850" s="67">
        <f t="shared" si="193"/>
        <v>2016</v>
      </c>
      <c r="D3850" s="68">
        <v>18.9968</v>
      </c>
      <c r="E3850" s="68">
        <v>18.8672</v>
      </c>
      <c r="F3850" s="68">
        <v>18.981400000000001</v>
      </c>
    </row>
    <row r="3851" spans="1:6">
      <c r="A3851" s="57" t="s">
        <v>6430</v>
      </c>
      <c r="B3851" s="58">
        <f t="shared" si="192"/>
        <v>42538</v>
      </c>
      <c r="C3851" s="59">
        <f t="shared" si="193"/>
        <v>2016</v>
      </c>
      <c r="D3851" s="61">
        <v>18.852699999999999</v>
      </c>
      <c r="E3851" s="61">
        <v>18.9968</v>
      </c>
      <c r="F3851" s="61">
        <v>18.8672</v>
      </c>
    </row>
    <row r="3852" spans="1:6">
      <c r="A3852" s="65" t="s">
        <v>6431</v>
      </c>
      <c r="B3852" s="66">
        <f t="shared" si="192"/>
        <v>42539</v>
      </c>
      <c r="C3852" s="67">
        <f t="shared" si="193"/>
        <v>2016</v>
      </c>
      <c r="D3852" s="70" t="s">
        <v>362</v>
      </c>
      <c r="E3852" s="70" t="s">
        <v>362</v>
      </c>
      <c r="F3852" s="68">
        <v>18.9968</v>
      </c>
    </row>
    <row r="3853" spans="1:6">
      <c r="A3853" s="57" t="s">
        <v>6432</v>
      </c>
      <c r="B3853" s="58">
        <f t="shared" si="192"/>
        <v>42540</v>
      </c>
      <c r="C3853" s="59">
        <f t="shared" si="193"/>
        <v>2016</v>
      </c>
      <c r="D3853" s="60" t="s">
        <v>362</v>
      </c>
      <c r="E3853" s="60" t="s">
        <v>362</v>
      </c>
      <c r="F3853" s="61">
        <v>18.9968</v>
      </c>
    </row>
    <row r="3854" spans="1:6">
      <c r="A3854" s="65" t="s">
        <v>6433</v>
      </c>
      <c r="B3854" s="66">
        <f t="shared" si="192"/>
        <v>42541</v>
      </c>
      <c r="C3854" s="67">
        <f t="shared" si="193"/>
        <v>2016</v>
      </c>
      <c r="D3854" s="68">
        <v>18.655899999999999</v>
      </c>
      <c r="E3854" s="68">
        <v>18.852699999999999</v>
      </c>
      <c r="F3854" s="68">
        <v>18.9968</v>
      </c>
    </row>
    <row r="3855" spans="1:6">
      <c r="A3855" s="57" t="s">
        <v>6434</v>
      </c>
      <c r="B3855" s="58">
        <f t="shared" si="192"/>
        <v>42542</v>
      </c>
      <c r="C3855" s="59">
        <f t="shared" si="193"/>
        <v>2016</v>
      </c>
      <c r="D3855" s="61">
        <v>18.644400000000001</v>
      </c>
      <c r="E3855" s="61">
        <v>18.655899999999999</v>
      </c>
      <c r="F3855" s="61">
        <v>18.852699999999999</v>
      </c>
    </row>
    <row r="3856" spans="1:6">
      <c r="A3856" s="65" t="s">
        <v>6435</v>
      </c>
      <c r="B3856" s="66">
        <f t="shared" si="192"/>
        <v>42543</v>
      </c>
      <c r="C3856" s="67">
        <f t="shared" si="193"/>
        <v>2016</v>
      </c>
      <c r="D3856" s="68">
        <v>18.532499999999999</v>
      </c>
      <c r="E3856" s="68">
        <v>18.644400000000001</v>
      </c>
      <c r="F3856" s="68">
        <v>18.655899999999999</v>
      </c>
    </row>
    <row r="3857" spans="1:6">
      <c r="A3857" s="57" t="s">
        <v>6436</v>
      </c>
      <c r="B3857" s="58">
        <f t="shared" si="192"/>
        <v>42544</v>
      </c>
      <c r="C3857" s="59">
        <f t="shared" si="193"/>
        <v>2016</v>
      </c>
      <c r="D3857" s="61">
        <v>18.320699999999999</v>
      </c>
      <c r="E3857" s="61">
        <v>18.532499999999999</v>
      </c>
      <c r="F3857" s="61">
        <v>18.644400000000001</v>
      </c>
    </row>
    <row r="3858" spans="1:6">
      <c r="A3858" s="65" t="s">
        <v>6437</v>
      </c>
      <c r="B3858" s="66">
        <f t="shared" si="192"/>
        <v>42545</v>
      </c>
      <c r="C3858" s="67">
        <f t="shared" si="193"/>
        <v>2016</v>
      </c>
      <c r="D3858" s="68">
        <v>18.871600000000001</v>
      </c>
      <c r="E3858" s="68">
        <v>18.320699999999999</v>
      </c>
      <c r="F3858" s="68">
        <v>18.532499999999999</v>
      </c>
    </row>
    <row r="3859" spans="1:6">
      <c r="A3859" s="57" t="s">
        <v>6438</v>
      </c>
      <c r="B3859" s="58">
        <f t="shared" si="192"/>
        <v>42546</v>
      </c>
      <c r="C3859" s="59">
        <f t="shared" si="193"/>
        <v>2016</v>
      </c>
      <c r="D3859" s="60" t="s">
        <v>362</v>
      </c>
      <c r="E3859" s="60" t="s">
        <v>362</v>
      </c>
      <c r="F3859" s="61">
        <v>18.320699999999999</v>
      </c>
    </row>
    <row r="3860" spans="1:6">
      <c r="A3860" s="65" t="s">
        <v>6439</v>
      </c>
      <c r="B3860" s="66">
        <f t="shared" si="192"/>
        <v>42547</v>
      </c>
      <c r="C3860" s="67">
        <f t="shared" si="193"/>
        <v>2016</v>
      </c>
      <c r="D3860" s="70" t="s">
        <v>362</v>
      </c>
      <c r="E3860" s="70" t="s">
        <v>362</v>
      </c>
      <c r="F3860" s="68">
        <v>18.320699999999999</v>
      </c>
    </row>
    <row r="3861" spans="1:6">
      <c r="A3861" s="57" t="s">
        <v>6440</v>
      </c>
      <c r="B3861" s="58">
        <f t="shared" si="192"/>
        <v>42548</v>
      </c>
      <c r="C3861" s="59">
        <f t="shared" si="193"/>
        <v>2016</v>
      </c>
      <c r="D3861" s="61">
        <v>19.128299999999999</v>
      </c>
      <c r="E3861" s="61">
        <v>18.871600000000001</v>
      </c>
      <c r="F3861" s="61">
        <v>18.320699999999999</v>
      </c>
    </row>
    <row r="3862" spans="1:6">
      <c r="A3862" s="65" t="s">
        <v>6441</v>
      </c>
      <c r="B3862" s="66">
        <f t="shared" si="192"/>
        <v>42549</v>
      </c>
      <c r="C3862" s="67">
        <f t="shared" si="193"/>
        <v>2016</v>
      </c>
      <c r="D3862" s="68">
        <v>18.911300000000001</v>
      </c>
      <c r="E3862" s="68">
        <v>19.128299999999999</v>
      </c>
      <c r="F3862" s="68">
        <v>18.871600000000001</v>
      </c>
    </row>
    <row r="3863" spans="1:6">
      <c r="A3863" s="57" t="s">
        <v>6442</v>
      </c>
      <c r="B3863" s="58">
        <f t="shared" si="192"/>
        <v>42550</v>
      </c>
      <c r="C3863" s="59">
        <f t="shared" si="193"/>
        <v>2016</v>
      </c>
      <c r="D3863" s="61">
        <v>18.555</v>
      </c>
      <c r="E3863" s="61">
        <v>18.911300000000001</v>
      </c>
      <c r="F3863" s="61">
        <v>19.128299999999999</v>
      </c>
    </row>
    <row r="3864" spans="1:6">
      <c r="A3864" s="65" t="s">
        <v>6443</v>
      </c>
      <c r="B3864" s="66">
        <f t="shared" si="192"/>
        <v>42551</v>
      </c>
      <c r="C3864" s="67">
        <f t="shared" si="193"/>
        <v>2016</v>
      </c>
      <c r="D3864" s="68">
        <v>18.464600000000001</v>
      </c>
      <c r="E3864" s="68">
        <v>18.555</v>
      </c>
      <c r="F3864" s="68">
        <v>18.911300000000001</v>
      </c>
    </row>
    <row r="3865" spans="1:6">
      <c r="A3865" s="57" t="s">
        <v>6444</v>
      </c>
      <c r="B3865" s="58">
        <f t="shared" si="192"/>
        <v>42552</v>
      </c>
      <c r="C3865" s="59">
        <f t="shared" si="193"/>
        <v>2016</v>
      </c>
      <c r="D3865" s="61">
        <v>18.309000000000001</v>
      </c>
      <c r="E3865" s="61">
        <v>18.464600000000001</v>
      </c>
      <c r="F3865" s="61">
        <v>18.555</v>
      </c>
    </row>
    <row r="3866" spans="1:6">
      <c r="A3866" s="65" t="s">
        <v>6445</v>
      </c>
      <c r="B3866" s="66">
        <f t="shared" si="192"/>
        <v>42553</v>
      </c>
      <c r="C3866" s="67">
        <f t="shared" si="193"/>
        <v>2016</v>
      </c>
      <c r="D3866" s="70" t="s">
        <v>362</v>
      </c>
      <c r="E3866" s="70" t="s">
        <v>362</v>
      </c>
      <c r="F3866" s="68">
        <v>18.464600000000001</v>
      </c>
    </row>
    <row r="3867" spans="1:6">
      <c r="A3867" s="57" t="s">
        <v>6446</v>
      </c>
      <c r="B3867" s="58">
        <f t="shared" si="192"/>
        <v>42554</v>
      </c>
      <c r="C3867" s="59">
        <f t="shared" si="193"/>
        <v>2016</v>
      </c>
      <c r="D3867" s="60" t="s">
        <v>362</v>
      </c>
      <c r="E3867" s="60" t="s">
        <v>362</v>
      </c>
      <c r="F3867" s="61">
        <v>18.464600000000001</v>
      </c>
    </row>
    <row r="3868" spans="1:6">
      <c r="A3868" s="65" t="s">
        <v>6447</v>
      </c>
      <c r="B3868" s="66">
        <f t="shared" si="192"/>
        <v>42555</v>
      </c>
      <c r="C3868" s="67">
        <f t="shared" si="193"/>
        <v>2016</v>
      </c>
      <c r="D3868" s="68">
        <v>18.3858</v>
      </c>
      <c r="E3868" s="68">
        <v>18.309000000000001</v>
      </c>
      <c r="F3868" s="68">
        <v>18.464600000000001</v>
      </c>
    </row>
    <row r="3869" spans="1:6">
      <c r="A3869" s="57" t="s">
        <v>6448</v>
      </c>
      <c r="B3869" s="58">
        <f t="shared" si="192"/>
        <v>42556</v>
      </c>
      <c r="C3869" s="59">
        <f t="shared" si="193"/>
        <v>2016</v>
      </c>
      <c r="D3869" s="61">
        <v>18.753599999999999</v>
      </c>
      <c r="E3869" s="61">
        <v>18.3858</v>
      </c>
      <c r="F3869" s="61">
        <v>18.309000000000001</v>
      </c>
    </row>
    <row r="3870" spans="1:6">
      <c r="A3870" s="65" t="s">
        <v>6449</v>
      </c>
      <c r="B3870" s="66">
        <f t="shared" si="192"/>
        <v>42557</v>
      </c>
      <c r="C3870" s="67">
        <f t="shared" si="193"/>
        <v>2016</v>
      </c>
      <c r="D3870" s="68">
        <v>18.816099999999999</v>
      </c>
      <c r="E3870" s="68">
        <v>18.753599999999999</v>
      </c>
      <c r="F3870" s="68">
        <v>18.3858</v>
      </c>
    </row>
    <row r="3871" spans="1:6">
      <c r="A3871" s="57" t="s">
        <v>6450</v>
      </c>
      <c r="B3871" s="58">
        <f t="shared" ref="B3871:B3934" si="194">DATE(RIGHT(A3871,4),LEFT(RIGHT(A3871,7),2),LEFT(A3871,2))</f>
        <v>42558</v>
      </c>
      <c r="C3871" s="59">
        <f t="shared" ref="C3871:C3934" si="195">YEAR(B3871)</f>
        <v>2016</v>
      </c>
      <c r="D3871" s="61">
        <v>18.860700000000001</v>
      </c>
      <c r="E3871" s="61">
        <v>18.816099999999999</v>
      </c>
      <c r="F3871" s="61">
        <v>18.753599999999999</v>
      </c>
    </row>
    <row r="3872" spans="1:6">
      <c r="A3872" s="65" t="s">
        <v>6451</v>
      </c>
      <c r="B3872" s="66">
        <f t="shared" si="194"/>
        <v>42559</v>
      </c>
      <c r="C3872" s="67">
        <f t="shared" si="195"/>
        <v>2016</v>
      </c>
      <c r="D3872" s="68">
        <v>18.5991</v>
      </c>
      <c r="E3872" s="68">
        <v>18.860700000000001</v>
      </c>
      <c r="F3872" s="68">
        <v>18.816099999999999</v>
      </c>
    </row>
    <row r="3873" spans="1:6">
      <c r="A3873" s="57" t="s">
        <v>6452</v>
      </c>
      <c r="B3873" s="58">
        <f t="shared" si="194"/>
        <v>42560</v>
      </c>
      <c r="C3873" s="59">
        <f t="shared" si="195"/>
        <v>2016</v>
      </c>
      <c r="D3873" s="60" t="s">
        <v>362</v>
      </c>
      <c r="E3873" s="60" t="s">
        <v>362</v>
      </c>
      <c r="F3873" s="61">
        <v>18.860700000000001</v>
      </c>
    </row>
    <row r="3874" spans="1:6">
      <c r="A3874" s="65" t="s">
        <v>6453</v>
      </c>
      <c r="B3874" s="66">
        <f t="shared" si="194"/>
        <v>42561</v>
      </c>
      <c r="C3874" s="67">
        <f t="shared" si="195"/>
        <v>2016</v>
      </c>
      <c r="D3874" s="70" t="s">
        <v>362</v>
      </c>
      <c r="E3874" s="70" t="s">
        <v>362</v>
      </c>
      <c r="F3874" s="68">
        <v>18.860700000000001</v>
      </c>
    </row>
    <row r="3875" spans="1:6">
      <c r="A3875" s="57" t="s">
        <v>6454</v>
      </c>
      <c r="B3875" s="58">
        <f t="shared" si="194"/>
        <v>42562</v>
      </c>
      <c r="C3875" s="59">
        <f t="shared" si="195"/>
        <v>2016</v>
      </c>
      <c r="D3875" s="61">
        <v>18.459700000000002</v>
      </c>
      <c r="E3875" s="61">
        <v>18.5991</v>
      </c>
      <c r="F3875" s="61">
        <v>18.860700000000001</v>
      </c>
    </row>
    <row r="3876" spans="1:6">
      <c r="A3876" s="65" t="s">
        <v>6455</v>
      </c>
      <c r="B3876" s="66">
        <f t="shared" si="194"/>
        <v>42563</v>
      </c>
      <c r="C3876" s="67">
        <f t="shared" si="195"/>
        <v>2016</v>
      </c>
      <c r="D3876" s="68">
        <v>18.300599999999999</v>
      </c>
      <c r="E3876" s="68">
        <v>18.459700000000002</v>
      </c>
      <c r="F3876" s="68">
        <v>18.5991</v>
      </c>
    </row>
    <row r="3877" spans="1:6">
      <c r="A3877" s="57" t="s">
        <v>6456</v>
      </c>
      <c r="B3877" s="58">
        <f t="shared" si="194"/>
        <v>42564</v>
      </c>
      <c r="C3877" s="59">
        <f t="shared" si="195"/>
        <v>2016</v>
      </c>
      <c r="D3877" s="61">
        <v>18.393699999999999</v>
      </c>
      <c r="E3877" s="61">
        <v>18.300599999999999</v>
      </c>
      <c r="F3877" s="61">
        <v>18.459700000000002</v>
      </c>
    </row>
    <row r="3878" spans="1:6">
      <c r="A3878" s="65" t="s">
        <v>6457</v>
      </c>
      <c r="B3878" s="66">
        <f t="shared" si="194"/>
        <v>42565</v>
      </c>
      <c r="C3878" s="67">
        <f t="shared" si="195"/>
        <v>2016</v>
      </c>
      <c r="D3878" s="68">
        <v>18.306100000000001</v>
      </c>
      <c r="E3878" s="68">
        <v>18.393699999999999</v>
      </c>
      <c r="F3878" s="68">
        <v>18.300599999999999</v>
      </c>
    </row>
    <row r="3879" spans="1:6">
      <c r="A3879" s="57" t="s">
        <v>6458</v>
      </c>
      <c r="B3879" s="58">
        <f t="shared" si="194"/>
        <v>42566</v>
      </c>
      <c r="C3879" s="59">
        <f t="shared" si="195"/>
        <v>2016</v>
      </c>
      <c r="D3879" s="61">
        <v>18.492000000000001</v>
      </c>
      <c r="E3879" s="61">
        <v>18.306100000000001</v>
      </c>
      <c r="F3879" s="61">
        <v>18.393699999999999</v>
      </c>
    </row>
    <row r="3880" spans="1:6">
      <c r="A3880" s="65" t="s">
        <v>6459</v>
      </c>
      <c r="B3880" s="66">
        <f t="shared" si="194"/>
        <v>42567</v>
      </c>
      <c r="C3880" s="67">
        <f t="shared" si="195"/>
        <v>2016</v>
      </c>
      <c r="D3880" s="70" t="s">
        <v>362</v>
      </c>
      <c r="E3880" s="70" t="s">
        <v>362</v>
      </c>
      <c r="F3880" s="68">
        <v>18.306100000000001</v>
      </c>
    </row>
    <row r="3881" spans="1:6">
      <c r="A3881" s="57" t="s">
        <v>6460</v>
      </c>
      <c r="B3881" s="58">
        <f t="shared" si="194"/>
        <v>42568</v>
      </c>
      <c r="C3881" s="59">
        <f t="shared" si="195"/>
        <v>2016</v>
      </c>
      <c r="D3881" s="60" t="s">
        <v>362</v>
      </c>
      <c r="E3881" s="60" t="s">
        <v>362</v>
      </c>
      <c r="F3881" s="61">
        <v>18.306100000000001</v>
      </c>
    </row>
    <row r="3882" spans="1:6">
      <c r="A3882" s="65" t="s">
        <v>6461</v>
      </c>
      <c r="B3882" s="66">
        <f t="shared" si="194"/>
        <v>42569</v>
      </c>
      <c r="C3882" s="67">
        <f t="shared" si="195"/>
        <v>2016</v>
      </c>
      <c r="D3882" s="68">
        <v>18.4879</v>
      </c>
      <c r="E3882" s="68">
        <v>18.492000000000001</v>
      </c>
      <c r="F3882" s="68">
        <v>18.306100000000001</v>
      </c>
    </row>
    <row r="3883" spans="1:6">
      <c r="A3883" s="57" t="s">
        <v>6462</v>
      </c>
      <c r="B3883" s="58">
        <f t="shared" si="194"/>
        <v>42570</v>
      </c>
      <c r="C3883" s="59">
        <f t="shared" si="195"/>
        <v>2016</v>
      </c>
      <c r="D3883" s="61">
        <v>18.571899999999999</v>
      </c>
      <c r="E3883" s="61">
        <v>18.4879</v>
      </c>
      <c r="F3883" s="61">
        <v>18.492000000000001</v>
      </c>
    </row>
    <row r="3884" spans="1:6">
      <c r="A3884" s="65" t="s">
        <v>6463</v>
      </c>
      <c r="B3884" s="66">
        <f t="shared" si="194"/>
        <v>42571</v>
      </c>
      <c r="C3884" s="67">
        <f t="shared" si="195"/>
        <v>2016</v>
      </c>
      <c r="D3884" s="68">
        <v>18.572900000000001</v>
      </c>
      <c r="E3884" s="68">
        <v>18.571899999999999</v>
      </c>
      <c r="F3884" s="68">
        <v>18.4879</v>
      </c>
    </row>
    <row r="3885" spans="1:6">
      <c r="A3885" s="57" t="s">
        <v>6464</v>
      </c>
      <c r="B3885" s="58">
        <f t="shared" si="194"/>
        <v>42572</v>
      </c>
      <c r="C3885" s="59">
        <f t="shared" si="195"/>
        <v>2016</v>
      </c>
      <c r="D3885" s="61">
        <v>18.6022</v>
      </c>
      <c r="E3885" s="61">
        <v>18.572900000000001</v>
      </c>
      <c r="F3885" s="61">
        <v>18.571899999999999</v>
      </c>
    </row>
    <row r="3886" spans="1:6">
      <c r="A3886" s="65" t="s">
        <v>6465</v>
      </c>
      <c r="B3886" s="66">
        <f t="shared" si="194"/>
        <v>42573</v>
      </c>
      <c r="C3886" s="67">
        <f t="shared" si="195"/>
        <v>2016</v>
      </c>
      <c r="D3886" s="68">
        <v>18.608899999999998</v>
      </c>
      <c r="E3886" s="68">
        <v>18.6022</v>
      </c>
      <c r="F3886" s="68">
        <v>18.572900000000001</v>
      </c>
    </row>
    <row r="3887" spans="1:6">
      <c r="A3887" s="57" t="s">
        <v>6466</v>
      </c>
      <c r="B3887" s="58">
        <f t="shared" si="194"/>
        <v>42574</v>
      </c>
      <c r="C3887" s="59">
        <f t="shared" si="195"/>
        <v>2016</v>
      </c>
      <c r="D3887" s="60" t="s">
        <v>362</v>
      </c>
      <c r="E3887" s="60" t="s">
        <v>362</v>
      </c>
      <c r="F3887" s="61">
        <v>18.6022</v>
      </c>
    </row>
    <row r="3888" spans="1:6">
      <c r="A3888" s="65" t="s">
        <v>6467</v>
      </c>
      <c r="B3888" s="66">
        <f t="shared" si="194"/>
        <v>42575</v>
      </c>
      <c r="C3888" s="67">
        <f t="shared" si="195"/>
        <v>2016</v>
      </c>
      <c r="D3888" s="70" t="s">
        <v>362</v>
      </c>
      <c r="E3888" s="70" t="s">
        <v>362</v>
      </c>
      <c r="F3888" s="68">
        <v>18.6022</v>
      </c>
    </row>
    <row r="3889" spans="1:6">
      <c r="A3889" s="57" t="s">
        <v>6468</v>
      </c>
      <c r="B3889" s="58">
        <f t="shared" si="194"/>
        <v>42576</v>
      </c>
      <c r="C3889" s="59">
        <f t="shared" si="195"/>
        <v>2016</v>
      </c>
      <c r="D3889" s="61">
        <v>18.756900000000002</v>
      </c>
      <c r="E3889" s="61">
        <v>18.608899999999998</v>
      </c>
      <c r="F3889" s="61">
        <v>18.6022</v>
      </c>
    </row>
    <row r="3890" spans="1:6">
      <c r="A3890" s="65" t="s">
        <v>6469</v>
      </c>
      <c r="B3890" s="66">
        <f t="shared" si="194"/>
        <v>42577</v>
      </c>
      <c r="C3890" s="67">
        <f t="shared" si="195"/>
        <v>2016</v>
      </c>
      <c r="D3890" s="68">
        <v>18.811399999999999</v>
      </c>
      <c r="E3890" s="68">
        <v>18.756900000000002</v>
      </c>
      <c r="F3890" s="68">
        <v>18.608899999999998</v>
      </c>
    </row>
    <row r="3891" spans="1:6">
      <c r="A3891" s="57" t="s">
        <v>6470</v>
      </c>
      <c r="B3891" s="58">
        <f t="shared" si="194"/>
        <v>42578</v>
      </c>
      <c r="C3891" s="59">
        <f t="shared" si="195"/>
        <v>2016</v>
      </c>
      <c r="D3891" s="61">
        <v>18.860199999999999</v>
      </c>
      <c r="E3891" s="61">
        <v>18.811399999999999</v>
      </c>
      <c r="F3891" s="61">
        <v>18.756900000000002</v>
      </c>
    </row>
    <row r="3892" spans="1:6">
      <c r="A3892" s="65" t="s">
        <v>6471</v>
      </c>
      <c r="B3892" s="66">
        <f t="shared" si="194"/>
        <v>42579</v>
      </c>
      <c r="C3892" s="67">
        <f t="shared" si="195"/>
        <v>2016</v>
      </c>
      <c r="D3892" s="68">
        <v>18.8979</v>
      </c>
      <c r="E3892" s="68">
        <v>18.860199999999999</v>
      </c>
      <c r="F3892" s="68">
        <v>18.811399999999999</v>
      </c>
    </row>
    <row r="3893" spans="1:6">
      <c r="A3893" s="57" t="s">
        <v>6472</v>
      </c>
      <c r="B3893" s="58">
        <f t="shared" si="194"/>
        <v>42580</v>
      </c>
      <c r="C3893" s="59">
        <f t="shared" si="195"/>
        <v>2016</v>
      </c>
      <c r="D3893" s="61">
        <v>18.7837</v>
      </c>
      <c r="E3893" s="61">
        <v>18.8979</v>
      </c>
      <c r="F3893" s="61">
        <v>18.860199999999999</v>
      </c>
    </row>
    <row r="3894" spans="1:6">
      <c r="A3894" s="65" t="s">
        <v>6473</v>
      </c>
      <c r="B3894" s="66">
        <f t="shared" si="194"/>
        <v>42581</v>
      </c>
      <c r="C3894" s="67">
        <f t="shared" si="195"/>
        <v>2016</v>
      </c>
      <c r="D3894" s="70" t="s">
        <v>362</v>
      </c>
      <c r="E3894" s="70" t="s">
        <v>362</v>
      </c>
      <c r="F3894" s="68">
        <v>18.8979</v>
      </c>
    </row>
    <row r="3895" spans="1:6">
      <c r="A3895" s="57" t="s">
        <v>6474</v>
      </c>
      <c r="B3895" s="58">
        <f t="shared" si="194"/>
        <v>42582</v>
      </c>
      <c r="C3895" s="59">
        <f t="shared" si="195"/>
        <v>2016</v>
      </c>
      <c r="D3895" s="60" t="s">
        <v>362</v>
      </c>
      <c r="E3895" s="60" t="s">
        <v>362</v>
      </c>
      <c r="F3895" s="61">
        <v>18.8979</v>
      </c>
    </row>
    <row r="3896" spans="1:6">
      <c r="A3896" s="65" t="s">
        <v>6475</v>
      </c>
      <c r="B3896" s="66">
        <f t="shared" si="194"/>
        <v>42583</v>
      </c>
      <c r="C3896" s="67">
        <f t="shared" si="195"/>
        <v>2016</v>
      </c>
      <c r="D3896" s="68">
        <v>18.8504</v>
      </c>
      <c r="E3896" s="68">
        <v>18.7837</v>
      </c>
      <c r="F3896" s="68">
        <v>18.8979</v>
      </c>
    </row>
    <row r="3897" spans="1:6">
      <c r="A3897" s="57" t="s">
        <v>6476</v>
      </c>
      <c r="B3897" s="58">
        <f t="shared" si="194"/>
        <v>42584</v>
      </c>
      <c r="C3897" s="59">
        <f t="shared" si="195"/>
        <v>2016</v>
      </c>
      <c r="D3897" s="61">
        <v>18.896599999999999</v>
      </c>
      <c r="E3897" s="61">
        <v>18.8504</v>
      </c>
      <c r="F3897" s="61">
        <v>18.7837</v>
      </c>
    </row>
    <row r="3898" spans="1:6">
      <c r="A3898" s="65" t="s">
        <v>6477</v>
      </c>
      <c r="B3898" s="66">
        <f t="shared" si="194"/>
        <v>42585</v>
      </c>
      <c r="C3898" s="67">
        <f t="shared" si="195"/>
        <v>2016</v>
      </c>
      <c r="D3898" s="68">
        <v>18.9117</v>
      </c>
      <c r="E3898" s="68">
        <v>18.896599999999999</v>
      </c>
      <c r="F3898" s="68">
        <v>18.8504</v>
      </c>
    </row>
    <row r="3899" spans="1:6">
      <c r="A3899" s="57" t="s">
        <v>6478</v>
      </c>
      <c r="B3899" s="58">
        <f t="shared" si="194"/>
        <v>42586</v>
      </c>
      <c r="C3899" s="59">
        <f t="shared" si="195"/>
        <v>2016</v>
      </c>
      <c r="D3899" s="61">
        <v>18.8612</v>
      </c>
      <c r="E3899" s="61">
        <v>18.9117</v>
      </c>
      <c r="F3899" s="61">
        <v>18.896599999999999</v>
      </c>
    </row>
    <row r="3900" spans="1:6">
      <c r="A3900" s="65" t="s">
        <v>6479</v>
      </c>
      <c r="B3900" s="66">
        <f t="shared" si="194"/>
        <v>42587</v>
      </c>
      <c r="C3900" s="67">
        <f t="shared" si="195"/>
        <v>2016</v>
      </c>
      <c r="D3900" s="68">
        <v>18.8691</v>
      </c>
      <c r="E3900" s="68">
        <v>18.8612</v>
      </c>
      <c r="F3900" s="68">
        <v>18.9117</v>
      </c>
    </row>
    <row r="3901" spans="1:6">
      <c r="A3901" s="57" t="s">
        <v>6480</v>
      </c>
      <c r="B3901" s="58">
        <f t="shared" si="194"/>
        <v>42588</v>
      </c>
      <c r="C3901" s="59">
        <f t="shared" si="195"/>
        <v>2016</v>
      </c>
      <c r="D3901" s="60" t="s">
        <v>362</v>
      </c>
      <c r="E3901" s="60" t="s">
        <v>362</v>
      </c>
      <c r="F3901" s="61">
        <v>18.8612</v>
      </c>
    </row>
    <row r="3902" spans="1:6">
      <c r="A3902" s="65" t="s">
        <v>6481</v>
      </c>
      <c r="B3902" s="66">
        <f t="shared" si="194"/>
        <v>42589</v>
      </c>
      <c r="C3902" s="67">
        <f t="shared" si="195"/>
        <v>2016</v>
      </c>
      <c r="D3902" s="70" t="s">
        <v>362</v>
      </c>
      <c r="E3902" s="70" t="s">
        <v>362</v>
      </c>
      <c r="F3902" s="68">
        <v>18.8612</v>
      </c>
    </row>
    <row r="3903" spans="1:6">
      <c r="A3903" s="57" t="s">
        <v>6482</v>
      </c>
      <c r="B3903" s="58">
        <f t="shared" si="194"/>
        <v>42590</v>
      </c>
      <c r="C3903" s="59">
        <f t="shared" si="195"/>
        <v>2016</v>
      </c>
      <c r="D3903" s="61">
        <v>18.5716</v>
      </c>
      <c r="E3903" s="61">
        <v>18.8691</v>
      </c>
      <c r="F3903" s="61">
        <v>18.8612</v>
      </c>
    </row>
    <row r="3904" spans="1:6">
      <c r="A3904" s="65" t="s">
        <v>6483</v>
      </c>
      <c r="B3904" s="66">
        <f t="shared" si="194"/>
        <v>42591</v>
      </c>
      <c r="C3904" s="67">
        <f t="shared" si="195"/>
        <v>2016</v>
      </c>
      <c r="D3904" s="68">
        <v>18.3842</v>
      </c>
      <c r="E3904" s="68">
        <v>18.5716</v>
      </c>
      <c r="F3904" s="68">
        <v>18.8691</v>
      </c>
    </row>
    <row r="3905" spans="1:6">
      <c r="A3905" s="57" t="s">
        <v>6484</v>
      </c>
      <c r="B3905" s="58">
        <f t="shared" si="194"/>
        <v>42592</v>
      </c>
      <c r="C3905" s="59">
        <f t="shared" si="195"/>
        <v>2016</v>
      </c>
      <c r="D3905" s="61">
        <v>18.347899999999999</v>
      </c>
      <c r="E3905" s="61">
        <v>18.3842</v>
      </c>
      <c r="F3905" s="61">
        <v>18.5716</v>
      </c>
    </row>
    <row r="3906" spans="1:6">
      <c r="A3906" s="65" t="s">
        <v>6485</v>
      </c>
      <c r="B3906" s="66">
        <f t="shared" si="194"/>
        <v>42593</v>
      </c>
      <c r="C3906" s="67">
        <f t="shared" si="195"/>
        <v>2016</v>
      </c>
      <c r="D3906" s="68">
        <v>18.267800000000001</v>
      </c>
      <c r="E3906" s="68">
        <v>18.347899999999999</v>
      </c>
      <c r="F3906" s="68">
        <v>18.3842</v>
      </c>
    </row>
    <row r="3907" spans="1:6">
      <c r="A3907" s="57" t="s">
        <v>6486</v>
      </c>
      <c r="B3907" s="58">
        <f t="shared" si="194"/>
        <v>42594</v>
      </c>
      <c r="C3907" s="59">
        <f t="shared" si="195"/>
        <v>2016</v>
      </c>
      <c r="D3907" s="61">
        <v>18.2455</v>
      </c>
      <c r="E3907" s="61">
        <v>18.267800000000001</v>
      </c>
      <c r="F3907" s="61">
        <v>18.347899999999999</v>
      </c>
    </row>
    <row r="3908" spans="1:6">
      <c r="A3908" s="65" t="s">
        <v>6487</v>
      </c>
      <c r="B3908" s="66">
        <f t="shared" si="194"/>
        <v>42595</v>
      </c>
      <c r="C3908" s="67">
        <f t="shared" si="195"/>
        <v>2016</v>
      </c>
      <c r="D3908" s="70" t="s">
        <v>362</v>
      </c>
      <c r="E3908" s="70" t="s">
        <v>362</v>
      </c>
      <c r="F3908" s="68">
        <v>18.267800000000001</v>
      </c>
    </row>
    <row r="3909" spans="1:6">
      <c r="A3909" s="57" t="s">
        <v>6488</v>
      </c>
      <c r="B3909" s="58">
        <f t="shared" si="194"/>
        <v>42596</v>
      </c>
      <c r="C3909" s="59">
        <f t="shared" si="195"/>
        <v>2016</v>
      </c>
      <c r="D3909" s="60" t="s">
        <v>362</v>
      </c>
      <c r="E3909" s="60" t="s">
        <v>362</v>
      </c>
      <c r="F3909" s="61">
        <v>18.267800000000001</v>
      </c>
    </row>
    <row r="3910" spans="1:6">
      <c r="A3910" s="65" t="s">
        <v>6489</v>
      </c>
      <c r="B3910" s="66">
        <f t="shared" si="194"/>
        <v>42597</v>
      </c>
      <c r="C3910" s="67">
        <f t="shared" si="195"/>
        <v>2016</v>
      </c>
      <c r="D3910" s="68">
        <v>18.036300000000001</v>
      </c>
      <c r="E3910" s="68">
        <v>18.2455</v>
      </c>
      <c r="F3910" s="68">
        <v>18.267800000000001</v>
      </c>
    </row>
    <row r="3911" spans="1:6">
      <c r="A3911" s="57" t="s">
        <v>6490</v>
      </c>
      <c r="B3911" s="58">
        <f t="shared" si="194"/>
        <v>42598</v>
      </c>
      <c r="C3911" s="59">
        <f t="shared" si="195"/>
        <v>2016</v>
      </c>
      <c r="D3911" s="61">
        <v>17.986899999999999</v>
      </c>
      <c r="E3911" s="61">
        <v>18.036300000000001</v>
      </c>
      <c r="F3911" s="61">
        <v>18.2455</v>
      </c>
    </row>
    <row r="3912" spans="1:6">
      <c r="A3912" s="65" t="s">
        <v>6491</v>
      </c>
      <c r="B3912" s="66">
        <f t="shared" si="194"/>
        <v>42599</v>
      </c>
      <c r="C3912" s="67">
        <f t="shared" si="195"/>
        <v>2016</v>
      </c>
      <c r="D3912" s="68">
        <v>18.259799999999998</v>
      </c>
      <c r="E3912" s="68">
        <v>17.986899999999999</v>
      </c>
      <c r="F3912" s="68">
        <v>18.036300000000001</v>
      </c>
    </row>
    <row r="3913" spans="1:6">
      <c r="A3913" s="57" t="s">
        <v>6492</v>
      </c>
      <c r="B3913" s="58">
        <f t="shared" si="194"/>
        <v>42600</v>
      </c>
      <c r="C3913" s="59">
        <f t="shared" si="195"/>
        <v>2016</v>
      </c>
      <c r="D3913" s="61">
        <v>18.083200000000001</v>
      </c>
      <c r="E3913" s="61">
        <v>18.259799999999998</v>
      </c>
      <c r="F3913" s="61">
        <v>17.986899999999999</v>
      </c>
    </row>
    <row r="3914" spans="1:6">
      <c r="A3914" s="65" t="s">
        <v>6493</v>
      </c>
      <c r="B3914" s="66">
        <f t="shared" si="194"/>
        <v>42601</v>
      </c>
      <c r="C3914" s="67">
        <f t="shared" si="195"/>
        <v>2016</v>
      </c>
      <c r="D3914" s="68">
        <v>18.267399999999999</v>
      </c>
      <c r="E3914" s="68">
        <v>18.083200000000001</v>
      </c>
      <c r="F3914" s="68">
        <v>18.259799999999998</v>
      </c>
    </row>
    <row r="3915" spans="1:6">
      <c r="A3915" s="57" t="s">
        <v>6494</v>
      </c>
      <c r="B3915" s="58">
        <f t="shared" si="194"/>
        <v>42602</v>
      </c>
      <c r="C3915" s="59">
        <f t="shared" si="195"/>
        <v>2016</v>
      </c>
      <c r="D3915" s="60" t="s">
        <v>362</v>
      </c>
      <c r="E3915" s="60" t="s">
        <v>362</v>
      </c>
      <c r="F3915" s="61">
        <v>18.083200000000001</v>
      </c>
    </row>
    <row r="3916" spans="1:6">
      <c r="A3916" s="65" t="s">
        <v>6495</v>
      </c>
      <c r="B3916" s="66">
        <f t="shared" si="194"/>
        <v>42603</v>
      </c>
      <c r="C3916" s="67">
        <f t="shared" si="195"/>
        <v>2016</v>
      </c>
      <c r="D3916" s="70" t="s">
        <v>362</v>
      </c>
      <c r="E3916" s="70" t="s">
        <v>362</v>
      </c>
      <c r="F3916" s="68">
        <v>18.083200000000001</v>
      </c>
    </row>
    <row r="3917" spans="1:6">
      <c r="A3917" s="57" t="s">
        <v>6496</v>
      </c>
      <c r="B3917" s="58">
        <f t="shared" si="194"/>
        <v>42604</v>
      </c>
      <c r="C3917" s="59">
        <f t="shared" si="195"/>
        <v>2016</v>
      </c>
      <c r="D3917" s="61">
        <v>18.302299999999999</v>
      </c>
      <c r="E3917" s="61">
        <v>18.267399999999999</v>
      </c>
      <c r="F3917" s="61">
        <v>18.083200000000001</v>
      </c>
    </row>
    <row r="3918" spans="1:6">
      <c r="A3918" s="65" t="s">
        <v>6497</v>
      </c>
      <c r="B3918" s="66">
        <f t="shared" si="194"/>
        <v>42605</v>
      </c>
      <c r="C3918" s="67">
        <f t="shared" si="195"/>
        <v>2016</v>
      </c>
      <c r="D3918" s="68">
        <v>18.3202</v>
      </c>
      <c r="E3918" s="68">
        <v>18.302299999999999</v>
      </c>
      <c r="F3918" s="68">
        <v>18.267399999999999</v>
      </c>
    </row>
    <row r="3919" spans="1:6">
      <c r="A3919" s="57" t="s">
        <v>6498</v>
      </c>
      <c r="B3919" s="58">
        <f t="shared" si="194"/>
        <v>42606</v>
      </c>
      <c r="C3919" s="59">
        <f t="shared" si="195"/>
        <v>2016</v>
      </c>
      <c r="D3919" s="61">
        <v>18.4971</v>
      </c>
      <c r="E3919" s="61">
        <v>18.3202</v>
      </c>
      <c r="F3919" s="61">
        <v>18.302299999999999</v>
      </c>
    </row>
    <row r="3920" spans="1:6">
      <c r="A3920" s="65" t="s">
        <v>6499</v>
      </c>
      <c r="B3920" s="66">
        <f t="shared" si="194"/>
        <v>42607</v>
      </c>
      <c r="C3920" s="67">
        <f t="shared" si="195"/>
        <v>2016</v>
      </c>
      <c r="D3920" s="68">
        <v>18.446000000000002</v>
      </c>
      <c r="E3920" s="68">
        <v>18.4971</v>
      </c>
      <c r="F3920" s="68">
        <v>18.3202</v>
      </c>
    </row>
    <row r="3921" spans="1:6">
      <c r="A3921" s="57" t="s">
        <v>6500</v>
      </c>
      <c r="B3921" s="58">
        <f t="shared" si="194"/>
        <v>42608</v>
      </c>
      <c r="C3921" s="59">
        <f t="shared" si="195"/>
        <v>2016</v>
      </c>
      <c r="D3921" s="61">
        <v>18.283000000000001</v>
      </c>
      <c r="E3921" s="61">
        <v>18.446000000000002</v>
      </c>
      <c r="F3921" s="61">
        <v>18.4971</v>
      </c>
    </row>
    <row r="3922" spans="1:6">
      <c r="A3922" s="65" t="s">
        <v>6501</v>
      </c>
      <c r="B3922" s="66">
        <f t="shared" si="194"/>
        <v>42609</v>
      </c>
      <c r="C3922" s="67">
        <f t="shared" si="195"/>
        <v>2016</v>
      </c>
      <c r="D3922" s="70" t="s">
        <v>362</v>
      </c>
      <c r="E3922" s="70" t="s">
        <v>362</v>
      </c>
      <c r="F3922" s="68">
        <v>18.446000000000002</v>
      </c>
    </row>
    <row r="3923" spans="1:6">
      <c r="A3923" s="57" t="s">
        <v>6502</v>
      </c>
      <c r="B3923" s="58">
        <f t="shared" si="194"/>
        <v>42610</v>
      </c>
      <c r="C3923" s="59">
        <f t="shared" si="195"/>
        <v>2016</v>
      </c>
      <c r="D3923" s="60" t="s">
        <v>362</v>
      </c>
      <c r="E3923" s="60" t="s">
        <v>362</v>
      </c>
      <c r="F3923" s="61">
        <v>18.446000000000002</v>
      </c>
    </row>
    <row r="3924" spans="1:6">
      <c r="A3924" s="65" t="s">
        <v>6503</v>
      </c>
      <c r="B3924" s="66">
        <f t="shared" si="194"/>
        <v>42611</v>
      </c>
      <c r="C3924" s="67">
        <f t="shared" si="195"/>
        <v>2016</v>
      </c>
      <c r="D3924" s="68">
        <v>18.577300000000001</v>
      </c>
      <c r="E3924" s="68">
        <v>18.283000000000001</v>
      </c>
      <c r="F3924" s="68">
        <v>18.446000000000002</v>
      </c>
    </row>
    <row r="3925" spans="1:6">
      <c r="A3925" s="57" t="s">
        <v>6504</v>
      </c>
      <c r="B3925" s="58">
        <f t="shared" si="194"/>
        <v>42612</v>
      </c>
      <c r="C3925" s="59">
        <f t="shared" si="195"/>
        <v>2016</v>
      </c>
      <c r="D3925" s="61">
        <v>18.795300000000001</v>
      </c>
      <c r="E3925" s="61">
        <v>18.577300000000001</v>
      </c>
      <c r="F3925" s="61">
        <v>18.283000000000001</v>
      </c>
    </row>
    <row r="3926" spans="1:6">
      <c r="A3926" s="65" t="s">
        <v>6505</v>
      </c>
      <c r="B3926" s="66">
        <f t="shared" si="194"/>
        <v>42613</v>
      </c>
      <c r="C3926" s="67">
        <f t="shared" si="195"/>
        <v>2016</v>
      </c>
      <c r="D3926" s="68">
        <v>18.8611</v>
      </c>
      <c r="E3926" s="68">
        <v>18.795300000000001</v>
      </c>
      <c r="F3926" s="68">
        <v>18.577300000000001</v>
      </c>
    </row>
    <row r="3927" spans="1:6">
      <c r="A3927" s="57" t="s">
        <v>6506</v>
      </c>
      <c r="B3927" s="58">
        <f t="shared" si="194"/>
        <v>42614</v>
      </c>
      <c r="C3927" s="59">
        <f t="shared" si="195"/>
        <v>2016</v>
      </c>
      <c r="D3927" s="61">
        <v>18.8523</v>
      </c>
      <c r="E3927" s="61">
        <v>18.8611</v>
      </c>
      <c r="F3927" s="61">
        <v>18.795300000000001</v>
      </c>
    </row>
    <row r="3928" spans="1:6">
      <c r="A3928" s="65" t="s">
        <v>6507</v>
      </c>
      <c r="B3928" s="66">
        <f t="shared" si="194"/>
        <v>42615</v>
      </c>
      <c r="C3928" s="67">
        <f t="shared" si="195"/>
        <v>2016</v>
      </c>
      <c r="D3928" s="68">
        <v>18.658899999999999</v>
      </c>
      <c r="E3928" s="68">
        <v>18.8523</v>
      </c>
      <c r="F3928" s="68">
        <v>18.8611</v>
      </c>
    </row>
    <row r="3929" spans="1:6">
      <c r="A3929" s="57" t="s">
        <v>6508</v>
      </c>
      <c r="B3929" s="58">
        <f t="shared" si="194"/>
        <v>42616</v>
      </c>
      <c r="C3929" s="59">
        <f t="shared" si="195"/>
        <v>2016</v>
      </c>
      <c r="D3929" s="60" t="s">
        <v>362</v>
      </c>
      <c r="E3929" s="60" t="s">
        <v>362</v>
      </c>
      <c r="F3929" s="61">
        <v>18.8523</v>
      </c>
    </row>
    <row r="3930" spans="1:6">
      <c r="A3930" s="65" t="s">
        <v>6509</v>
      </c>
      <c r="B3930" s="66">
        <f t="shared" si="194"/>
        <v>42617</v>
      </c>
      <c r="C3930" s="67">
        <f t="shared" si="195"/>
        <v>2016</v>
      </c>
      <c r="D3930" s="70" t="s">
        <v>362</v>
      </c>
      <c r="E3930" s="70" t="s">
        <v>362</v>
      </c>
      <c r="F3930" s="68">
        <v>18.8523</v>
      </c>
    </row>
    <row r="3931" spans="1:6">
      <c r="A3931" s="57" t="s">
        <v>6510</v>
      </c>
      <c r="B3931" s="58">
        <f t="shared" si="194"/>
        <v>42618</v>
      </c>
      <c r="C3931" s="59">
        <f t="shared" si="195"/>
        <v>2016</v>
      </c>
      <c r="D3931" s="61">
        <v>18.5581</v>
      </c>
      <c r="E3931" s="61">
        <v>18.658899999999999</v>
      </c>
      <c r="F3931" s="61">
        <v>18.8523</v>
      </c>
    </row>
    <row r="3932" spans="1:6">
      <c r="A3932" s="65" t="s">
        <v>6511</v>
      </c>
      <c r="B3932" s="66">
        <f t="shared" si="194"/>
        <v>42619</v>
      </c>
      <c r="C3932" s="67">
        <f t="shared" si="195"/>
        <v>2016</v>
      </c>
      <c r="D3932" s="68">
        <v>18.352399999999999</v>
      </c>
      <c r="E3932" s="68">
        <v>18.5581</v>
      </c>
      <c r="F3932" s="68">
        <v>18.658899999999999</v>
      </c>
    </row>
    <row r="3933" spans="1:6">
      <c r="A3933" s="57" t="s">
        <v>6512</v>
      </c>
      <c r="B3933" s="58">
        <f t="shared" si="194"/>
        <v>42620</v>
      </c>
      <c r="C3933" s="59">
        <f t="shared" si="195"/>
        <v>2016</v>
      </c>
      <c r="D3933" s="61">
        <v>18.3689</v>
      </c>
      <c r="E3933" s="61">
        <v>18.352399999999999</v>
      </c>
      <c r="F3933" s="61">
        <v>18.5581</v>
      </c>
    </row>
    <row r="3934" spans="1:6">
      <c r="A3934" s="65" t="s">
        <v>6513</v>
      </c>
      <c r="B3934" s="66">
        <f t="shared" si="194"/>
        <v>42621</v>
      </c>
      <c r="C3934" s="67">
        <f t="shared" si="195"/>
        <v>2016</v>
      </c>
      <c r="D3934" s="68">
        <v>18.5427</v>
      </c>
      <c r="E3934" s="68">
        <v>18.3689</v>
      </c>
      <c r="F3934" s="68">
        <v>18.352399999999999</v>
      </c>
    </row>
    <row r="3935" spans="1:6">
      <c r="A3935" s="57" t="s">
        <v>6514</v>
      </c>
      <c r="B3935" s="58">
        <f t="shared" ref="B3935:B3998" si="196">DATE(RIGHT(A3935,4),LEFT(RIGHT(A3935,7),2),LEFT(A3935,2))</f>
        <v>42622</v>
      </c>
      <c r="C3935" s="59">
        <f t="shared" ref="C3935:C3998" si="197">YEAR(B3935)</f>
        <v>2016</v>
      </c>
      <c r="D3935" s="61">
        <v>18.845099999999999</v>
      </c>
      <c r="E3935" s="61">
        <v>18.5427</v>
      </c>
      <c r="F3935" s="61">
        <v>18.3689</v>
      </c>
    </row>
    <row r="3936" spans="1:6">
      <c r="A3936" s="65" t="s">
        <v>6515</v>
      </c>
      <c r="B3936" s="66">
        <f t="shared" si="196"/>
        <v>42623</v>
      </c>
      <c r="C3936" s="67">
        <f t="shared" si="197"/>
        <v>2016</v>
      </c>
      <c r="D3936" s="70" t="s">
        <v>362</v>
      </c>
      <c r="E3936" s="70" t="s">
        <v>362</v>
      </c>
      <c r="F3936" s="68">
        <v>18.5427</v>
      </c>
    </row>
    <row r="3937" spans="1:6">
      <c r="A3937" s="57" t="s">
        <v>6516</v>
      </c>
      <c r="B3937" s="58">
        <f t="shared" si="196"/>
        <v>42624</v>
      </c>
      <c r="C3937" s="59">
        <f t="shared" si="197"/>
        <v>2016</v>
      </c>
      <c r="D3937" s="60" t="s">
        <v>362</v>
      </c>
      <c r="E3937" s="60" t="s">
        <v>362</v>
      </c>
      <c r="F3937" s="61">
        <v>18.5427</v>
      </c>
    </row>
    <row r="3938" spans="1:6">
      <c r="A3938" s="65" t="s">
        <v>6517</v>
      </c>
      <c r="B3938" s="66">
        <f t="shared" si="196"/>
        <v>42625</v>
      </c>
      <c r="C3938" s="67">
        <f t="shared" si="197"/>
        <v>2016</v>
      </c>
      <c r="D3938" s="68">
        <v>19.064599999999999</v>
      </c>
      <c r="E3938" s="68">
        <v>18.845099999999999</v>
      </c>
      <c r="F3938" s="68">
        <v>18.5427</v>
      </c>
    </row>
    <row r="3939" spans="1:6">
      <c r="A3939" s="57" t="s">
        <v>6518</v>
      </c>
      <c r="B3939" s="58">
        <f t="shared" si="196"/>
        <v>42626</v>
      </c>
      <c r="C3939" s="59">
        <f t="shared" si="197"/>
        <v>2016</v>
      </c>
      <c r="D3939" s="61">
        <v>19.152000000000001</v>
      </c>
      <c r="E3939" s="61">
        <v>19.064599999999999</v>
      </c>
      <c r="F3939" s="61">
        <v>18.845099999999999</v>
      </c>
    </row>
    <row r="3940" spans="1:6">
      <c r="A3940" s="65" t="s">
        <v>6519</v>
      </c>
      <c r="B3940" s="66">
        <f t="shared" si="196"/>
        <v>42627</v>
      </c>
      <c r="C3940" s="67">
        <f t="shared" si="197"/>
        <v>2016</v>
      </c>
      <c r="D3940" s="68">
        <v>19.227499999999999</v>
      </c>
      <c r="E3940" s="68">
        <v>19.152000000000001</v>
      </c>
      <c r="F3940" s="68">
        <v>19.064599999999999</v>
      </c>
    </row>
    <row r="3941" spans="1:6">
      <c r="A3941" s="57" t="s">
        <v>6520</v>
      </c>
      <c r="B3941" s="58">
        <f t="shared" si="196"/>
        <v>42628</v>
      </c>
      <c r="C3941" s="59">
        <f t="shared" si="197"/>
        <v>2016</v>
      </c>
      <c r="D3941" s="61">
        <v>19.2514</v>
      </c>
      <c r="E3941" s="61">
        <v>19.227499999999999</v>
      </c>
      <c r="F3941" s="61">
        <v>19.152000000000001</v>
      </c>
    </row>
    <row r="3942" spans="1:6">
      <c r="A3942" s="65" t="s">
        <v>6521</v>
      </c>
      <c r="B3942" s="66">
        <f t="shared" si="196"/>
        <v>42629</v>
      </c>
      <c r="C3942" s="67">
        <f t="shared" si="197"/>
        <v>2016</v>
      </c>
      <c r="D3942" s="70" t="s">
        <v>362</v>
      </c>
      <c r="E3942" s="70" t="s">
        <v>362</v>
      </c>
      <c r="F3942" s="68">
        <v>19.227499999999999</v>
      </c>
    </row>
    <row r="3943" spans="1:6">
      <c r="A3943" s="57" t="s">
        <v>6522</v>
      </c>
      <c r="B3943" s="58">
        <f t="shared" si="196"/>
        <v>42630</v>
      </c>
      <c r="C3943" s="59">
        <f t="shared" si="197"/>
        <v>2016</v>
      </c>
      <c r="D3943" s="60" t="s">
        <v>362</v>
      </c>
      <c r="E3943" s="60" t="s">
        <v>362</v>
      </c>
      <c r="F3943" s="61">
        <v>19.227499999999999</v>
      </c>
    </row>
    <row r="3944" spans="1:6">
      <c r="A3944" s="65" t="s">
        <v>6523</v>
      </c>
      <c r="B3944" s="66">
        <f t="shared" si="196"/>
        <v>42631</v>
      </c>
      <c r="C3944" s="67">
        <f t="shared" si="197"/>
        <v>2016</v>
      </c>
      <c r="D3944" s="70" t="s">
        <v>362</v>
      </c>
      <c r="E3944" s="70" t="s">
        <v>362</v>
      </c>
      <c r="F3944" s="68">
        <v>19.227499999999999</v>
      </c>
    </row>
    <row r="3945" spans="1:6">
      <c r="A3945" s="57" t="s">
        <v>6524</v>
      </c>
      <c r="B3945" s="58">
        <f t="shared" si="196"/>
        <v>42632</v>
      </c>
      <c r="C3945" s="59">
        <f t="shared" si="197"/>
        <v>2016</v>
      </c>
      <c r="D3945" s="61">
        <v>19.6097</v>
      </c>
      <c r="E3945" s="61">
        <v>19.2514</v>
      </c>
      <c r="F3945" s="61">
        <v>19.227499999999999</v>
      </c>
    </row>
    <row r="3946" spans="1:6">
      <c r="A3946" s="65" t="s">
        <v>6525</v>
      </c>
      <c r="B3946" s="66">
        <f t="shared" si="196"/>
        <v>42633</v>
      </c>
      <c r="C3946" s="67">
        <f t="shared" si="197"/>
        <v>2016</v>
      </c>
      <c r="D3946" s="68">
        <v>19.777000000000001</v>
      </c>
      <c r="E3946" s="68">
        <v>19.6097</v>
      </c>
      <c r="F3946" s="68">
        <v>19.2514</v>
      </c>
    </row>
    <row r="3947" spans="1:6">
      <c r="A3947" s="57" t="s">
        <v>6526</v>
      </c>
      <c r="B3947" s="58">
        <f t="shared" si="196"/>
        <v>42634</v>
      </c>
      <c r="C3947" s="59">
        <f t="shared" si="197"/>
        <v>2016</v>
      </c>
      <c r="D3947" s="61">
        <v>19.839400000000001</v>
      </c>
      <c r="E3947" s="61">
        <v>19.777000000000001</v>
      </c>
      <c r="F3947" s="61">
        <v>19.6097</v>
      </c>
    </row>
    <row r="3948" spans="1:6">
      <c r="A3948" s="65" t="s">
        <v>6527</v>
      </c>
      <c r="B3948" s="66">
        <f t="shared" si="196"/>
        <v>42635</v>
      </c>
      <c r="C3948" s="67">
        <f t="shared" si="197"/>
        <v>2016</v>
      </c>
      <c r="D3948" s="68">
        <v>19.596499999999999</v>
      </c>
      <c r="E3948" s="68">
        <v>19.839400000000001</v>
      </c>
      <c r="F3948" s="68">
        <v>19.777000000000001</v>
      </c>
    </row>
    <row r="3949" spans="1:6">
      <c r="A3949" s="57" t="s">
        <v>6528</v>
      </c>
      <c r="B3949" s="58">
        <f t="shared" si="196"/>
        <v>42636</v>
      </c>
      <c r="C3949" s="59">
        <f t="shared" si="197"/>
        <v>2016</v>
      </c>
      <c r="D3949" s="61">
        <v>19.7211</v>
      </c>
      <c r="E3949" s="61">
        <v>19.596499999999999</v>
      </c>
      <c r="F3949" s="61">
        <v>19.839400000000001</v>
      </c>
    </row>
    <row r="3950" spans="1:6">
      <c r="A3950" s="65" t="s">
        <v>6529</v>
      </c>
      <c r="B3950" s="66">
        <f t="shared" si="196"/>
        <v>42637</v>
      </c>
      <c r="C3950" s="67">
        <f t="shared" si="197"/>
        <v>2016</v>
      </c>
      <c r="D3950" s="70" t="s">
        <v>362</v>
      </c>
      <c r="E3950" s="70" t="s">
        <v>362</v>
      </c>
      <c r="F3950" s="68">
        <v>19.596499999999999</v>
      </c>
    </row>
    <row r="3951" spans="1:6">
      <c r="A3951" s="57" t="s">
        <v>6530</v>
      </c>
      <c r="B3951" s="58">
        <f t="shared" si="196"/>
        <v>42638</v>
      </c>
      <c r="C3951" s="59">
        <f t="shared" si="197"/>
        <v>2016</v>
      </c>
      <c r="D3951" s="60" t="s">
        <v>362</v>
      </c>
      <c r="E3951" s="60" t="s">
        <v>362</v>
      </c>
      <c r="F3951" s="61">
        <v>19.596499999999999</v>
      </c>
    </row>
    <row r="3952" spans="1:6">
      <c r="A3952" s="65" t="s">
        <v>6531</v>
      </c>
      <c r="B3952" s="66">
        <f t="shared" si="196"/>
        <v>42639</v>
      </c>
      <c r="C3952" s="67">
        <f t="shared" si="197"/>
        <v>2016</v>
      </c>
      <c r="D3952" s="68">
        <v>19.8322</v>
      </c>
      <c r="E3952" s="68">
        <v>19.7211</v>
      </c>
      <c r="F3952" s="68">
        <v>19.596499999999999</v>
      </c>
    </row>
    <row r="3953" spans="1:6">
      <c r="A3953" s="57" t="s">
        <v>6532</v>
      </c>
      <c r="B3953" s="58">
        <f t="shared" si="196"/>
        <v>42640</v>
      </c>
      <c r="C3953" s="59">
        <f t="shared" si="197"/>
        <v>2016</v>
      </c>
      <c r="D3953" s="61">
        <v>19.5044</v>
      </c>
      <c r="E3953" s="61">
        <v>19.8322</v>
      </c>
      <c r="F3953" s="61">
        <v>19.7211</v>
      </c>
    </row>
    <row r="3954" spans="1:6">
      <c r="A3954" s="65" t="s">
        <v>6533</v>
      </c>
      <c r="B3954" s="66">
        <f t="shared" si="196"/>
        <v>42641</v>
      </c>
      <c r="C3954" s="67">
        <f t="shared" si="197"/>
        <v>2016</v>
      </c>
      <c r="D3954" s="68">
        <v>19.5002</v>
      </c>
      <c r="E3954" s="68">
        <v>19.5044</v>
      </c>
      <c r="F3954" s="68">
        <v>19.8322</v>
      </c>
    </row>
    <row r="3955" spans="1:6">
      <c r="A3955" s="57" t="s">
        <v>6534</v>
      </c>
      <c r="B3955" s="58">
        <f t="shared" si="196"/>
        <v>42642</v>
      </c>
      <c r="C3955" s="59">
        <f t="shared" si="197"/>
        <v>2016</v>
      </c>
      <c r="D3955" s="61">
        <v>19.4086</v>
      </c>
      <c r="E3955" s="61">
        <v>19.5002</v>
      </c>
      <c r="F3955" s="61">
        <v>19.5044</v>
      </c>
    </row>
    <row r="3956" spans="1:6">
      <c r="A3956" s="65" t="s">
        <v>6535</v>
      </c>
      <c r="B3956" s="66">
        <f t="shared" si="196"/>
        <v>42643</v>
      </c>
      <c r="C3956" s="67">
        <f t="shared" si="197"/>
        <v>2016</v>
      </c>
      <c r="D3956" s="68">
        <v>19.377600000000001</v>
      </c>
      <c r="E3956" s="68">
        <v>19.4086</v>
      </c>
      <c r="F3956" s="68">
        <v>19.5002</v>
      </c>
    </row>
    <row r="3957" spans="1:6">
      <c r="A3957" s="57" t="s">
        <v>6536</v>
      </c>
      <c r="B3957" s="58">
        <f t="shared" si="196"/>
        <v>42644</v>
      </c>
      <c r="C3957" s="59">
        <f t="shared" si="197"/>
        <v>2016</v>
      </c>
      <c r="D3957" s="60" t="s">
        <v>362</v>
      </c>
      <c r="E3957" s="60" t="s">
        <v>362</v>
      </c>
      <c r="F3957" s="61">
        <v>19.4086</v>
      </c>
    </row>
    <row r="3958" spans="1:6">
      <c r="A3958" s="65" t="s">
        <v>6537</v>
      </c>
      <c r="B3958" s="66">
        <f t="shared" si="196"/>
        <v>42645</v>
      </c>
      <c r="C3958" s="67">
        <f t="shared" si="197"/>
        <v>2016</v>
      </c>
      <c r="D3958" s="70" t="s">
        <v>362</v>
      </c>
      <c r="E3958" s="70" t="s">
        <v>362</v>
      </c>
      <c r="F3958" s="68">
        <v>19.4086</v>
      </c>
    </row>
    <row r="3959" spans="1:6">
      <c r="A3959" s="57" t="s">
        <v>6538</v>
      </c>
      <c r="B3959" s="58">
        <f t="shared" si="196"/>
        <v>42646</v>
      </c>
      <c r="C3959" s="59">
        <f t="shared" si="197"/>
        <v>2016</v>
      </c>
      <c r="D3959" s="61">
        <v>19.321100000000001</v>
      </c>
      <c r="E3959" s="61">
        <v>19.377600000000001</v>
      </c>
      <c r="F3959" s="61">
        <v>19.4086</v>
      </c>
    </row>
    <row r="3960" spans="1:6">
      <c r="A3960" s="65" t="s">
        <v>6539</v>
      </c>
      <c r="B3960" s="66">
        <f t="shared" si="196"/>
        <v>42647</v>
      </c>
      <c r="C3960" s="67">
        <f t="shared" si="197"/>
        <v>2016</v>
      </c>
      <c r="D3960" s="68">
        <v>19.213799999999999</v>
      </c>
      <c r="E3960" s="68">
        <v>19.321100000000001</v>
      </c>
      <c r="F3960" s="68">
        <v>19.377600000000001</v>
      </c>
    </row>
    <row r="3961" spans="1:6">
      <c r="A3961" s="57" t="s">
        <v>6540</v>
      </c>
      <c r="B3961" s="58">
        <f t="shared" si="196"/>
        <v>42648</v>
      </c>
      <c r="C3961" s="59">
        <f t="shared" si="197"/>
        <v>2016</v>
      </c>
      <c r="D3961" s="61">
        <v>19.255400000000002</v>
      </c>
      <c r="E3961" s="61">
        <v>19.213799999999999</v>
      </c>
      <c r="F3961" s="61">
        <v>19.321100000000001</v>
      </c>
    </row>
    <row r="3962" spans="1:6">
      <c r="A3962" s="65" t="s">
        <v>6541</v>
      </c>
      <c r="B3962" s="66">
        <f t="shared" si="196"/>
        <v>42649</v>
      </c>
      <c r="C3962" s="67">
        <f t="shared" si="197"/>
        <v>2016</v>
      </c>
      <c r="D3962" s="68">
        <v>19.243300000000001</v>
      </c>
      <c r="E3962" s="68">
        <v>19.255400000000002</v>
      </c>
      <c r="F3962" s="68">
        <v>19.213799999999999</v>
      </c>
    </row>
    <row r="3963" spans="1:6">
      <c r="A3963" s="57" t="s">
        <v>6542</v>
      </c>
      <c r="B3963" s="58">
        <f t="shared" si="196"/>
        <v>42650</v>
      </c>
      <c r="C3963" s="59">
        <f t="shared" si="197"/>
        <v>2016</v>
      </c>
      <c r="D3963" s="61">
        <v>19.299399999999999</v>
      </c>
      <c r="E3963" s="61">
        <v>19.243300000000001</v>
      </c>
      <c r="F3963" s="61">
        <v>19.255400000000002</v>
      </c>
    </row>
    <row r="3964" spans="1:6">
      <c r="A3964" s="65" t="s">
        <v>6543</v>
      </c>
      <c r="B3964" s="66">
        <f t="shared" si="196"/>
        <v>42651</v>
      </c>
      <c r="C3964" s="67">
        <f t="shared" si="197"/>
        <v>2016</v>
      </c>
      <c r="D3964" s="70" t="s">
        <v>362</v>
      </c>
      <c r="E3964" s="70" t="s">
        <v>362</v>
      </c>
      <c r="F3964" s="68">
        <v>19.243300000000001</v>
      </c>
    </row>
    <row r="3965" spans="1:6">
      <c r="A3965" s="57" t="s">
        <v>6544</v>
      </c>
      <c r="B3965" s="58">
        <f t="shared" si="196"/>
        <v>42652</v>
      </c>
      <c r="C3965" s="59">
        <f t="shared" si="197"/>
        <v>2016</v>
      </c>
      <c r="D3965" s="60" t="s">
        <v>362</v>
      </c>
      <c r="E3965" s="60" t="s">
        <v>362</v>
      </c>
      <c r="F3965" s="61">
        <v>19.243300000000001</v>
      </c>
    </row>
    <row r="3966" spans="1:6">
      <c r="A3966" s="65" t="s">
        <v>6545</v>
      </c>
      <c r="B3966" s="66">
        <f t="shared" si="196"/>
        <v>42653</v>
      </c>
      <c r="C3966" s="67">
        <f t="shared" si="197"/>
        <v>2016</v>
      </c>
      <c r="D3966" s="68">
        <v>18.878599999999999</v>
      </c>
      <c r="E3966" s="68">
        <v>19.299399999999999</v>
      </c>
      <c r="F3966" s="68">
        <v>19.243300000000001</v>
      </c>
    </row>
    <row r="3967" spans="1:6">
      <c r="A3967" s="57" t="s">
        <v>6546</v>
      </c>
      <c r="B3967" s="58">
        <f t="shared" si="196"/>
        <v>42654</v>
      </c>
      <c r="C3967" s="59">
        <f t="shared" si="197"/>
        <v>2016</v>
      </c>
      <c r="D3967" s="61">
        <v>18.953099999999999</v>
      </c>
      <c r="E3967" s="61">
        <v>18.878599999999999</v>
      </c>
      <c r="F3967" s="61">
        <v>19.299399999999999</v>
      </c>
    </row>
    <row r="3968" spans="1:6">
      <c r="A3968" s="65" t="s">
        <v>6547</v>
      </c>
      <c r="B3968" s="66">
        <f t="shared" si="196"/>
        <v>42655</v>
      </c>
      <c r="C3968" s="67">
        <f t="shared" si="197"/>
        <v>2016</v>
      </c>
      <c r="D3968" s="68">
        <v>18.962199999999999</v>
      </c>
      <c r="E3968" s="68">
        <v>18.953099999999999</v>
      </c>
      <c r="F3968" s="68">
        <v>18.878599999999999</v>
      </c>
    </row>
    <row r="3969" spans="1:6">
      <c r="A3969" s="57" t="s">
        <v>6548</v>
      </c>
      <c r="B3969" s="58">
        <f t="shared" si="196"/>
        <v>42656</v>
      </c>
      <c r="C3969" s="59">
        <f t="shared" si="197"/>
        <v>2016</v>
      </c>
      <c r="D3969" s="61">
        <v>19.039899999999999</v>
      </c>
      <c r="E3969" s="61">
        <v>18.962199999999999</v>
      </c>
      <c r="F3969" s="61">
        <v>18.953099999999999</v>
      </c>
    </row>
    <row r="3970" spans="1:6">
      <c r="A3970" s="65" t="s">
        <v>6549</v>
      </c>
      <c r="B3970" s="66">
        <f t="shared" si="196"/>
        <v>42657</v>
      </c>
      <c r="C3970" s="67">
        <f t="shared" si="197"/>
        <v>2016</v>
      </c>
      <c r="D3970" s="68">
        <v>19.0046</v>
      </c>
      <c r="E3970" s="68">
        <v>19.039899999999999</v>
      </c>
      <c r="F3970" s="68">
        <v>18.962199999999999</v>
      </c>
    </row>
    <row r="3971" spans="1:6">
      <c r="A3971" s="57" t="s">
        <v>6550</v>
      </c>
      <c r="B3971" s="58">
        <f t="shared" si="196"/>
        <v>42658</v>
      </c>
      <c r="C3971" s="59">
        <f t="shared" si="197"/>
        <v>2016</v>
      </c>
      <c r="D3971" s="60" t="s">
        <v>362</v>
      </c>
      <c r="E3971" s="60" t="s">
        <v>362</v>
      </c>
      <c r="F3971" s="61">
        <v>19.039899999999999</v>
      </c>
    </row>
    <row r="3972" spans="1:6">
      <c r="A3972" s="65" t="s">
        <v>6551</v>
      </c>
      <c r="B3972" s="66">
        <f t="shared" si="196"/>
        <v>42659</v>
      </c>
      <c r="C3972" s="67">
        <f t="shared" si="197"/>
        <v>2016</v>
      </c>
      <c r="D3972" s="70" t="s">
        <v>362</v>
      </c>
      <c r="E3972" s="70" t="s">
        <v>362</v>
      </c>
      <c r="F3972" s="68">
        <v>19.039899999999999</v>
      </c>
    </row>
    <row r="3973" spans="1:6">
      <c r="A3973" s="57" t="s">
        <v>6552</v>
      </c>
      <c r="B3973" s="58">
        <f t="shared" si="196"/>
        <v>42660</v>
      </c>
      <c r="C3973" s="59">
        <f t="shared" si="197"/>
        <v>2016</v>
      </c>
      <c r="D3973" s="61">
        <v>18.872299999999999</v>
      </c>
      <c r="E3973" s="61">
        <v>19.0046</v>
      </c>
      <c r="F3973" s="61">
        <v>19.039899999999999</v>
      </c>
    </row>
    <row r="3974" spans="1:6">
      <c r="A3974" s="65" t="s">
        <v>6553</v>
      </c>
      <c r="B3974" s="66">
        <f t="shared" si="196"/>
        <v>42661</v>
      </c>
      <c r="C3974" s="67">
        <f t="shared" si="197"/>
        <v>2016</v>
      </c>
      <c r="D3974" s="68">
        <v>18.672599999999999</v>
      </c>
      <c r="E3974" s="68">
        <v>18.872299999999999</v>
      </c>
      <c r="F3974" s="68">
        <v>19.0046</v>
      </c>
    </row>
    <row r="3975" spans="1:6">
      <c r="A3975" s="57" t="s">
        <v>6554</v>
      </c>
      <c r="B3975" s="58">
        <f t="shared" si="196"/>
        <v>42662</v>
      </c>
      <c r="C3975" s="59">
        <f t="shared" si="197"/>
        <v>2016</v>
      </c>
      <c r="D3975" s="61">
        <v>18.589400000000001</v>
      </c>
      <c r="E3975" s="61">
        <v>18.672599999999999</v>
      </c>
      <c r="F3975" s="61">
        <v>18.872299999999999</v>
      </c>
    </row>
    <row r="3976" spans="1:6">
      <c r="A3976" s="65" t="s">
        <v>6555</v>
      </c>
      <c r="B3976" s="66">
        <f t="shared" si="196"/>
        <v>42663</v>
      </c>
      <c r="C3976" s="67">
        <f t="shared" si="197"/>
        <v>2016</v>
      </c>
      <c r="D3976" s="68">
        <v>18.5945</v>
      </c>
      <c r="E3976" s="68">
        <v>18.589400000000001</v>
      </c>
      <c r="F3976" s="68">
        <v>18.672599999999999</v>
      </c>
    </row>
    <row r="3977" spans="1:6">
      <c r="A3977" s="57" t="s">
        <v>6556</v>
      </c>
      <c r="B3977" s="58">
        <f t="shared" si="196"/>
        <v>42664</v>
      </c>
      <c r="C3977" s="59">
        <f t="shared" si="197"/>
        <v>2016</v>
      </c>
      <c r="D3977" s="61">
        <v>18.648099999999999</v>
      </c>
      <c r="E3977" s="61">
        <v>18.5945</v>
      </c>
      <c r="F3977" s="61">
        <v>18.589400000000001</v>
      </c>
    </row>
    <row r="3978" spans="1:6">
      <c r="A3978" s="65" t="s">
        <v>6557</v>
      </c>
      <c r="B3978" s="66">
        <f t="shared" si="196"/>
        <v>42665</v>
      </c>
      <c r="C3978" s="67">
        <f t="shared" si="197"/>
        <v>2016</v>
      </c>
      <c r="D3978" s="70" t="s">
        <v>362</v>
      </c>
      <c r="E3978" s="70" t="s">
        <v>362</v>
      </c>
      <c r="F3978" s="68">
        <v>18.5945</v>
      </c>
    </row>
    <row r="3979" spans="1:6">
      <c r="A3979" s="57" t="s">
        <v>6558</v>
      </c>
      <c r="B3979" s="58">
        <f t="shared" si="196"/>
        <v>42666</v>
      </c>
      <c r="C3979" s="59">
        <f t="shared" si="197"/>
        <v>2016</v>
      </c>
      <c r="D3979" s="60" t="s">
        <v>362</v>
      </c>
      <c r="E3979" s="60" t="s">
        <v>362</v>
      </c>
      <c r="F3979" s="61">
        <v>18.5945</v>
      </c>
    </row>
    <row r="3980" spans="1:6">
      <c r="A3980" s="65" t="s">
        <v>6559</v>
      </c>
      <c r="B3980" s="66">
        <f t="shared" si="196"/>
        <v>42667</v>
      </c>
      <c r="C3980" s="67">
        <f t="shared" si="197"/>
        <v>2016</v>
      </c>
      <c r="D3980" s="68">
        <v>18.565799999999999</v>
      </c>
      <c r="E3980" s="68">
        <v>18.648099999999999</v>
      </c>
      <c r="F3980" s="68">
        <v>18.5945</v>
      </c>
    </row>
    <row r="3981" spans="1:6">
      <c r="A3981" s="57" t="s">
        <v>6560</v>
      </c>
      <c r="B3981" s="58">
        <f t="shared" si="196"/>
        <v>42668</v>
      </c>
      <c r="C3981" s="59">
        <f t="shared" si="197"/>
        <v>2016</v>
      </c>
      <c r="D3981" s="61">
        <v>18.514700000000001</v>
      </c>
      <c r="E3981" s="61">
        <v>18.565799999999999</v>
      </c>
      <c r="F3981" s="61">
        <v>18.648099999999999</v>
      </c>
    </row>
    <row r="3982" spans="1:6">
      <c r="A3982" s="65" t="s">
        <v>6561</v>
      </c>
      <c r="B3982" s="66">
        <f t="shared" si="196"/>
        <v>42669</v>
      </c>
      <c r="C3982" s="67">
        <f t="shared" si="197"/>
        <v>2016</v>
      </c>
      <c r="D3982" s="68">
        <v>18.648499999999999</v>
      </c>
      <c r="E3982" s="68">
        <v>18.514700000000001</v>
      </c>
      <c r="F3982" s="68">
        <v>18.565799999999999</v>
      </c>
    </row>
    <row r="3983" spans="1:6">
      <c r="A3983" s="57" t="s">
        <v>6562</v>
      </c>
      <c r="B3983" s="58">
        <f t="shared" si="196"/>
        <v>42670</v>
      </c>
      <c r="C3983" s="59">
        <f t="shared" si="197"/>
        <v>2016</v>
      </c>
      <c r="D3983" s="61">
        <v>18.8443</v>
      </c>
      <c r="E3983" s="61">
        <v>18.648499999999999</v>
      </c>
      <c r="F3983" s="61">
        <v>18.514700000000001</v>
      </c>
    </row>
    <row r="3984" spans="1:6">
      <c r="A3984" s="65" t="s">
        <v>6563</v>
      </c>
      <c r="B3984" s="66">
        <f t="shared" si="196"/>
        <v>42671</v>
      </c>
      <c r="C3984" s="67">
        <f t="shared" si="197"/>
        <v>2016</v>
      </c>
      <c r="D3984" s="68">
        <v>18.730399999999999</v>
      </c>
      <c r="E3984" s="68">
        <v>18.8443</v>
      </c>
      <c r="F3984" s="68">
        <v>18.648499999999999</v>
      </c>
    </row>
    <row r="3985" spans="1:6">
      <c r="A3985" s="57" t="s">
        <v>6564</v>
      </c>
      <c r="B3985" s="58">
        <f t="shared" si="196"/>
        <v>42672</v>
      </c>
      <c r="C3985" s="59">
        <f t="shared" si="197"/>
        <v>2016</v>
      </c>
      <c r="D3985" s="60" t="s">
        <v>362</v>
      </c>
      <c r="E3985" s="60" t="s">
        <v>362</v>
      </c>
      <c r="F3985" s="61">
        <v>18.8443</v>
      </c>
    </row>
    <row r="3986" spans="1:6">
      <c r="A3986" s="65" t="s">
        <v>6565</v>
      </c>
      <c r="B3986" s="66">
        <f t="shared" si="196"/>
        <v>42673</v>
      </c>
      <c r="C3986" s="67">
        <f t="shared" si="197"/>
        <v>2016</v>
      </c>
      <c r="D3986" s="70" t="s">
        <v>362</v>
      </c>
      <c r="E3986" s="70" t="s">
        <v>362</v>
      </c>
      <c r="F3986" s="68">
        <v>18.8443</v>
      </c>
    </row>
    <row r="3987" spans="1:6">
      <c r="A3987" s="57" t="s">
        <v>6566</v>
      </c>
      <c r="B3987" s="58">
        <f t="shared" si="196"/>
        <v>42674</v>
      </c>
      <c r="C3987" s="59">
        <f t="shared" si="197"/>
        <v>2016</v>
      </c>
      <c r="D3987" s="61">
        <v>18.8887</v>
      </c>
      <c r="E3987" s="61">
        <v>18.730399999999999</v>
      </c>
      <c r="F3987" s="61">
        <v>18.8443</v>
      </c>
    </row>
    <row r="3988" spans="1:6">
      <c r="A3988" s="65" t="s">
        <v>6567</v>
      </c>
      <c r="B3988" s="66">
        <f t="shared" si="196"/>
        <v>42675</v>
      </c>
      <c r="C3988" s="67">
        <f t="shared" si="197"/>
        <v>2016</v>
      </c>
      <c r="D3988" s="68">
        <v>19.130600000000001</v>
      </c>
      <c r="E3988" s="68">
        <v>18.8887</v>
      </c>
      <c r="F3988" s="68">
        <v>18.730399999999999</v>
      </c>
    </row>
    <row r="3989" spans="1:6">
      <c r="A3989" s="57" t="s">
        <v>6568</v>
      </c>
      <c r="B3989" s="58">
        <f t="shared" si="196"/>
        <v>42676</v>
      </c>
      <c r="C3989" s="59">
        <f t="shared" si="197"/>
        <v>2016</v>
      </c>
      <c r="D3989" s="60" t="s">
        <v>362</v>
      </c>
      <c r="E3989" s="60" t="s">
        <v>362</v>
      </c>
      <c r="F3989" s="61">
        <v>18.8887</v>
      </c>
    </row>
    <row r="3990" spans="1:6">
      <c r="A3990" s="65" t="s">
        <v>6569</v>
      </c>
      <c r="B3990" s="66">
        <f t="shared" si="196"/>
        <v>42677</v>
      </c>
      <c r="C3990" s="67">
        <f t="shared" si="197"/>
        <v>2016</v>
      </c>
      <c r="D3990" s="68">
        <v>19.2014</v>
      </c>
      <c r="E3990" s="68">
        <v>19.130600000000001</v>
      </c>
      <c r="F3990" s="68">
        <v>18.8887</v>
      </c>
    </row>
    <row r="3991" spans="1:6">
      <c r="A3991" s="57" t="s">
        <v>6570</v>
      </c>
      <c r="B3991" s="58">
        <f t="shared" si="196"/>
        <v>42678</v>
      </c>
      <c r="C3991" s="59">
        <f t="shared" si="197"/>
        <v>2016</v>
      </c>
      <c r="D3991" s="61">
        <v>19.0792</v>
      </c>
      <c r="E3991" s="61">
        <v>19.2014</v>
      </c>
      <c r="F3991" s="61">
        <v>19.130600000000001</v>
      </c>
    </row>
    <row r="3992" spans="1:6">
      <c r="A3992" s="65" t="s">
        <v>6571</v>
      </c>
      <c r="B3992" s="66">
        <f t="shared" si="196"/>
        <v>42679</v>
      </c>
      <c r="C3992" s="67">
        <f t="shared" si="197"/>
        <v>2016</v>
      </c>
      <c r="D3992" s="70" t="s">
        <v>362</v>
      </c>
      <c r="E3992" s="70" t="s">
        <v>362</v>
      </c>
      <c r="F3992" s="68">
        <v>19.2014</v>
      </c>
    </row>
    <row r="3993" spans="1:6">
      <c r="A3993" s="57" t="s">
        <v>6572</v>
      </c>
      <c r="B3993" s="58">
        <f t="shared" si="196"/>
        <v>42680</v>
      </c>
      <c r="C3993" s="59">
        <f t="shared" si="197"/>
        <v>2016</v>
      </c>
      <c r="D3993" s="60" t="s">
        <v>362</v>
      </c>
      <c r="E3993" s="60" t="s">
        <v>362</v>
      </c>
      <c r="F3993" s="61">
        <v>19.2014</v>
      </c>
    </row>
    <row r="3994" spans="1:6">
      <c r="A3994" s="65" t="s">
        <v>6573</v>
      </c>
      <c r="B3994" s="66">
        <f t="shared" si="196"/>
        <v>42681</v>
      </c>
      <c r="C3994" s="67">
        <f t="shared" si="197"/>
        <v>2016</v>
      </c>
      <c r="D3994" s="68">
        <v>18.619199999999999</v>
      </c>
      <c r="E3994" s="68">
        <v>19.0792</v>
      </c>
      <c r="F3994" s="68">
        <v>19.2014</v>
      </c>
    </row>
    <row r="3995" spans="1:6">
      <c r="A3995" s="57" t="s">
        <v>6574</v>
      </c>
      <c r="B3995" s="58">
        <f t="shared" si="196"/>
        <v>42682</v>
      </c>
      <c r="C3995" s="59">
        <f t="shared" si="197"/>
        <v>2016</v>
      </c>
      <c r="D3995" s="61">
        <v>18.508900000000001</v>
      </c>
      <c r="E3995" s="61">
        <v>18.619199999999999</v>
      </c>
      <c r="F3995" s="61">
        <v>19.0792</v>
      </c>
    </row>
    <row r="3996" spans="1:6">
      <c r="A3996" s="65" t="s">
        <v>6575</v>
      </c>
      <c r="B3996" s="66">
        <f t="shared" si="196"/>
        <v>42683</v>
      </c>
      <c r="C3996" s="67">
        <f t="shared" si="197"/>
        <v>2016</v>
      </c>
      <c r="D3996" s="68">
        <v>19.925000000000001</v>
      </c>
      <c r="E3996" s="68">
        <v>18.508900000000001</v>
      </c>
      <c r="F3996" s="68">
        <v>18.619199999999999</v>
      </c>
    </row>
    <row r="3997" spans="1:6">
      <c r="A3997" s="57" t="s">
        <v>6576</v>
      </c>
      <c r="B3997" s="58">
        <f t="shared" si="196"/>
        <v>42684</v>
      </c>
      <c r="C3997" s="59">
        <f t="shared" si="197"/>
        <v>2016</v>
      </c>
      <c r="D3997" s="61">
        <v>20.481200000000001</v>
      </c>
      <c r="E3997" s="61">
        <v>19.925000000000001</v>
      </c>
      <c r="F3997" s="61">
        <v>18.508900000000001</v>
      </c>
    </row>
    <row r="3998" spans="1:6">
      <c r="A3998" s="65" t="s">
        <v>6577</v>
      </c>
      <c r="B3998" s="66">
        <f t="shared" si="196"/>
        <v>42685</v>
      </c>
      <c r="C3998" s="67">
        <f t="shared" si="197"/>
        <v>2016</v>
      </c>
      <c r="D3998" s="68">
        <v>21.051100000000002</v>
      </c>
      <c r="E3998" s="68">
        <v>20.481200000000001</v>
      </c>
      <c r="F3998" s="68">
        <v>19.925000000000001</v>
      </c>
    </row>
    <row r="3999" spans="1:6">
      <c r="A3999" s="57" t="s">
        <v>6578</v>
      </c>
      <c r="B3999" s="58">
        <f t="shared" ref="B3999:B4062" si="198">DATE(RIGHT(A3999,4),LEFT(RIGHT(A3999,7),2),LEFT(A3999,2))</f>
        <v>42686</v>
      </c>
      <c r="C3999" s="59">
        <f t="shared" ref="C3999:C4062" si="199">YEAR(B3999)</f>
        <v>2016</v>
      </c>
      <c r="D3999" s="60" t="s">
        <v>362</v>
      </c>
      <c r="E3999" s="60" t="s">
        <v>362</v>
      </c>
      <c r="F3999" s="61">
        <v>20.481200000000001</v>
      </c>
    </row>
    <row r="4000" spans="1:6">
      <c r="A4000" s="65" t="s">
        <v>6579</v>
      </c>
      <c r="B4000" s="66">
        <f t="shared" si="198"/>
        <v>42687</v>
      </c>
      <c r="C4000" s="67">
        <f t="shared" si="199"/>
        <v>2016</v>
      </c>
      <c r="D4000" s="70" t="s">
        <v>362</v>
      </c>
      <c r="E4000" s="70" t="s">
        <v>362</v>
      </c>
      <c r="F4000" s="68">
        <v>20.481200000000001</v>
      </c>
    </row>
    <row r="4001" spans="1:6">
      <c r="A4001" s="57" t="s">
        <v>6580</v>
      </c>
      <c r="B4001" s="58">
        <f t="shared" si="198"/>
        <v>42688</v>
      </c>
      <c r="C4001" s="59">
        <f t="shared" si="199"/>
        <v>2016</v>
      </c>
      <c r="D4001" s="61">
        <v>20.872900000000001</v>
      </c>
      <c r="E4001" s="61">
        <v>21.051100000000002</v>
      </c>
      <c r="F4001" s="61">
        <v>20.481200000000001</v>
      </c>
    </row>
    <row r="4002" spans="1:6">
      <c r="A4002" s="65" t="s">
        <v>6581</v>
      </c>
      <c r="B4002" s="66">
        <f t="shared" si="198"/>
        <v>42689</v>
      </c>
      <c r="C4002" s="67">
        <f t="shared" si="199"/>
        <v>2016</v>
      </c>
      <c r="D4002" s="68">
        <v>20.349</v>
      </c>
      <c r="E4002" s="68">
        <v>20.872900000000001</v>
      </c>
      <c r="F4002" s="68">
        <v>21.051100000000002</v>
      </c>
    </row>
    <row r="4003" spans="1:6">
      <c r="A4003" s="57" t="s">
        <v>6582</v>
      </c>
      <c r="B4003" s="58">
        <f t="shared" si="198"/>
        <v>42690</v>
      </c>
      <c r="C4003" s="59">
        <f t="shared" si="199"/>
        <v>2016</v>
      </c>
      <c r="D4003" s="61">
        <v>20.288399999999999</v>
      </c>
      <c r="E4003" s="61">
        <v>20.349</v>
      </c>
      <c r="F4003" s="61">
        <v>20.872900000000001</v>
      </c>
    </row>
    <row r="4004" spans="1:6">
      <c r="A4004" s="65" t="s">
        <v>6583</v>
      </c>
      <c r="B4004" s="66">
        <f t="shared" si="198"/>
        <v>42691</v>
      </c>
      <c r="C4004" s="67">
        <f t="shared" si="199"/>
        <v>2016</v>
      </c>
      <c r="D4004" s="68">
        <v>20.189800000000002</v>
      </c>
      <c r="E4004" s="68">
        <v>20.288399999999999</v>
      </c>
      <c r="F4004" s="68">
        <v>20.349</v>
      </c>
    </row>
    <row r="4005" spans="1:6">
      <c r="A4005" s="57" t="s">
        <v>6584</v>
      </c>
      <c r="B4005" s="58">
        <f t="shared" si="198"/>
        <v>42692</v>
      </c>
      <c r="C4005" s="59">
        <f t="shared" si="199"/>
        <v>2016</v>
      </c>
      <c r="D4005" s="61">
        <v>20.4193</v>
      </c>
      <c r="E4005" s="61">
        <v>20.189800000000002</v>
      </c>
      <c r="F4005" s="61">
        <v>20.288399999999999</v>
      </c>
    </row>
    <row r="4006" spans="1:6">
      <c r="A4006" s="65" t="s">
        <v>6585</v>
      </c>
      <c r="B4006" s="66">
        <f t="shared" si="198"/>
        <v>42693</v>
      </c>
      <c r="C4006" s="67">
        <f t="shared" si="199"/>
        <v>2016</v>
      </c>
      <c r="D4006" s="70" t="s">
        <v>362</v>
      </c>
      <c r="E4006" s="70" t="s">
        <v>362</v>
      </c>
      <c r="F4006" s="68">
        <v>20.189800000000002</v>
      </c>
    </row>
    <row r="4007" spans="1:6">
      <c r="A4007" s="57" t="s">
        <v>6586</v>
      </c>
      <c r="B4007" s="58">
        <f t="shared" si="198"/>
        <v>42694</v>
      </c>
      <c r="C4007" s="59">
        <f t="shared" si="199"/>
        <v>2016</v>
      </c>
      <c r="D4007" s="60" t="s">
        <v>362</v>
      </c>
      <c r="E4007" s="60" t="s">
        <v>362</v>
      </c>
      <c r="F4007" s="61">
        <v>20.189800000000002</v>
      </c>
    </row>
    <row r="4008" spans="1:6">
      <c r="A4008" s="65" t="s">
        <v>6587</v>
      </c>
      <c r="B4008" s="66">
        <f t="shared" si="198"/>
        <v>42695</v>
      </c>
      <c r="C4008" s="67">
        <f t="shared" si="199"/>
        <v>2016</v>
      </c>
      <c r="D4008" s="70" t="s">
        <v>362</v>
      </c>
      <c r="E4008" s="70" t="s">
        <v>362</v>
      </c>
      <c r="F4008" s="68">
        <v>20.189800000000002</v>
      </c>
    </row>
    <row r="4009" spans="1:6">
      <c r="A4009" s="57" t="s">
        <v>6588</v>
      </c>
      <c r="B4009" s="58">
        <f t="shared" si="198"/>
        <v>42696</v>
      </c>
      <c r="C4009" s="59">
        <f t="shared" si="199"/>
        <v>2016</v>
      </c>
      <c r="D4009" s="61">
        <v>20.520499999999998</v>
      </c>
      <c r="E4009" s="61">
        <v>20.4193</v>
      </c>
      <c r="F4009" s="61">
        <v>20.189800000000002</v>
      </c>
    </row>
    <row r="4010" spans="1:6">
      <c r="A4010" s="65" t="s">
        <v>6589</v>
      </c>
      <c r="B4010" s="66">
        <f t="shared" si="198"/>
        <v>42697</v>
      </c>
      <c r="C4010" s="67">
        <f t="shared" si="199"/>
        <v>2016</v>
      </c>
      <c r="D4010" s="68">
        <v>20.690100000000001</v>
      </c>
      <c r="E4010" s="68">
        <v>20.520499999999998</v>
      </c>
      <c r="F4010" s="68">
        <v>20.4193</v>
      </c>
    </row>
    <row r="4011" spans="1:6">
      <c r="A4011" s="57" t="s">
        <v>6590</v>
      </c>
      <c r="B4011" s="58">
        <f t="shared" si="198"/>
        <v>42698</v>
      </c>
      <c r="C4011" s="59">
        <f t="shared" si="199"/>
        <v>2016</v>
      </c>
      <c r="D4011" s="61">
        <v>20.705100000000002</v>
      </c>
      <c r="E4011" s="61">
        <v>20.690100000000001</v>
      </c>
      <c r="F4011" s="61">
        <v>20.520499999999998</v>
      </c>
    </row>
    <row r="4012" spans="1:6">
      <c r="A4012" s="65" t="s">
        <v>6591</v>
      </c>
      <c r="B4012" s="66">
        <f t="shared" si="198"/>
        <v>42699</v>
      </c>
      <c r="C4012" s="67">
        <f t="shared" si="199"/>
        <v>2016</v>
      </c>
      <c r="D4012" s="68">
        <v>20.647500000000001</v>
      </c>
      <c r="E4012" s="68">
        <v>20.705100000000002</v>
      </c>
      <c r="F4012" s="68">
        <v>20.690100000000001</v>
      </c>
    </row>
    <row r="4013" spans="1:6">
      <c r="A4013" s="57" t="s">
        <v>6592</v>
      </c>
      <c r="B4013" s="58">
        <f t="shared" si="198"/>
        <v>42700</v>
      </c>
      <c r="C4013" s="59">
        <f t="shared" si="199"/>
        <v>2016</v>
      </c>
      <c r="D4013" s="60" t="s">
        <v>362</v>
      </c>
      <c r="E4013" s="60" t="s">
        <v>362</v>
      </c>
      <c r="F4013" s="61">
        <v>20.705100000000002</v>
      </c>
    </row>
    <row r="4014" spans="1:6">
      <c r="A4014" s="65" t="s">
        <v>6593</v>
      </c>
      <c r="B4014" s="66">
        <f t="shared" si="198"/>
        <v>42701</v>
      </c>
      <c r="C4014" s="67">
        <f t="shared" si="199"/>
        <v>2016</v>
      </c>
      <c r="D4014" s="70" t="s">
        <v>362</v>
      </c>
      <c r="E4014" s="70" t="s">
        <v>362</v>
      </c>
      <c r="F4014" s="68">
        <v>20.705100000000002</v>
      </c>
    </row>
    <row r="4015" spans="1:6">
      <c r="A4015" s="57" t="s">
        <v>6594</v>
      </c>
      <c r="B4015" s="58">
        <f t="shared" si="198"/>
        <v>42702</v>
      </c>
      <c r="C4015" s="59">
        <f t="shared" si="199"/>
        <v>2016</v>
      </c>
      <c r="D4015" s="61">
        <v>20.552099999999999</v>
      </c>
      <c r="E4015" s="61">
        <v>20.647500000000001</v>
      </c>
      <c r="F4015" s="61">
        <v>20.705100000000002</v>
      </c>
    </row>
    <row r="4016" spans="1:6">
      <c r="A4016" s="65" t="s">
        <v>6595</v>
      </c>
      <c r="B4016" s="66">
        <f t="shared" si="198"/>
        <v>42703</v>
      </c>
      <c r="C4016" s="67">
        <f t="shared" si="199"/>
        <v>2016</v>
      </c>
      <c r="D4016" s="68">
        <v>20.622499999999999</v>
      </c>
      <c r="E4016" s="68">
        <v>20.552099999999999</v>
      </c>
      <c r="F4016" s="68">
        <v>20.647500000000001</v>
      </c>
    </row>
    <row r="4017" spans="1:6">
      <c r="A4017" s="57" t="s">
        <v>6596</v>
      </c>
      <c r="B4017" s="58">
        <f t="shared" si="198"/>
        <v>42704</v>
      </c>
      <c r="C4017" s="59">
        <f t="shared" si="199"/>
        <v>2016</v>
      </c>
      <c r="D4017" s="61">
        <v>20.515499999999999</v>
      </c>
      <c r="E4017" s="61">
        <v>20.622499999999999</v>
      </c>
      <c r="F4017" s="61">
        <v>20.552099999999999</v>
      </c>
    </row>
    <row r="4018" spans="1:6">
      <c r="A4018" s="65" t="s">
        <v>6597</v>
      </c>
      <c r="B4018" s="66">
        <f t="shared" si="198"/>
        <v>42705</v>
      </c>
      <c r="C4018" s="67">
        <f t="shared" si="199"/>
        <v>2016</v>
      </c>
      <c r="D4018" s="68">
        <v>20.748799999999999</v>
      </c>
      <c r="E4018" s="68">
        <v>20.515499999999999</v>
      </c>
      <c r="F4018" s="68">
        <v>20.622499999999999</v>
      </c>
    </row>
    <row r="4019" spans="1:6">
      <c r="A4019" s="57" t="s">
        <v>6598</v>
      </c>
      <c r="B4019" s="58">
        <f t="shared" si="198"/>
        <v>42706</v>
      </c>
      <c r="C4019" s="59">
        <f t="shared" si="199"/>
        <v>2016</v>
      </c>
      <c r="D4019" s="61">
        <v>20.614899999999999</v>
      </c>
      <c r="E4019" s="61">
        <v>20.748799999999999</v>
      </c>
      <c r="F4019" s="61">
        <v>20.515499999999999</v>
      </c>
    </row>
    <row r="4020" spans="1:6">
      <c r="A4020" s="65" t="s">
        <v>6599</v>
      </c>
      <c r="B4020" s="66">
        <f t="shared" si="198"/>
        <v>42707</v>
      </c>
      <c r="C4020" s="67">
        <f t="shared" si="199"/>
        <v>2016</v>
      </c>
      <c r="D4020" s="70" t="s">
        <v>362</v>
      </c>
      <c r="E4020" s="70" t="s">
        <v>362</v>
      </c>
      <c r="F4020" s="68">
        <v>20.748799999999999</v>
      </c>
    </row>
    <row r="4021" spans="1:6">
      <c r="A4021" s="57" t="s">
        <v>6600</v>
      </c>
      <c r="B4021" s="58">
        <f t="shared" si="198"/>
        <v>42708</v>
      </c>
      <c r="C4021" s="59">
        <f t="shared" si="199"/>
        <v>2016</v>
      </c>
      <c r="D4021" s="60" t="s">
        <v>362</v>
      </c>
      <c r="E4021" s="60" t="s">
        <v>362</v>
      </c>
      <c r="F4021" s="61">
        <v>20.748799999999999</v>
      </c>
    </row>
    <row r="4022" spans="1:6">
      <c r="A4022" s="65" t="s">
        <v>6601</v>
      </c>
      <c r="B4022" s="66">
        <f t="shared" si="198"/>
        <v>42709</v>
      </c>
      <c r="C4022" s="67">
        <f t="shared" si="199"/>
        <v>2016</v>
      </c>
      <c r="D4022" s="68">
        <v>20.592700000000001</v>
      </c>
      <c r="E4022" s="68">
        <v>20.614899999999999</v>
      </c>
      <c r="F4022" s="68">
        <v>20.748799999999999</v>
      </c>
    </row>
    <row r="4023" spans="1:6">
      <c r="A4023" s="57" t="s">
        <v>6602</v>
      </c>
      <c r="B4023" s="58">
        <f t="shared" si="198"/>
        <v>42710</v>
      </c>
      <c r="C4023" s="59">
        <f t="shared" si="199"/>
        <v>2016</v>
      </c>
      <c r="D4023" s="61">
        <v>20.386299999999999</v>
      </c>
      <c r="E4023" s="61">
        <v>20.592700000000001</v>
      </c>
      <c r="F4023" s="61">
        <v>20.614899999999999</v>
      </c>
    </row>
    <row r="4024" spans="1:6">
      <c r="A4024" s="65" t="s">
        <v>6603</v>
      </c>
      <c r="B4024" s="66">
        <f t="shared" si="198"/>
        <v>42711</v>
      </c>
      <c r="C4024" s="67">
        <f t="shared" si="199"/>
        <v>2016</v>
      </c>
      <c r="D4024" s="68">
        <v>20.296700000000001</v>
      </c>
      <c r="E4024" s="68">
        <v>20.386299999999999</v>
      </c>
      <c r="F4024" s="68">
        <v>20.592700000000001</v>
      </c>
    </row>
    <row r="4025" spans="1:6">
      <c r="A4025" s="57" t="s">
        <v>6604</v>
      </c>
      <c r="B4025" s="58">
        <f t="shared" si="198"/>
        <v>42712</v>
      </c>
      <c r="C4025" s="59">
        <f t="shared" si="199"/>
        <v>2016</v>
      </c>
      <c r="D4025" s="61">
        <v>20.4162</v>
      </c>
      <c r="E4025" s="61">
        <v>20.296700000000001</v>
      </c>
      <c r="F4025" s="61">
        <v>20.386299999999999</v>
      </c>
    </row>
    <row r="4026" spans="1:6">
      <c r="A4026" s="65" t="s">
        <v>6605</v>
      </c>
      <c r="B4026" s="66">
        <f t="shared" si="198"/>
        <v>42713</v>
      </c>
      <c r="C4026" s="67">
        <f t="shared" si="199"/>
        <v>2016</v>
      </c>
      <c r="D4026" s="68">
        <v>20.330500000000001</v>
      </c>
      <c r="E4026" s="68">
        <v>20.4162</v>
      </c>
      <c r="F4026" s="68">
        <v>20.296700000000001</v>
      </c>
    </row>
    <row r="4027" spans="1:6">
      <c r="A4027" s="57" t="s">
        <v>6606</v>
      </c>
      <c r="B4027" s="58">
        <f t="shared" si="198"/>
        <v>42714</v>
      </c>
      <c r="C4027" s="59">
        <f t="shared" si="199"/>
        <v>2016</v>
      </c>
      <c r="D4027" s="60" t="s">
        <v>362</v>
      </c>
      <c r="E4027" s="60" t="s">
        <v>362</v>
      </c>
      <c r="F4027" s="61">
        <v>20.4162</v>
      </c>
    </row>
    <row r="4028" spans="1:6">
      <c r="A4028" s="65" t="s">
        <v>6607</v>
      </c>
      <c r="B4028" s="66">
        <f t="shared" si="198"/>
        <v>42715</v>
      </c>
      <c r="C4028" s="67">
        <f t="shared" si="199"/>
        <v>2016</v>
      </c>
      <c r="D4028" s="70" t="s">
        <v>362</v>
      </c>
      <c r="E4028" s="70" t="s">
        <v>362</v>
      </c>
      <c r="F4028" s="68">
        <v>20.4162</v>
      </c>
    </row>
    <row r="4029" spans="1:6">
      <c r="A4029" s="57" t="s">
        <v>6608</v>
      </c>
      <c r="B4029" s="58">
        <f t="shared" si="198"/>
        <v>42716</v>
      </c>
      <c r="C4029" s="59">
        <f t="shared" si="199"/>
        <v>2016</v>
      </c>
      <c r="D4029" s="60" t="s">
        <v>362</v>
      </c>
      <c r="E4029" s="60" t="s">
        <v>362</v>
      </c>
      <c r="F4029" s="61">
        <v>20.4162</v>
      </c>
    </row>
    <row r="4030" spans="1:6">
      <c r="A4030" s="65" t="s">
        <v>6609</v>
      </c>
      <c r="B4030" s="66">
        <f t="shared" si="198"/>
        <v>42717</v>
      </c>
      <c r="C4030" s="67">
        <f t="shared" si="199"/>
        <v>2016</v>
      </c>
      <c r="D4030" s="68">
        <v>20.256699999999999</v>
      </c>
      <c r="E4030" s="68">
        <v>20.330500000000001</v>
      </c>
      <c r="F4030" s="68">
        <v>20.4162</v>
      </c>
    </row>
    <row r="4031" spans="1:6">
      <c r="A4031" s="57" t="s">
        <v>6610</v>
      </c>
      <c r="B4031" s="58">
        <f t="shared" si="198"/>
        <v>42718</v>
      </c>
      <c r="C4031" s="59">
        <f t="shared" si="199"/>
        <v>2016</v>
      </c>
      <c r="D4031" s="61">
        <v>20.2226</v>
      </c>
      <c r="E4031" s="61">
        <v>20.256699999999999</v>
      </c>
      <c r="F4031" s="61">
        <v>20.330500000000001</v>
      </c>
    </row>
    <row r="4032" spans="1:6">
      <c r="A4032" s="65" t="s">
        <v>6611</v>
      </c>
      <c r="B4032" s="66">
        <f t="shared" si="198"/>
        <v>42719</v>
      </c>
      <c r="C4032" s="67">
        <f t="shared" si="199"/>
        <v>2016</v>
      </c>
      <c r="D4032" s="68">
        <v>20.597300000000001</v>
      </c>
      <c r="E4032" s="68">
        <v>20.2226</v>
      </c>
      <c r="F4032" s="68">
        <v>20.256699999999999</v>
      </c>
    </row>
    <row r="4033" spans="1:6">
      <c r="A4033" s="57" t="s">
        <v>6612</v>
      </c>
      <c r="B4033" s="58">
        <f t="shared" si="198"/>
        <v>42720</v>
      </c>
      <c r="C4033" s="59">
        <f t="shared" si="199"/>
        <v>2016</v>
      </c>
      <c r="D4033" s="61">
        <v>20.428000000000001</v>
      </c>
      <c r="E4033" s="61">
        <v>20.597300000000001</v>
      </c>
      <c r="F4033" s="61">
        <v>20.2226</v>
      </c>
    </row>
    <row r="4034" spans="1:6">
      <c r="A4034" s="65" t="s">
        <v>6613</v>
      </c>
      <c r="B4034" s="66">
        <f t="shared" si="198"/>
        <v>42721</v>
      </c>
      <c r="C4034" s="67">
        <f t="shared" si="199"/>
        <v>2016</v>
      </c>
      <c r="D4034" s="70" t="s">
        <v>362</v>
      </c>
      <c r="E4034" s="70" t="s">
        <v>362</v>
      </c>
      <c r="F4034" s="68">
        <v>20.597300000000001</v>
      </c>
    </row>
    <row r="4035" spans="1:6">
      <c r="A4035" s="57" t="s">
        <v>6614</v>
      </c>
      <c r="B4035" s="58">
        <f t="shared" si="198"/>
        <v>42722</v>
      </c>
      <c r="C4035" s="59">
        <f t="shared" si="199"/>
        <v>2016</v>
      </c>
      <c r="D4035" s="60" t="s">
        <v>362</v>
      </c>
      <c r="E4035" s="60" t="s">
        <v>362</v>
      </c>
      <c r="F4035" s="61">
        <v>20.597300000000001</v>
      </c>
    </row>
    <row r="4036" spans="1:6">
      <c r="A4036" s="65" t="s">
        <v>6615</v>
      </c>
      <c r="B4036" s="66">
        <f t="shared" si="198"/>
        <v>42723</v>
      </c>
      <c r="C4036" s="67">
        <f t="shared" si="199"/>
        <v>2016</v>
      </c>
      <c r="D4036" s="68">
        <v>20.409800000000001</v>
      </c>
      <c r="E4036" s="68">
        <v>20.428000000000001</v>
      </c>
      <c r="F4036" s="68">
        <v>20.597300000000001</v>
      </c>
    </row>
    <row r="4037" spans="1:6">
      <c r="A4037" s="57" t="s">
        <v>6616</v>
      </c>
      <c r="B4037" s="58">
        <f t="shared" si="198"/>
        <v>42724</v>
      </c>
      <c r="C4037" s="59">
        <f t="shared" si="199"/>
        <v>2016</v>
      </c>
      <c r="D4037" s="61">
        <v>20.43</v>
      </c>
      <c r="E4037" s="61">
        <v>20.409800000000001</v>
      </c>
      <c r="F4037" s="61">
        <v>20.428000000000001</v>
      </c>
    </row>
    <row r="4038" spans="1:6">
      <c r="A4038" s="65" t="s">
        <v>6617</v>
      </c>
      <c r="B4038" s="66">
        <f t="shared" si="198"/>
        <v>42725</v>
      </c>
      <c r="C4038" s="67">
        <f t="shared" si="199"/>
        <v>2016</v>
      </c>
      <c r="D4038" s="68">
        <v>20.492100000000001</v>
      </c>
      <c r="E4038" s="68">
        <v>20.43</v>
      </c>
      <c r="F4038" s="68">
        <v>20.409800000000001</v>
      </c>
    </row>
    <row r="4039" spans="1:6">
      <c r="A4039" s="57" t="s">
        <v>6618</v>
      </c>
      <c r="B4039" s="58">
        <f t="shared" si="198"/>
        <v>42726</v>
      </c>
      <c r="C4039" s="59">
        <f t="shared" si="199"/>
        <v>2016</v>
      </c>
      <c r="D4039" s="61">
        <v>20.7179</v>
      </c>
      <c r="E4039" s="61">
        <v>20.492100000000001</v>
      </c>
      <c r="F4039" s="61">
        <v>20.43</v>
      </c>
    </row>
    <row r="4040" spans="1:6">
      <c r="A4040" s="65" t="s">
        <v>6619</v>
      </c>
      <c r="B4040" s="66">
        <f t="shared" si="198"/>
        <v>42727</v>
      </c>
      <c r="C4040" s="67">
        <f t="shared" si="199"/>
        <v>2016</v>
      </c>
      <c r="D4040" s="68">
        <v>20.627099999999999</v>
      </c>
      <c r="E4040" s="68">
        <v>20.7179</v>
      </c>
      <c r="F4040" s="68">
        <v>20.492100000000001</v>
      </c>
    </row>
    <row r="4041" spans="1:6">
      <c r="A4041" s="57" t="s">
        <v>6620</v>
      </c>
      <c r="B4041" s="58">
        <f t="shared" si="198"/>
        <v>42728</v>
      </c>
      <c r="C4041" s="59">
        <f t="shared" si="199"/>
        <v>2016</v>
      </c>
      <c r="D4041" s="60" t="s">
        <v>362</v>
      </c>
      <c r="E4041" s="60" t="s">
        <v>362</v>
      </c>
      <c r="F4041" s="61">
        <v>20.7179</v>
      </c>
    </row>
    <row r="4042" spans="1:6">
      <c r="A4042" s="65" t="s">
        <v>6621</v>
      </c>
      <c r="B4042" s="66">
        <f t="shared" si="198"/>
        <v>42729</v>
      </c>
      <c r="C4042" s="67">
        <f t="shared" si="199"/>
        <v>2016</v>
      </c>
      <c r="D4042" s="70" t="s">
        <v>362</v>
      </c>
      <c r="E4042" s="70" t="s">
        <v>362</v>
      </c>
      <c r="F4042" s="68">
        <v>20.7179</v>
      </c>
    </row>
    <row r="4043" spans="1:6">
      <c r="A4043" s="57" t="s">
        <v>6622</v>
      </c>
      <c r="B4043" s="58">
        <f t="shared" si="198"/>
        <v>42730</v>
      </c>
      <c r="C4043" s="59">
        <f t="shared" si="199"/>
        <v>2016</v>
      </c>
      <c r="D4043" s="61">
        <v>20.644500000000001</v>
      </c>
      <c r="E4043" s="61">
        <v>20.627099999999999</v>
      </c>
      <c r="F4043" s="61">
        <v>20.7179</v>
      </c>
    </row>
    <row r="4044" spans="1:6">
      <c r="A4044" s="65" t="s">
        <v>6623</v>
      </c>
      <c r="B4044" s="66">
        <f t="shared" si="198"/>
        <v>42731</v>
      </c>
      <c r="C4044" s="67">
        <f t="shared" si="199"/>
        <v>2016</v>
      </c>
      <c r="D4044" s="68">
        <v>20.705200000000001</v>
      </c>
      <c r="E4044" s="68">
        <v>20.644500000000001</v>
      </c>
      <c r="F4044" s="68">
        <v>20.627099999999999</v>
      </c>
    </row>
    <row r="4045" spans="1:6">
      <c r="A4045" s="57" t="s">
        <v>6624</v>
      </c>
      <c r="B4045" s="58">
        <f t="shared" si="198"/>
        <v>42732</v>
      </c>
      <c r="C4045" s="59">
        <f t="shared" si="199"/>
        <v>2016</v>
      </c>
      <c r="D4045" s="61">
        <v>20.731400000000001</v>
      </c>
      <c r="E4045" s="61">
        <v>20.705200000000001</v>
      </c>
      <c r="F4045" s="61">
        <v>20.644500000000001</v>
      </c>
    </row>
    <row r="4046" spans="1:6">
      <c r="A4046" s="65" t="s">
        <v>6625</v>
      </c>
      <c r="B4046" s="66">
        <f t="shared" si="198"/>
        <v>42733</v>
      </c>
      <c r="C4046" s="67">
        <f t="shared" si="199"/>
        <v>2016</v>
      </c>
      <c r="D4046" s="68">
        <v>20.664000000000001</v>
      </c>
      <c r="E4046" s="68">
        <v>20.731400000000001</v>
      </c>
      <c r="F4046" s="68">
        <v>20.705200000000001</v>
      </c>
    </row>
    <row r="4047" spans="1:6">
      <c r="A4047" s="57" t="s">
        <v>6626</v>
      </c>
      <c r="B4047" s="58">
        <f t="shared" si="198"/>
        <v>42734</v>
      </c>
      <c r="C4047" s="59">
        <f t="shared" si="199"/>
        <v>2016</v>
      </c>
      <c r="D4047" s="61">
        <v>20.619399999999999</v>
      </c>
      <c r="E4047" s="61">
        <v>20.664000000000001</v>
      </c>
      <c r="F4047" s="61">
        <v>20.731400000000001</v>
      </c>
    </row>
    <row r="4048" spans="1:6">
      <c r="A4048" s="65" t="s">
        <v>6627</v>
      </c>
      <c r="B4048" s="66">
        <f t="shared" si="198"/>
        <v>42735</v>
      </c>
      <c r="C4048" s="67">
        <f t="shared" si="199"/>
        <v>2016</v>
      </c>
      <c r="D4048" s="70" t="s">
        <v>362</v>
      </c>
      <c r="E4048" s="70" t="s">
        <v>362</v>
      </c>
      <c r="F4048" s="68">
        <v>20.664000000000001</v>
      </c>
    </row>
    <row r="4049" spans="1:6">
      <c r="A4049" s="57" t="s">
        <v>6628</v>
      </c>
      <c r="B4049" s="58">
        <f t="shared" si="198"/>
        <v>42736</v>
      </c>
      <c r="C4049" s="59">
        <f t="shared" si="199"/>
        <v>2017</v>
      </c>
      <c r="D4049" s="60" t="s">
        <v>362</v>
      </c>
      <c r="E4049" s="60" t="s">
        <v>362</v>
      </c>
      <c r="F4049" s="61">
        <v>20.664000000000001</v>
      </c>
    </row>
    <row r="4050" spans="1:6">
      <c r="A4050" s="65" t="s">
        <v>6629</v>
      </c>
      <c r="B4050" s="66">
        <f t="shared" si="198"/>
        <v>42737</v>
      </c>
      <c r="C4050" s="67">
        <f t="shared" si="199"/>
        <v>2017</v>
      </c>
      <c r="D4050" s="68">
        <v>20.732299999999999</v>
      </c>
      <c r="E4050" s="68">
        <v>20.619399999999999</v>
      </c>
      <c r="F4050" s="68">
        <v>20.664000000000001</v>
      </c>
    </row>
    <row r="4051" spans="1:6">
      <c r="A4051" s="57" t="s">
        <v>6630</v>
      </c>
      <c r="B4051" s="58">
        <f t="shared" si="198"/>
        <v>42738</v>
      </c>
      <c r="C4051" s="59">
        <f t="shared" si="199"/>
        <v>2017</v>
      </c>
      <c r="D4051" s="61">
        <v>20.852</v>
      </c>
      <c r="E4051" s="61">
        <v>20.732299999999999</v>
      </c>
      <c r="F4051" s="61">
        <v>20.619399999999999</v>
      </c>
    </row>
    <row r="4052" spans="1:6">
      <c r="A4052" s="65" t="s">
        <v>6631</v>
      </c>
      <c r="B4052" s="66">
        <f t="shared" si="198"/>
        <v>42739</v>
      </c>
      <c r="C4052" s="67">
        <f t="shared" si="199"/>
        <v>2017</v>
      </c>
      <c r="D4052" s="68">
        <v>21.379899999999999</v>
      </c>
      <c r="E4052" s="68">
        <v>20.852</v>
      </c>
      <c r="F4052" s="68">
        <v>20.732299999999999</v>
      </c>
    </row>
    <row r="4053" spans="1:6">
      <c r="A4053" s="57" t="s">
        <v>6632</v>
      </c>
      <c r="B4053" s="58">
        <f t="shared" si="198"/>
        <v>42740</v>
      </c>
      <c r="C4053" s="59">
        <f t="shared" si="199"/>
        <v>2017</v>
      </c>
      <c r="D4053" s="61">
        <v>21.366099999999999</v>
      </c>
      <c r="E4053" s="61">
        <v>21.379899999999999</v>
      </c>
      <c r="F4053" s="61">
        <v>20.852</v>
      </c>
    </row>
    <row r="4054" spans="1:6">
      <c r="A4054" s="65" t="s">
        <v>6633</v>
      </c>
      <c r="B4054" s="66">
        <f t="shared" si="198"/>
        <v>42741</v>
      </c>
      <c r="C4054" s="67">
        <f t="shared" si="199"/>
        <v>2017</v>
      </c>
      <c r="D4054" s="68">
        <v>21.314399999999999</v>
      </c>
      <c r="E4054" s="68">
        <v>21.366099999999999</v>
      </c>
      <c r="F4054" s="68">
        <v>21.379899999999999</v>
      </c>
    </row>
    <row r="4055" spans="1:6">
      <c r="A4055" s="57" t="s">
        <v>6634</v>
      </c>
      <c r="B4055" s="58">
        <f t="shared" si="198"/>
        <v>42742</v>
      </c>
      <c r="C4055" s="59">
        <f t="shared" si="199"/>
        <v>2017</v>
      </c>
      <c r="D4055" s="60" t="s">
        <v>362</v>
      </c>
      <c r="E4055" s="60" t="s">
        <v>362</v>
      </c>
      <c r="F4055" s="61">
        <v>21.366099999999999</v>
      </c>
    </row>
    <row r="4056" spans="1:6">
      <c r="A4056" s="65" t="s">
        <v>6635</v>
      </c>
      <c r="B4056" s="66">
        <f t="shared" si="198"/>
        <v>42743</v>
      </c>
      <c r="C4056" s="67">
        <f t="shared" si="199"/>
        <v>2017</v>
      </c>
      <c r="D4056" s="70" t="s">
        <v>362</v>
      </c>
      <c r="E4056" s="70" t="s">
        <v>362</v>
      </c>
      <c r="F4056" s="68">
        <v>21.366099999999999</v>
      </c>
    </row>
    <row r="4057" spans="1:6">
      <c r="A4057" s="57" t="s">
        <v>6636</v>
      </c>
      <c r="B4057" s="58">
        <f t="shared" si="198"/>
        <v>42744</v>
      </c>
      <c r="C4057" s="59">
        <f t="shared" si="199"/>
        <v>2017</v>
      </c>
      <c r="D4057" s="61">
        <v>21.321899999999999</v>
      </c>
      <c r="E4057" s="61">
        <v>21.314399999999999</v>
      </c>
      <c r="F4057" s="61">
        <v>21.366099999999999</v>
      </c>
    </row>
    <row r="4058" spans="1:6">
      <c r="A4058" s="65" t="s">
        <v>6637</v>
      </c>
      <c r="B4058" s="66">
        <f t="shared" si="198"/>
        <v>42745</v>
      </c>
      <c r="C4058" s="67">
        <f t="shared" si="199"/>
        <v>2017</v>
      </c>
      <c r="D4058" s="68">
        <v>21.616800000000001</v>
      </c>
      <c r="E4058" s="68">
        <v>21.321899999999999</v>
      </c>
      <c r="F4058" s="68">
        <v>21.314399999999999</v>
      </c>
    </row>
    <row r="4059" spans="1:6">
      <c r="A4059" s="57" t="s">
        <v>6638</v>
      </c>
      <c r="B4059" s="58">
        <f t="shared" si="198"/>
        <v>42746</v>
      </c>
      <c r="C4059" s="59">
        <f t="shared" si="199"/>
        <v>2017</v>
      </c>
      <c r="D4059" s="61">
        <v>21.907599999999999</v>
      </c>
      <c r="E4059" s="61">
        <v>21.616800000000001</v>
      </c>
      <c r="F4059" s="61">
        <v>21.321899999999999</v>
      </c>
    </row>
    <row r="4060" spans="1:6">
      <c r="A4060" s="65" t="s">
        <v>6639</v>
      </c>
      <c r="B4060" s="66">
        <f t="shared" si="198"/>
        <v>42747</v>
      </c>
      <c r="C4060" s="67">
        <f t="shared" si="199"/>
        <v>2017</v>
      </c>
      <c r="D4060" s="68">
        <v>21.720400000000001</v>
      </c>
      <c r="E4060" s="68">
        <v>21.907599999999999</v>
      </c>
      <c r="F4060" s="68">
        <v>21.616800000000001</v>
      </c>
    </row>
    <row r="4061" spans="1:6">
      <c r="A4061" s="57" t="s">
        <v>6640</v>
      </c>
      <c r="B4061" s="58">
        <f t="shared" si="198"/>
        <v>42748</v>
      </c>
      <c r="C4061" s="59">
        <f t="shared" si="199"/>
        <v>2017</v>
      </c>
      <c r="D4061" s="61">
        <v>21.632999999999999</v>
      </c>
      <c r="E4061" s="61">
        <v>21.720400000000001</v>
      </c>
      <c r="F4061" s="61">
        <v>21.907599999999999</v>
      </c>
    </row>
    <row r="4062" spans="1:6">
      <c r="A4062" s="65" t="s">
        <v>6641</v>
      </c>
      <c r="B4062" s="66">
        <f t="shared" si="198"/>
        <v>42749</v>
      </c>
      <c r="C4062" s="67">
        <f t="shared" si="199"/>
        <v>2017</v>
      </c>
      <c r="D4062" s="70" t="s">
        <v>362</v>
      </c>
      <c r="E4062" s="70" t="s">
        <v>362</v>
      </c>
      <c r="F4062" s="68">
        <v>21.720400000000001</v>
      </c>
    </row>
    <row r="4063" spans="1:6">
      <c r="A4063" s="57" t="s">
        <v>6642</v>
      </c>
      <c r="B4063" s="58">
        <f t="shared" ref="B4063:B4126" si="200">DATE(RIGHT(A4063,4),LEFT(RIGHT(A4063,7),2),LEFT(A4063,2))</f>
        <v>42750</v>
      </c>
      <c r="C4063" s="59">
        <f t="shared" ref="C4063:C4126" si="201">YEAR(B4063)</f>
        <v>2017</v>
      </c>
      <c r="D4063" s="60" t="s">
        <v>362</v>
      </c>
      <c r="E4063" s="60" t="s">
        <v>362</v>
      </c>
      <c r="F4063" s="61">
        <v>21.720400000000001</v>
      </c>
    </row>
    <row r="4064" spans="1:6">
      <c r="A4064" s="65" t="s">
        <v>6643</v>
      </c>
      <c r="B4064" s="66">
        <f t="shared" si="200"/>
        <v>42751</v>
      </c>
      <c r="C4064" s="67">
        <f t="shared" si="201"/>
        <v>2017</v>
      </c>
      <c r="D4064" s="68">
        <v>21.664300000000001</v>
      </c>
      <c r="E4064" s="68">
        <v>21.632999999999999</v>
      </c>
      <c r="F4064" s="68">
        <v>21.720400000000001</v>
      </c>
    </row>
    <row r="4065" spans="1:6">
      <c r="A4065" s="57" t="s">
        <v>6644</v>
      </c>
      <c r="B4065" s="58">
        <f t="shared" si="200"/>
        <v>42752</v>
      </c>
      <c r="C4065" s="59">
        <f t="shared" si="201"/>
        <v>2017</v>
      </c>
      <c r="D4065" s="61">
        <v>21.573799999999999</v>
      </c>
      <c r="E4065" s="61">
        <v>21.664300000000001</v>
      </c>
      <c r="F4065" s="61">
        <v>21.632999999999999</v>
      </c>
    </row>
    <row r="4066" spans="1:6">
      <c r="A4066" s="65" t="s">
        <v>6645</v>
      </c>
      <c r="B4066" s="66">
        <f t="shared" si="200"/>
        <v>42753</v>
      </c>
      <c r="C4066" s="67">
        <f t="shared" si="201"/>
        <v>2017</v>
      </c>
      <c r="D4066" s="68">
        <v>21.851400000000002</v>
      </c>
      <c r="E4066" s="68">
        <v>21.573799999999999</v>
      </c>
      <c r="F4066" s="68">
        <v>21.664300000000001</v>
      </c>
    </row>
    <row r="4067" spans="1:6">
      <c r="A4067" s="57" t="s">
        <v>6646</v>
      </c>
      <c r="B4067" s="58">
        <f t="shared" si="200"/>
        <v>42754</v>
      </c>
      <c r="C4067" s="59">
        <f t="shared" si="201"/>
        <v>2017</v>
      </c>
      <c r="D4067" s="61">
        <v>21.904399999999999</v>
      </c>
      <c r="E4067" s="61">
        <v>21.851400000000002</v>
      </c>
      <c r="F4067" s="61">
        <v>21.573799999999999</v>
      </c>
    </row>
    <row r="4068" spans="1:6">
      <c r="A4068" s="65" t="s">
        <v>6647</v>
      </c>
      <c r="B4068" s="66">
        <f t="shared" si="200"/>
        <v>42755</v>
      </c>
      <c r="C4068" s="67">
        <f t="shared" si="201"/>
        <v>2017</v>
      </c>
      <c r="D4068" s="68">
        <v>21.700199999999999</v>
      </c>
      <c r="E4068" s="68">
        <v>21.904399999999999</v>
      </c>
      <c r="F4068" s="68">
        <v>21.851400000000002</v>
      </c>
    </row>
    <row r="4069" spans="1:6">
      <c r="A4069" s="57" t="s">
        <v>6648</v>
      </c>
      <c r="B4069" s="58">
        <f t="shared" si="200"/>
        <v>42756</v>
      </c>
      <c r="C4069" s="59">
        <f t="shared" si="201"/>
        <v>2017</v>
      </c>
      <c r="D4069" s="60" t="s">
        <v>362</v>
      </c>
      <c r="E4069" s="60" t="s">
        <v>362</v>
      </c>
      <c r="F4069" s="61">
        <v>21.904399999999999</v>
      </c>
    </row>
    <row r="4070" spans="1:6">
      <c r="A4070" s="65" t="s">
        <v>6649</v>
      </c>
      <c r="B4070" s="66">
        <f t="shared" si="200"/>
        <v>42757</v>
      </c>
      <c r="C4070" s="67">
        <f t="shared" si="201"/>
        <v>2017</v>
      </c>
      <c r="D4070" s="70" t="s">
        <v>362</v>
      </c>
      <c r="E4070" s="70" t="s">
        <v>362</v>
      </c>
      <c r="F4070" s="68">
        <v>21.904399999999999</v>
      </c>
    </row>
    <row r="4071" spans="1:6">
      <c r="A4071" s="57" t="s">
        <v>6650</v>
      </c>
      <c r="B4071" s="58">
        <f t="shared" si="200"/>
        <v>42758</v>
      </c>
      <c r="C4071" s="59">
        <f t="shared" si="201"/>
        <v>2017</v>
      </c>
      <c r="D4071" s="61">
        <v>21.4512</v>
      </c>
      <c r="E4071" s="61">
        <v>21.700199999999999</v>
      </c>
      <c r="F4071" s="61">
        <v>21.904399999999999</v>
      </c>
    </row>
    <row r="4072" spans="1:6">
      <c r="A4072" s="65" t="s">
        <v>6651</v>
      </c>
      <c r="B4072" s="66">
        <f t="shared" si="200"/>
        <v>42759</v>
      </c>
      <c r="C4072" s="67">
        <f t="shared" si="201"/>
        <v>2017</v>
      </c>
      <c r="D4072" s="68">
        <v>21.369199999999999</v>
      </c>
      <c r="E4072" s="68">
        <v>21.4512</v>
      </c>
      <c r="F4072" s="68">
        <v>21.700199999999999</v>
      </c>
    </row>
    <row r="4073" spans="1:6">
      <c r="A4073" s="57" t="s">
        <v>6652</v>
      </c>
      <c r="B4073" s="58">
        <f t="shared" si="200"/>
        <v>42760</v>
      </c>
      <c r="C4073" s="59">
        <f t="shared" si="201"/>
        <v>2017</v>
      </c>
      <c r="D4073" s="61">
        <v>21.343900000000001</v>
      </c>
      <c r="E4073" s="61">
        <v>21.369199999999999</v>
      </c>
      <c r="F4073" s="61">
        <v>21.4512</v>
      </c>
    </row>
    <row r="4074" spans="1:6">
      <c r="A4074" s="65" t="s">
        <v>6653</v>
      </c>
      <c r="B4074" s="66">
        <f t="shared" si="200"/>
        <v>42761</v>
      </c>
      <c r="C4074" s="67">
        <f t="shared" si="201"/>
        <v>2017</v>
      </c>
      <c r="D4074" s="68">
        <v>21.202400000000001</v>
      </c>
      <c r="E4074" s="68">
        <v>21.343900000000001</v>
      </c>
      <c r="F4074" s="68">
        <v>21.369199999999999</v>
      </c>
    </row>
    <row r="4075" spans="1:6">
      <c r="A4075" s="57" t="s">
        <v>6654</v>
      </c>
      <c r="B4075" s="58">
        <f t="shared" si="200"/>
        <v>42762</v>
      </c>
      <c r="C4075" s="59">
        <f t="shared" si="201"/>
        <v>2017</v>
      </c>
      <c r="D4075" s="61">
        <v>21.0212</v>
      </c>
      <c r="E4075" s="61">
        <v>21.202400000000001</v>
      </c>
      <c r="F4075" s="61">
        <v>21.343900000000001</v>
      </c>
    </row>
    <row r="4076" spans="1:6">
      <c r="A4076" s="65" t="s">
        <v>6655</v>
      </c>
      <c r="B4076" s="66">
        <f t="shared" si="200"/>
        <v>42763</v>
      </c>
      <c r="C4076" s="67">
        <f t="shared" si="201"/>
        <v>2017</v>
      </c>
      <c r="D4076" s="70" t="s">
        <v>362</v>
      </c>
      <c r="E4076" s="70" t="s">
        <v>362</v>
      </c>
      <c r="F4076" s="68">
        <v>21.202400000000001</v>
      </c>
    </row>
    <row r="4077" spans="1:6">
      <c r="A4077" s="57" t="s">
        <v>6656</v>
      </c>
      <c r="B4077" s="58">
        <f t="shared" si="200"/>
        <v>42764</v>
      </c>
      <c r="C4077" s="59">
        <f t="shared" si="201"/>
        <v>2017</v>
      </c>
      <c r="D4077" s="60" t="s">
        <v>362</v>
      </c>
      <c r="E4077" s="60" t="s">
        <v>362</v>
      </c>
      <c r="F4077" s="61">
        <v>21.202400000000001</v>
      </c>
    </row>
    <row r="4078" spans="1:6">
      <c r="A4078" s="65" t="s">
        <v>6657</v>
      </c>
      <c r="B4078" s="66">
        <f t="shared" si="200"/>
        <v>42765</v>
      </c>
      <c r="C4078" s="67">
        <f t="shared" si="201"/>
        <v>2017</v>
      </c>
      <c r="D4078" s="68">
        <v>20.758800000000001</v>
      </c>
      <c r="E4078" s="68">
        <v>21.0212</v>
      </c>
      <c r="F4078" s="68">
        <v>21.202400000000001</v>
      </c>
    </row>
    <row r="4079" spans="1:6">
      <c r="A4079" s="57" t="s">
        <v>6658</v>
      </c>
      <c r="B4079" s="58">
        <f t="shared" si="200"/>
        <v>42766</v>
      </c>
      <c r="C4079" s="59">
        <f t="shared" si="201"/>
        <v>2017</v>
      </c>
      <c r="D4079" s="61">
        <v>20.790800000000001</v>
      </c>
      <c r="E4079" s="61">
        <v>20.758800000000001</v>
      </c>
      <c r="F4079" s="61">
        <v>21.0212</v>
      </c>
    </row>
    <row r="4080" spans="1:6">
      <c r="A4080" s="65" t="s">
        <v>6659</v>
      </c>
      <c r="B4080" s="66">
        <f t="shared" si="200"/>
        <v>42767</v>
      </c>
      <c r="C4080" s="67">
        <f t="shared" si="201"/>
        <v>2017</v>
      </c>
      <c r="D4080" s="68">
        <v>20.775200000000002</v>
      </c>
      <c r="E4080" s="68">
        <v>20.790800000000001</v>
      </c>
      <c r="F4080" s="68">
        <v>20.758800000000001</v>
      </c>
    </row>
    <row r="4081" spans="1:6">
      <c r="A4081" s="57" t="s">
        <v>6660</v>
      </c>
      <c r="B4081" s="58">
        <f t="shared" si="200"/>
        <v>42768</v>
      </c>
      <c r="C4081" s="59">
        <f t="shared" si="201"/>
        <v>2017</v>
      </c>
      <c r="D4081" s="61">
        <v>20.575700000000001</v>
      </c>
      <c r="E4081" s="61">
        <v>20.775200000000002</v>
      </c>
      <c r="F4081" s="61">
        <v>20.790800000000001</v>
      </c>
    </row>
    <row r="4082" spans="1:6">
      <c r="A4082" s="65" t="s">
        <v>6661</v>
      </c>
      <c r="B4082" s="66">
        <f t="shared" si="200"/>
        <v>42769</v>
      </c>
      <c r="C4082" s="67">
        <f t="shared" si="201"/>
        <v>2017</v>
      </c>
      <c r="D4082" s="68">
        <v>20.343900000000001</v>
      </c>
      <c r="E4082" s="68">
        <v>20.575700000000001</v>
      </c>
      <c r="F4082" s="68">
        <v>20.775200000000002</v>
      </c>
    </row>
    <row r="4083" spans="1:6">
      <c r="A4083" s="57" t="s">
        <v>6662</v>
      </c>
      <c r="B4083" s="58">
        <f t="shared" si="200"/>
        <v>42770</v>
      </c>
      <c r="C4083" s="59">
        <f t="shared" si="201"/>
        <v>2017</v>
      </c>
      <c r="D4083" s="60" t="s">
        <v>362</v>
      </c>
      <c r="E4083" s="60" t="s">
        <v>362</v>
      </c>
      <c r="F4083" s="61">
        <v>20.575700000000001</v>
      </c>
    </row>
    <row r="4084" spans="1:6">
      <c r="A4084" s="65" t="s">
        <v>6663</v>
      </c>
      <c r="B4084" s="66">
        <f t="shared" si="200"/>
        <v>42771</v>
      </c>
      <c r="C4084" s="67">
        <f t="shared" si="201"/>
        <v>2017</v>
      </c>
      <c r="D4084" s="70" t="s">
        <v>362</v>
      </c>
      <c r="E4084" s="70" t="s">
        <v>362</v>
      </c>
      <c r="F4084" s="68">
        <v>20.575700000000001</v>
      </c>
    </row>
    <row r="4085" spans="1:6">
      <c r="A4085" s="57" t="s">
        <v>6664</v>
      </c>
      <c r="B4085" s="58">
        <f t="shared" si="200"/>
        <v>42772</v>
      </c>
      <c r="C4085" s="59">
        <f t="shared" si="201"/>
        <v>2017</v>
      </c>
      <c r="D4085" s="60" t="s">
        <v>362</v>
      </c>
      <c r="E4085" s="60" t="s">
        <v>362</v>
      </c>
      <c r="F4085" s="61">
        <v>20.575700000000001</v>
      </c>
    </row>
    <row r="4086" spans="1:6">
      <c r="A4086" s="65" t="s">
        <v>6665</v>
      </c>
      <c r="B4086" s="66">
        <f t="shared" si="200"/>
        <v>42773</v>
      </c>
      <c r="C4086" s="67">
        <f t="shared" si="201"/>
        <v>2017</v>
      </c>
      <c r="D4086" s="68">
        <v>20.637</v>
      </c>
      <c r="E4086" s="68">
        <v>20.343900000000001</v>
      </c>
      <c r="F4086" s="68">
        <v>20.575700000000001</v>
      </c>
    </row>
    <row r="4087" spans="1:6">
      <c r="A4087" s="57" t="s">
        <v>6666</v>
      </c>
      <c r="B4087" s="58">
        <f t="shared" si="200"/>
        <v>42774</v>
      </c>
      <c r="C4087" s="59">
        <f t="shared" si="201"/>
        <v>2017</v>
      </c>
      <c r="D4087" s="61">
        <v>20.499400000000001</v>
      </c>
      <c r="E4087" s="61">
        <v>20.637</v>
      </c>
      <c r="F4087" s="61">
        <v>20.343900000000001</v>
      </c>
    </row>
    <row r="4088" spans="1:6">
      <c r="A4088" s="65" t="s">
        <v>6667</v>
      </c>
      <c r="B4088" s="66">
        <f t="shared" si="200"/>
        <v>42775</v>
      </c>
      <c r="C4088" s="67">
        <f t="shared" si="201"/>
        <v>2017</v>
      </c>
      <c r="D4088" s="68">
        <v>20.4163</v>
      </c>
      <c r="E4088" s="68">
        <v>20.499400000000001</v>
      </c>
      <c r="F4088" s="68">
        <v>20.637</v>
      </c>
    </row>
    <row r="4089" spans="1:6">
      <c r="A4089" s="57" t="s">
        <v>6668</v>
      </c>
      <c r="B4089" s="58">
        <f t="shared" si="200"/>
        <v>42776</v>
      </c>
      <c r="C4089" s="59">
        <f t="shared" si="201"/>
        <v>2017</v>
      </c>
      <c r="D4089" s="61">
        <v>20.3535</v>
      </c>
      <c r="E4089" s="61">
        <v>20.4163</v>
      </c>
      <c r="F4089" s="61">
        <v>20.499400000000001</v>
      </c>
    </row>
    <row r="4090" spans="1:6">
      <c r="A4090" s="65" t="s">
        <v>6669</v>
      </c>
      <c r="B4090" s="66">
        <f t="shared" si="200"/>
        <v>42777</v>
      </c>
      <c r="C4090" s="67">
        <f t="shared" si="201"/>
        <v>2017</v>
      </c>
      <c r="D4090" s="70" t="s">
        <v>362</v>
      </c>
      <c r="E4090" s="70" t="s">
        <v>362</v>
      </c>
      <c r="F4090" s="68">
        <v>20.4163</v>
      </c>
    </row>
    <row r="4091" spans="1:6">
      <c r="A4091" s="57" t="s">
        <v>6670</v>
      </c>
      <c r="B4091" s="58">
        <f t="shared" si="200"/>
        <v>42778</v>
      </c>
      <c r="C4091" s="59">
        <f t="shared" si="201"/>
        <v>2017</v>
      </c>
      <c r="D4091" s="60" t="s">
        <v>362</v>
      </c>
      <c r="E4091" s="60" t="s">
        <v>362</v>
      </c>
      <c r="F4091" s="61">
        <v>20.4163</v>
      </c>
    </row>
    <row r="4092" spans="1:6">
      <c r="A4092" s="65" t="s">
        <v>6671</v>
      </c>
      <c r="B4092" s="66">
        <f t="shared" si="200"/>
        <v>42779</v>
      </c>
      <c r="C4092" s="67">
        <f t="shared" si="201"/>
        <v>2017</v>
      </c>
      <c r="D4092" s="68">
        <v>20.327999999999999</v>
      </c>
      <c r="E4092" s="68">
        <v>20.3535</v>
      </c>
      <c r="F4092" s="68">
        <v>20.4163</v>
      </c>
    </row>
    <row r="4093" spans="1:6">
      <c r="A4093" s="57" t="s">
        <v>6672</v>
      </c>
      <c r="B4093" s="58">
        <f t="shared" si="200"/>
        <v>42780</v>
      </c>
      <c r="C4093" s="59">
        <f t="shared" si="201"/>
        <v>2017</v>
      </c>
      <c r="D4093" s="61">
        <v>20.3507</v>
      </c>
      <c r="E4093" s="61">
        <v>20.327999999999999</v>
      </c>
      <c r="F4093" s="61">
        <v>20.3535</v>
      </c>
    </row>
    <row r="4094" spans="1:6">
      <c r="A4094" s="65" t="s">
        <v>6673</v>
      </c>
      <c r="B4094" s="66">
        <f t="shared" si="200"/>
        <v>42781</v>
      </c>
      <c r="C4094" s="67">
        <f t="shared" si="201"/>
        <v>2017</v>
      </c>
      <c r="D4094" s="68">
        <v>20.325399999999998</v>
      </c>
      <c r="E4094" s="68">
        <v>20.3507</v>
      </c>
      <c r="F4094" s="68">
        <v>20.327999999999999</v>
      </c>
    </row>
    <row r="4095" spans="1:6">
      <c r="A4095" s="57" t="s">
        <v>6674</v>
      </c>
      <c r="B4095" s="58">
        <f t="shared" si="200"/>
        <v>42782</v>
      </c>
      <c r="C4095" s="59">
        <f t="shared" si="201"/>
        <v>2017</v>
      </c>
      <c r="D4095" s="61">
        <v>20.3325</v>
      </c>
      <c r="E4095" s="61">
        <v>20.325399999999998</v>
      </c>
      <c r="F4095" s="61">
        <v>20.3507</v>
      </c>
    </row>
    <row r="4096" spans="1:6">
      <c r="A4096" s="65" t="s">
        <v>6675</v>
      </c>
      <c r="B4096" s="66">
        <f t="shared" si="200"/>
        <v>42783</v>
      </c>
      <c r="C4096" s="67">
        <f t="shared" si="201"/>
        <v>2017</v>
      </c>
      <c r="D4096" s="68">
        <v>20.4526</v>
      </c>
      <c r="E4096" s="68">
        <v>20.3325</v>
      </c>
      <c r="F4096" s="68">
        <v>20.325399999999998</v>
      </c>
    </row>
    <row r="4097" spans="1:6">
      <c r="A4097" s="57" t="s">
        <v>6676</v>
      </c>
      <c r="B4097" s="58">
        <f t="shared" si="200"/>
        <v>42784</v>
      </c>
      <c r="C4097" s="59">
        <f t="shared" si="201"/>
        <v>2017</v>
      </c>
      <c r="D4097" s="60" t="s">
        <v>362</v>
      </c>
      <c r="E4097" s="60" t="s">
        <v>362</v>
      </c>
      <c r="F4097" s="61">
        <v>20.3325</v>
      </c>
    </row>
    <row r="4098" spans="1:6">
      <c r="A4098" s="65" t="s">
        <v>6677</v>
      </c>
      <c r="B4098" s="66">
        <f t="shared" si="200"/>
        <v>42785</v>
      </c>
      <c r="C4098" s="67">
        <f t="shared" si="201"/>
        <v>2017</v>
      </c>
      <c r="D4098" s="70" t="s">
        <v>362</v>
      </c>
      <c r="E4098" s="70" t="s">
        <v>362</v>
      </c>
      <c r="F4098" s="68">
        <v>20.3325</v>
      </c>
    </row>
    <row r="4099" spans="1:6">
      <c r="A4099" s="57" t="s">
        <v>6678</v>
      </c>
      <c r="B4099" s="58">
        <f t="shared" si="200"/>
        <v>42786</v>
      </c>
      <c r="C4099" s="59">
        <f t="shared" si="201"/>
        <v>2017</v>
      </c>
      <c r="D4099" s="61">
        <v>20.405899999999999</v>
      </c>
      <c r="E4099" s="61">
        <v>20.4526</v>
      </c>
      <c r="F4099" s="61">
        <v>20.3325</v>
      </c>
    </row>
    <row r="4100" spans="1:6">
      <c r="A4100" s="65" t="s">
        <v>6679</v>
      </c>
      <c r="B4100" s="66">
        <f t="shared" si="200"/>
        <v>42787</v>
      </c>
      <c r="C4100" s="67">
        <f t="shared" si="201"/>
        <v>2017</v>
      </c>
      <c r="D4100" s="68">
        <v>20.448899999999998</v>
      </c>
      <c r="E4100" s="68">
        <v>20.405899999999999</v>
      </c>
      <c r="F4100" s="68">
        <v>20.4526</v>
      </c>
    </row>
    <row r="4101" spans="1:6">
      <c r="A4101" s="57" t="s">
        <v>6680</v>
      </c>
      <c r="B4101" s="58">
        <f t="shared" si="200"/>
        <v>42788</v>
      </c>
      <c r="C4101" s="59">
        <f t="shared" si="201"/>
        <v>2017</v>
      </c>
      <c r="D4101" s="61">
        <v>19.912700000000001</v>
      </c>
      <c r="E4101" s="61">
        <v>20.448899999999998</v>
      </c>
      <c r="F4101" s="61">
        <v>20.405899999999999</v>
      </c>
    </row>
    <row r="4102" spans="1:6">
      <c r="A4102" s="65" t="s">
        <v>6681</v>
      </c>
      <c r="B4102" s="66">
        <f t="shared" si="200"/>
        <v>42789</v>
      </c>
      <c r="C4102" s="67">
        <f t="shared" si="201"/>
        <v>2017</v>
      </c>
      <c r="D4102" s="68">
        <v>19.7011</v>
      </c>
      <c r="E4102" s="68">
        <v>19.912700000000001</v>
      </c>
      <c r="F4102" s="68">
        <v>20.448899999999998</v>
      </c>
    </row>
    <row r="4103" spans="1:6">
      <c r="A4103" s="57" t="s">
        <v>6682</v>
      </c>
      <c r="B4103" s="58">
        <f t="shared" si="200"/>
        <v>42790</v>
      </c>
      <c r="C4103" s="59">
        <f t="shared" si="201"/>
        <v>2017</v>
      </c>
      <c r="D4103" s="61">
        <v>19.833500000000001</v>
      </c>
      <c r="E4103" s="61">
        <v>19.7011</v>
      </c>
      <c r="F4103" s="61">
        <v>19.912700000000001</v>
      </c>
    </row>
    <row r="4104" spans="1:6">
      <c r="A4104" s="65" t="s">
        <v>6683</v>
      </c>
      <c r="B4104" s="66">
        <f t="shared" si="200"/>
        <v>42791</v>
      </c>
      <c r="C4104" s="67">
        <f t="shared" si="201"/>
        <v>2017</v>
      </c>
      <c r="D4104" s="70" t="s">
        <v>362</v>
      </c>
      <c r="E4104" s="70" t="s">
        <v>362</v>
      </c>
      <c r="F4104" s="68">
        <v>19.7011</v>
      </c>
    </row>
    <row r="4105" spans="1:6">
      <c r="A4105" s="57" t="s">
        <v>6684</v>
      </c>
      <c r="B4105" s="58">
        <f t="shared" si="200"/>
        <v>42792</v>
      </c>
      <c r="C4105" s="59">
        <f t="shared" si="201"/>
        <v>2017</v>
      </c>
      <c r="D4105" s="60" t="s">
        <v>362</v>
      </c>
      <c r="E4105" s="60" t="s">
        <v>362</v>
      </c>
      <c r="F4105" s="61">
        <v>19.7011</v>
      </c>
    </row>
    <row r="4106" spans="1:6">
      <c r="A4106" s="65" t="s">
        <v>6685</v>
      </c>
      <c r="B4106" s="66">
        <f t="shared" si="200"/>
        <v>42793</v>
      </c>
      <c r="C4106" s="67">
        <f t="shared" si="201"/>
        <v>2017</v>
      </c>
      <c r="D4106" s="68">
        <v>19.8322</v>
      </c>
      <c r="E4106" s="68">
        <v>19.833500000000001</v>
      </c>
      <c r="F4106" s="68">
        <v>19.7011</v>
      </c>
    </row>
    <row r="4107" spans="1:6">
      <c r="A4107" s="57" t="s">
        <v>6686</v>
      </c>
      <c r="B4107" s="58">
        <f t="shared" si="200"/>
        <v>42794</v>
      </c>
      <c r="C4107" s="59">
        <f t="shared" si="201"/>
        <v>2017</v>
      </c>
      <c r="D4107" s="61">
        <v>19.995699999999999</v>
      </c>
      <c r="E4107" s="61">
        <v>19.8322</v>
      </c>
      <c r="F4107" s="61">
        <v>19.833500000000001</v>
      </c>
    </row>
    <row r="4108" spans="1:6">
      <c r="A4108" s="65" t="s">
        <v>6687</v>
      </c>
      <c r="B4108" s="66">
        <f t="shared" si="200"/>
        <v>42795</v>
      </c>
      <c r="C4108" s="67">
        <f t="shared" si="201"/>
        <v>2017</v>
      </c>
      <c r="D4108" s="68">
        <v>19.900700000000001</v>
      </c>
      <c r="E4108" s="68">
        <v>19.995699999999999</v>
      </c>
      <c r="F4108" s="68">
        <v>19.8322</v>
      </c>
    </row>
    <row r="4109" spans="1:6">
      <c r="A4109" s="57" t="s">
        <v>6688</v>
      </c>
      <c r="B4109" s="58">
        <f t="shared" si="200"/>
        <v>42796</v>
      </c>
      <c r="C4109" s="59">
        <f t="shared" si="201"/>
        <v>2017</v>
      </c>
      <c r="D4109" s="61">
        <v>19.9373</v>
      </c>
      <c r="E4109" s="61">
        <v>19.900700000000001</v>
      </c>
      <c r="F4109" s="61">
        <v>19.995699999999999</v>
      </c>
    </row>
    <row r="4110" spans="1:6">
      <c r="A4110" s="65" t="s">
        <v>6689</v>
      </c>
      <c r="B4110" s="66">
        <f t="shared" si="200"/>
        <v>42797</v>
      </c>
      <c r="C4110" s="67">
        <f t="shared" si="201"/>
        <v>2017</v>
      </c>
      <c r="D4110" s="68">
        <v>19.614699999999999</v>
      </c>
      <c r="E4110" s="68">
        <v>19.9373</v>
      </c>
      <c r="F4110" s="68">
        <v>19.900700000000001</v>
      </c>
    </row>
    <row r="4111" spans="1:6">
      <c r="A4111" s="57" t="s">
        <v>6690</v>
      </c>
      <c r="B4111" s="58">
        <f t="shared" si="200"/>
        <v>42798</v>
      </c>
      <c r="C4111" s="59">
        <f t="shared" si="201"/>
        <v>2017</v>
      </c>
      <c r="D4111" s="60" t="s">
        <v>362</v>
      </c>
      <c r="E4111" s="60" t="s">
        <v>362</v>
      </c>
      <c r="F4111" s="61">
        <v>19.9373</v>
      </c>
    </row>
    <row r="4112" spans="1:6">
      <c r="A4112" s="65" t="s">
        <v>6691</v>
      </c>
      <c r="B4112" s="66">
        <f t="shared" si="200"/>
        <v>42799</v>
      </c>
      <c r="C4112" s="67">
        <f t="shared" si="201"/>
        <v>2017</v>
      </c>
      <c r="D4112" s="70" t="s">
        <v>362</v>
      </c>
      <c r="E4112" s="70" t="s">
        <v>362</v>
      </c>
      <c r="F4112" s="68">
        <v>19.9373</v>
      </c>
    </row>
    <row r="4113" spans="1:6">
      <c r="A4113" s="57" t="s">
        <v>6692</v>
      </c>
      <c r="B4113" s="58">
        <f t="shared" si="200"/>
        <v>42800</v>
      </c>
      <c r="C4113" s="59">
        <f t="shared" si="201"/>
        <v>2017</v>
      </c>
      <c r="D4113" s="61">
        <v>19.553799999999999</v>
      </c>
      <c r="E4113" s="61">
        <v>19.614699999999999</v>
      </c>
      <c r="F4113" s="61">
        <v>19.9373</v>
      </c>
    </row>
    <row r="4114" spans="1:6">
      <c r="A4114" s="65" t="s">
        <v>6693</v>
      </c>
      <c r="B4114" s="66">
        <f t="shared" si="200"/>
        <v>42801</v>
      </c>
      <c r="C4114" s="67">
        <f t="shared" si="201"/>
        <v>2017</v>
      </c>
      <c r="D4114" s="68">
        <v>19.521000000000001</v>
      </c>
      <c r="E4114" s="68">
        <v>19.553799999999999</v>
      </c>
      <c r="F4114" s="68">
        <v>19.614699999999999</v>
      </c>
    </row>
    <row r="4115" spans="1:6">
      <c r="A4115" s="57" t="s">
        <v>6694</v>
      </c>
      <c r="B4115" s="58">
        <f t="shared" si="200"/>
        <v>42802</v>
      </c>
      <c r="C4115" s="59">
        <f t="shared" si="201"/>
        <v>2017</v>
      </c>
      <c r="D4115" s="61">
        <v>19.6007</v>
      </c>
      <c r="E4115" s="61">
        <v>19.521000000000001</v>
      </c>
      <c r="F4115" s="61">
        <v>19.553799999999999</v>
      </c>
    </row>
    <row r="4116" spans="1:6">
      <c r="A4116" s="65" t="s">
        <v>6695</v>
      </c>
      <c r="B4116" s="66">
        <f t="shared" si="200"/>
        <v>42803</v>
      </c>
      <c r="C4116" s="67">
        <f t="shared" si="201"/>
        <v>2017</v>
      </c>
      <c r="D4116" s="68">
        <v>19.7974</v>
      </c>
      <c r="E4116" s="68">
        <v>19.6007</v>
      </c>
      <c r="F4116" s="68">
        <v>19.521000000000001</v>
      </c>
    </row>
    <row r="4117" spans="1:6">
      <c r="A4117" s="57" t="s">
        <v>6696</v>
      </c>
      <c r="B4117" s="58">
        <f t="shared" si="200"/>
        <v>42804</v>
      </c>
      <c r="C4117" s="59">
        <f t="shared" si="201"/>
        <v>2017</v>
      </c>
      <c r="D4117" s="61">
        <v>19.6279</v>
      </c>
      <c r="E4117" s="61">
        <v>19.7974</v>
      </c>
      <c r="F4117" s="61">
        <v>19.6007</v>
      </c>
    </row>
    <row r="4118" spans="1:6">
      <c r="A4118" s="65" t="s">
        <v>6697</v>
      </c>
      <c r="B4118" s="66">
        <f t="shared" si="200"/>
        <v>42805</v>
      </c>
      <c r="C4118" s="67">
        <f t="shared" si="201"/>
        <v>2017</v>
      </c>
      <c r="D4118" s="70" t="s">
        <v>362</v>
      </c>
      <c r="E4118" s="70" t="s">
        <v>362</v>
      </c>
      <c r="F4118" s="68">
        <v>19.7974</v>
      </c>
    </row>
    <row r="4119" spans="1:6">
      <c r="A4119" s="57" t="s">
        <v>6698</v>
      </c>
      <c r="B4119" s="58">
        <f t="shared" si="200"/>
        <v>42806</v>
      </c>
      <c r="C4119" s="59">
        <f t="shared" si="201"/>
        <v>2017</v>
      </c>
      <c r="D4119" s="60" t="s">
        <v>362</v>
      </c>
      <c r="E4119" s="60" t="s">
        <v>362</v>
      </c>
      <c r="F4119" s="61">
        <v>19.7974</v>
      </c>
    </row>
    <row r="4120" spans="1:6">
      <c r="A4120" s="65" t="s">
        <v>6699</v>
      </c>
      <c r="B4120" s="66">
        <f t="shared" si="200"/>
        <v>42807</v>
      </c>
      <c r="C4120" s="67">
        <f t="shared" si="201"/>
        <v>2017</v>
      </c>
      <c r="D4120" s="68">
        <v>19.580300000000001</v>
      </c>
      <c r="E4120" s="68">
        <v>19.6279</v>
      </c>
      <c r="F4120" s="68">
        <v>19.7974</v>
      </c>
    </row>
    <row r="4121" spans="1:6">
      <c r="A4121" s="57" t="s">
        <v>6700</v>
      </c>
      <c r="B4121" s="58">
        <f t="shared" si="200"/>
        <v>42808</v>
      </c>
      <c r="C4121" s="59">
        <f t="shared" si="201"/>
        <v>2017</v>
      </c>
      <c r="D4121" s="61">
        <v>19.654299999999999</v>
      </c>
      <c r="E4121" s="61">
        <v>19.580300000000001</v>
      </c>
      <c r="F4121" s="61">
        <v>19.6279</v>
      </c>
    </row>
    <row r="4122" spans="1:6">
      <c r="A4122" s="65" t="s">
        <v>6701</v>
      </c>
      <c r="B4122" s="66">
        <f t="shared" si="200"/>
        <v>42809</v>
      </c>
      <c r="C4122" s="67">
        <f t="shared" si="201"/>
        <v>2017</v>
      </c>
      <c r="D4122" s="68">
        <v>19.449300000000001</v>
      </c>
      <c r="E4122" s="68">
        <v>19.654299999999999</v>
      </c>
      <c r="F4122" s="68">
        <v>19.580300000000001</v>
      </c>
    </row>
    <row r="4123" spans="1:6">
      <c r="A4123" s="57" t="s">
        <v>6702</v>
      </c>
      <c r="B4123" s="58">
        <f t="shared" si="200"/>
        <v>42810</v>
      </c>
      <c r="C4123" s="59">
        <f t="shared" si="201"/>
        <v>2017</v>
      </c>
      <c r="D4123" s="61">
        <v>19.172999999999998</v>
      </c>
      <c r="E4123" s="61">
        <v>19.449300000000001</v>
      </c>
      <c r="F4123" s="61">
        <v>19.654299999999999</v>
      </c>
    </row>
    <row r="4124" spans="1:6">
      <c r="A4124" s="65" t="s">
        <v>6703</v>
      </c>
      <c r="B4124" s="66">
        <f t="shared" si="200"/>
        <v>42811</v>
      </c>
      <c r="C4124" s="67">
        <f t="shared" si="201"/>
        <v>2017</v>
      </c>
      <c r="D4124" s="68">
        <v>19.117000000000001</v>
      </c>
      <c r="E4124" s="68">
        <v>19.172999999999998</v>
      </c>
      <c r="F4124" s="68">
        <v>19.449300000000001</v>
      </c>
    </row>
    <row r="4125" spans="1:6">
      <c r="A4125" s="57" t="s">
        <v>6704</v>
      </c>
      <c r="B4125" s="58">
        <f t="shared" si="200"/>
        <v>42812</v>
      </c>
      <c r="C4125" s="59">
        <f t="shared" si="201"/>
        <v>2017</v>
      </c>
      <c r="D4125" s="60" t="s">
        <v>362</v>
      </c>
      <c r="E4125" s="60" t="s">
        <v>362</v>
      </c>
      <c r="F4125" s="61">
        <v>19.172999999999998</v>
      </c>
    </row>
    <row r="4126" spans="1:6">
      <c r="A4126" s="65" t="s">
        <v>6705</v>
      </c>
      <c r="B4126" s="66">
        <f t="shared" si="200"/>
        <v>42813</v>
      </c>
      <c r="C4126" s="67">
        <f t="shared" si="201"/>
        <v>2017</v>
      </c>
      <c r="D4126" s="70" t="s">
        <v>362</v>
      </c>
      <c r="E4126" s="70" t="s">
        <v>362</v>
      </c>
      <c r="F4126" s="68">
        <v>19.172999999999998</v>
      </c>
    </row>
    <row r="4127" spans="1:6">
      <c r="A4127" s="57" t="s">
        <v>6706</v>
      </c>
      <c r="B4127" s="58">
        <f t="shared" ref="B4127:B4190" si="202">DATE(RIGHT(A4127,4),LEFT(RIGHT(A4127,7),2),LEFT(A4127,2))</f>
        <v>42814</v>
      </c>
      <c r="C4127" s="59">
        <f t="shared" ref="C4127:C4190" si="203">YEAR(B4127)</f>
        <v>2017</v>
      </c>
      <c r="D4127" s="60" t="s">
        <v>362</v>
      </c>
      <c r="E4127" s="60" t="s">
        <v>362</v>
      </c>
      <c r="F4127" s="61">
        <v>19.172999999999998</v>
      </c>
    </row>
    <row r="4128" spans="1:6">
      <c r="A4128" s="65" t="s">
        <v>6707</v>
      </c>
      <c r="B4128" s="66">
        <f t="shared" si="202"/>
        <v>42815</v>
      </c>
      <c r="C4128" s="67">
        <f t="shared" si="203"/>
        <v>2017</v>
      </c>
      <c r="D4128" s="68">
        <v>19.106999999999999</v>
      </c>
      <c r="E4128" s="68">
        <v>19.117000000000001</v>
      </c>
      <c r="F4128" s="68">
        <v>19.172999999999998</v>
      </c>
    </row>
    <row r="4129" spans="1:6">
      <c r="A4129" s="57" t="s">
        <v>6708</v>
      </c>
      <c r="B4129" s="58">
        <f t="shared" si="202"/>
        <v>42816</v>
      </c>
      <c r="C4129" s="59">
        <f t="shared" si="203"/>
        <v>2017</v>
      </c>
      <c r="D4129" s="61">
        <v>19.0837</v>
      </c>
      <c r="E4129" s="61">
        <v>19.106999999999999</v>
      </c>
      <c r="F4129" s="61">
        <v>19.117000000000001</v>
      </c>
    </row>
    <row r="4130" spans="1:6">
      <c r="A4130" s="65" t="s">
        <v>6709</v>
      </c>
      <c r="B4130" s="66">
        <f t="shared" si="202"/>
        <v>42817</v>
      </c>
      <c r="C4130" s="67">
        <f t="shared" si="203"/>
        <v>2017</v>
      </c>
      <c r="D4130" s="68">
        <v>18.9877</v>
      </c>
      <c r="E4130" s="68">
        <v>19.0837</v>
      </c>
      <c r="F4130" s="68">
        <v>19.106999999999999</v>
      </c>
    </row>
    <row r="4131" spans="1:6">
      <c r="A4131" s="57" t="s">
        <v>6710</v>
      </c>
      <c r="B4131" s="58">
        <f t="shared" si="202"/>
        <v>42818</v>
      </c>
      <c r="C4131" s="59">
        <f t="shared" si="203"/>
        <v>2017</v>
      </c>
      <c r="D4131" s="61">
        <v>18.852799999999998</v>
      </c>
      <c r="E4131" s="61">
        <v>18.9877</v>
      </c>
      <c r="F4131" s="61">
        <v>19.0837</v>
      </c>
    </row>
    <row r="4132" spans="1:6">
      <c r="A4132" s="65" t="s">
        <v>6711</v>
      </c>
      <c r="B4132" s="66">
        <f t="shared" si="202"/>
        <v>42819</v>
      </c>
      <c r="C4132" s="67">
        <f t="shared" si="203"/>
        <v>2017</v>
      </c>
      <c r="D4132" s="70" t="s">
        <v>362</v>
      </c>
      <c r="E4132" s="70" t="s">
        <v>362</v>
      </c>
      <c r="F4132" s="68">
        <v>18.9877</v>
      </c>
    </row>
    <row r="4133" spans="1:6">
      <c r="A4133" s="57" t="s">
        <v>6712</v>
      </c>
      <c r="B4133" s="58">
        <f t="shared" si="202"/>
        <v>42820</v>
      </c>
      <c r="C4133" s="59">
        <f t="shared" si="203"/>
        <v>2017</v>
      </c>
      <c r="D4133" s="60" t="s">
        <v>362</v>
      </c>
      <c r="E4133" s="60" t="s">
        <v>362</v>
      </c>
      <c r="F4133" s="61">
        <v>18.9877</v>
      </c>
    </row>
    <row r="4134" spans="1:6">
      <c r="A4134" s="65" t="s">
        <v>6713</v>
      </c>
      <c r="B4134" s="66">
        <f t="shared" si="202"/>
        <v>42821</v>
      </c>
      <c r="C4134" s="67">
        <f t="shared" si="203"/>
        <v>2017</v>
      </c>
      <c r="D4134" s="68">
        <v>18.866099999999999</v>
      </c>
      <c r="E4134" s="68">
        <v>18.852799999999998</v>
      </c>
      <c r="F4134" s="68">
        <v>18.9877</v>
      </c>
    </row>
    <row r="4135" spans="1:6">
      <c r="A4135" s="57" t="s">
        <v>6714</v>
      </c>
      <c r="B4135" s="58">
        <f t="shared" si="202"/>
        <v>42822</v>
      </c>
      <c r="C4135" s="59">
        <f t="shared" si="203"/>
        <v>2017</v>
      </c>
      <c r="D4135" s="61">
        <v>18.885300000000001</v>
      </c>
      <c r="E4135" s="61">
        <v>18.866099999999999</v>
      </c>
      <c r="F4135" s="61">
        <v>18.852799999999998</v>
      </c>
    </row>
    <row r="4136" spans="1:6">
      <c r="A4136" s="65" t="s">
        <v>6715</v>
      </c>
      <c r="B4136" s="66">
        <f t="shared" si="202"/>
        <v>42823</v>
      </c>
      <c r="C4136" s="67">
        <f t="shared" si="203"/>
        <v>2017</v>
      </c>
      <c r="D4136" s="68">
        <v>18.809200000000001</v>
      </c>
      <c r="E4136" s="68">
        <v>18.885300000000001</v>
      </c>
      <c r="F4136" s="68">
        <v>18.866099999999999</v>
      </c>
    </row>
    <row r="4137" spans="1:6">
      <c r="A4137" s="57" t="s">
        <v>6716</v>
      </c>
      <c r="B4137" s="58">
        <f t="shared" si="202"/>
        <v>42824</v>
      </c>
      <c r="C4137" s="59">
        <f t="shared" si="203"/>
        <v>2017</v>
      </c>
      <c r="D4137" s="61">
        <v>18.707899999999999</v>
      </c>
      <c r="E4137" s="61">
        <v>18.809200000000001</v>
      </c>
      <c r="F4137" s="61">
        <v>18.885300000000001</v>
      </c>
    </row>
    <row r="4138" spans="1:6">
      <c r="A4138" s="65" t="s">
        <v>6717</v>
      </c>
      <c r="B4138" s="66">
        <f t="shared" si="202"/>
        <v>42825</v>
      </c>
      <c r="C4138" s="67">
        <f t="shared" si="203"/>
        <v>2017</v>
      </c>
      <c r="D4138" s="68">
        <v>18.795500000000001</v>
      </c>
      <c r="E4138" s="68">
        <v>18.707899999999999</v>
      </c>
      <c r="F4138" s="68">
        <v>18.809200000000001</v>
      </c>
    </row>
    <row r="4139" spans="1:6">
      <c r="A4139" s="57" t="s">
        <v>6718</v>
      </c>
      <c r="B4139" s="58">
        <f t="shared" si="202"/>
        <v>42826</v>
      </c>
      <c r="C4139" s="59">
        <f t="shared" si="203"/>
        <v>2017</v>
      </c>
      <c r="D4139" s="60" t="s">
        <v>362</v>
      </c>
      <c r="E4139" s="60" t="s">
        <v>362</v>
      </c>
      <c r="F4139" s="61">
        <v>18.707899999999999</v>
      </c>
    </row>
    <row r="4140" spans="1:6">
      <c r="A4140" s="65" t="s">
        <v>6719</v>
      </c>
      <c r="B4140" s="66">
        <f t="shared" si="202"/>
        <v>42827</v>
      </c>
      <c r="C4140" s="67">
        <f t="shared" si="203"/>
        <v>2017</v>
      </c>
      <c r="D4140" s="70" t="s">
        <v>362</v>
      </c>
      <c r="E4140" s="70" t="s">
        <v>362</v>
      </c>
      <c r="F4140" s="68">
        <v>18.707899999999999</v>
      </c>
    </row>
    <row r="4141" spans="1:6">
      <c r="A4141" s="57" t="s">
        <v>6720</v>
      </c>
      <c r="B4141" s="58">
        <f t="shared" si="202"/>
        <v>42828</v>
      </c>
      <c r="C4141" s="59">
        <f t="shared" si="203"/>
        <v>2017</v>
      </c>
      <c r="D4141" s="61">
        <v>18.731999999999999</v>
      </c>
      <c r="E4141" s="61">
        <v>18.795500000000001</v>
      </c>
      <c r="F4141" s="61">
        <v>18.707899999999999</v>
      </c>
    </row>
    <row r="4142" spans="1:6">
      <c r="A4142" s="65" t="s">
        <v>6721</v>
      </c>
      <c r="B4142" s="66">
        <f t="shared" si="202"/>
        <v>42829</v>
      </c>
      <c r="C4142" s="67">
        <f t="shared" si="203"/>
        <v>2017</v>
      </c>
      <c r="D4142" s="68">
        <v>18.833400000000001</v>
      </c>
      <c r="E4142" s="68">
        <v>18.731999999999999</v>
      </c>
      <c r="F4142" s="68">
        <v>18.795500000000001</v>
      </c>
    </row>
    <row r="4143" spans="1:6">
      <c r="A4143" s="57" t="s">
        <v>6722</v>
      </c>
      <c r="B4143" s="58">
        <f t="shared" si="202"/>
        <v>42830</v>
      </c>
      <c r="C4143" s="59">
        <f t="shared" si="203"/>
        <v>2017</v>
      </c>
      <c r="D4143" s="61">
        <v>18.719200000000001</v>
      </c>
      <c r="E4143" s="61">
        <v>18.833400000000001</v>
      </c>
      <c r="F4143" s="61">
        <v>18.731999999999999</v>
      </c>
    </row>
    <row r="4144" spans="1:6">
      <c r="A4144" s="65" t="s">
        <v>6723</v>
      </c>
      <c r="B4144" s="66">
        <f t="shared" si="202"/>
        <v>42831</v>
      </c>
      <c r="C4144" s="67">
        <f t="shared" si="203"/>
        <v>2017</v>
      </c>
      <c r="D4144" s="68">
        <v>18.769600000000001</v>
      </c>
      <c r="E4144" s="68">
        <v>18.719200000000001</v>
      </c>
      <c r="F4144" s="68">
        <v>18.833400000000001</v>
      </c>
    </row>
    <row r="4145" spans="1:6">
      <c r="A4145" s="57" t="s">
        <v>6724</v>
      </c>
      <c r="B4145" s="58">
        <f t="shared" si="202"/>
        <v>42832</v>
      </c>
      <c r="C4145" s="59">
        <f t="shared" si="203"/>
        <v>2017</v>
      </c>
      <c r="D4145" s="61">
        <v>18.655999999999999</v>
      </c>
      <c r="E4145" s="61">
        <v>18.769600000000001</v>
      </c>
      <c r="F4145" s="61">
        <v>18.719200000000001</v>
      </c>
    </row>
    <row r="4146" spans="1:6">
      <c r="A4146" s="65" t="s">
        <v>6725</v>
      </c>
      <c r="B4146" s="66">
        <f t="shared" si="202"/>
        <v>42833</v>
      </c>
      <c r="C4146" s="67">
        <f t="shared" si="203"/>
        <v>2017</v>
      </c>
      <c r="D4146" s="70" t="s">
        <v>362</v>
      </c>
      <c r="E4146" s="70" t="s">
        <v>362</v>
      </c>
      <c r="F4146" s="68">
        <v>18.769600000000001</v>
      </c>
    </row>
    <row r="4147" spans="1:6">
      <c r="A4147" s="57" t="s">
        <v>6726</v>
      </c>
      <c r="B4147" s="58">
        <f t="shared" si="202"/>
        <v>42834</v>
      </c>
      <c r="C4147" s="59">
        <f t="shared" si="203"/>
        <v>2017</v>
      </c>
      <c r="D4147" s="60" t="s">
        <v>362</v>
      </c>
      <c r="E4147" s="60" t="s">
        <v>362</v>
      </c>
      <c r="F4147" s="61">
        <v>18.769600000000001</v>
      </c>
    </row>
    <row r="4148" spans="1:6">
      <c r="A4148" s="65" t="s">
        <v>6727</v>
      </c>
      <c r="B4148" s="66">
        <f t="shared" si="202"/>
        <v>42835</v>
      </c>
      <c r="C4148" s="67">
        <f t="shared" si="203"/>
        <v>2017</v>
      </c>
      <c r="D4148" s="68">
        <v>18.692299999999999</v>
      </c>
      <c r="E4148" s="68">
        <v>18.655999999999999</v>
      </c>
      <c r="F4148" s="68">
        <v>18.769600000000001</v>
      </c>
    </row>
    <row r="4149" spans="1:6">
      <c r="A4149" s="57" t="s">
        <v>6728</v>
      </c>
      <c r="B4149" s="58">
        <f t="shared" si="202"/>
        <v>42836</v>
      </c>
      <c r="C4149" s="59">
        <f t="shared" si="203"/>
        <v>2017</v>
      </c>
      <c r="D4149" s="61">
        <v>18.764600000000002</v>
      </c>
      <c r="E4149" s="61">
        <v>18.692299999999999</v>
      </c>
      <c r="F4149" s="61">
        <v>18.655999999999999</v>
      </c>
    </row>
    <row r="4150" spans="1:6">
      <c r="A4150" s="65" t="s">
        <v>6729</v>
      </c>
      <c r="B4150" s="66">
        <f t="shared" si="202"/>
        <v>42837</v>
      </c>
      <c r="C4150" s="67">
        <f t="shared" si="203"/>
        <v>2017</v>
      </c>
      <c r="D4150" s="68">
        <v>18.752800000000001</v>
      </c>
      <c r="E4150" s="68">
        <v>18.764600000000002</v>
      </c>
      <c r="F4150" s="68">
        <v>18.692299999999999</v>
      </c>
    </row>
    <row r="4151" spans="1:6">
      <c r="A4151" s="57" t="s">
        <v>6730</v>
      </c>
      <c r="B4151" s="58">
        <f t="shared" si="202"/>
        <v>42838</v>
      </c>
      <c r="C4151" s="59">
        <f t="shared" si="203"/>
        <v>2017</v>
      </c>
      <c r="D4151" s="60" t="s">
        <v>362</v>
      </c>
      <c r="E4151" s="60" t="s">
        <v>362</v>
      </c>
      <c r="F4151" s="61">
        <v>18.764600000000002</v>
      </c>
    </row>
    <row r="4152" spans="1:6">
      <c r="A4152" s="65" t="s">
        <v>6731</v>
      </c>
      <c r="B4152" s="66">
        <f t="shared" si="202"/>
        <v>42839</v>
      </c>
      <c r="C4152" s="67">
        <f t="shared" si="203"/>
        <v>2017</v>
      </c>
      <c r="D4152" s="70" t="s">
        <v>362</v>
      </c>
      <c r="E4152" s="70" t="s">
        <v>362</v>
      </c>
      <c r="F4152" s="68">
        <v>18.764600000000002</v>
      </c>
    </row>
    <row r="4153" spans="1:6">
      <c r="A4153" s="57" t="s">
        <v>6732</v>
      </c>
      <c r="B4153" s="58">
        <f t="shared" si="202"/>
        <v>42840</v>
      </c>
      <c r="C4153" s="59">
        <f t="shared" si="203"/>
        <v>2017</v>
      </c>
      <c r="D4153" s="60" t="s">
        <v>362</v>
      </c>
      <c r="E4153" s="60" t="s">
        <v>362</v>
      </c>
      <c r="F4153" s="61">
        <v>18.764600000000002</v>
      </c>
    </row>
    <row r="4154" spans="1:6">
      <c r="A4154" s="65" t="s">
        <v>6733</v>
      </c>
      <c r="B4154" s="66">
        <f t="shared" si="202"/>
        <v>42841</v>
      </c>
      <c r="C4154" s="67">
        <f t="shared" si="203"/>
        <v>2017</v>
      </c>
      <c r="D4154" s="70" t="s">
        <v>362</v>
      </c>
      <c r="E4154" s="70" t="s">
        <v>362</v>
      </c>
      <c r="F4154" s="68">
        <v>18.764600000000002</v>
      </c>
    </row>
    <row r="4155" spans="1:6">
      <c r="A4155" s="57" t="s">
        <v>6734</v>
      </c>
      <c r="B4155" s="58">
        <f t="shared" si="202"/>
        <v>42842</v>
      </c>
      <c r="C4155" s="59">
        <f t="shared" si="203"/>
        <v>2017</v>
      </c>
      <c r="D4155" s="61">
        <v>18.558199999999999</v>
      </c>
      <c r="E4155" s="61">
        <v>18.752800000000001</v>
      </c>
      <c r="F4155" s="61">
        <v>18.764600000000002</v>
      </c>
    </row>
    <row r="4156" spans="1:6">
      <c r="A4156" s="65" t="s">
        <v>6735</v>
      </c>
      <c r="B4156" s="66">
        <f t="shared" si="202"/>
        <v>42843</v>
      </c>
      <c r="C4156" s="67">
        <f t="shared" si="203"/>
        <v>2017</v>
      </c>
      <c r="D4156" s="68">
        <v>18.4863</v>
      </c>
      <c r="E4156" s="68">
        <v>18.558199999999999</v>
      </c>
      <c r="F4156" s="68">
        <v>18.752800000000001</v>
      </c>
    </row>
    <row r="4157" spans="1:6">
      <c r="A4157" s="57" t="s">
        <v>6736</v>
      </c>
      <c r="B4157" s="58">
        <f t="shared" si="202"/>
        <v>42844</v>
      </c>
      <c r="C4157" s="59">
        <f t="shared" si="203"/>
        <v>2017</v>
      </c>
      <c r="D4157" s="61">
        <v>18.837399999999999</v>
      </c>
      <c r="E4157" s="61">
        <v>18.4863</v>
      </c>
      <c r="F4157" s="61">
        <v>18.558199999999999</v>
      </c>
    </row>
    <row r="4158" spans="1:6">
      <c r="A4158" s="65" t="s">
        <v>6737</v>
      </c>
      <c r="B4158" s="66">
        <f t="shared" si="202"/>
        <v>42845</v>
      </c>
      <c r="C4158" s="67">
        <f t="shared" si="203"/>
        <v>2017</v>
      </c>
      <c r="D4158" s="68">
        <v>18.8187</v>
      </c>
      <c r="E4158" s="68">
        <v>18.837399999999999</v>
      </c>
      <c r="F4158" s="68">
        <v>18.4863</v>
      </c>
    </row>
    <row r="4159" spans="1:6">
      <c r="A4159" s="57" t="s">
        <v>6738</v>
      </c>
      <c r="B4159" s="58">
        <f t="shared" si="202"/>
        <v>42846</v>
      </c>
      <c r="C4159" s="59">
        <f t="shared" si="203"/>
        <v>2017</v>
      </c>
      <c r="D4159" s="61">
        <v>18.8413</v>
      </c>
      <c r="E4159" s="61">
        <v>18.8187</v>
      </c>
      <c r="F4159" s="61">
        <v>18.837399999999999</v>
      </c>
    </row>
    <row r="4160" spans="1:6">
      <c r="A4160" s="65" t="s">
        <v>6739</v>
      </c>
      <c r="B4160" s="66">
        <f t="shared" si="202"/>
        <v>42847</v>
      </c>
      <c r="C4160" s="67">
        <f t="shared" si="203"/>
        <v>2017</v>
      </c>
      <c r="D4160" s="70" t="s">
        <v>362</v>
      </c>
      <c r="E4160" s="70" t="s">
        <v>362</v>
      </c>
      <c r="F4160" s="68">
        <v>18.8187</v>
      </c>
    </row>
    <row r="4161" spans="1:6">
      <c r="A4161" s="57" t="s">
        <v>6740</v>
      </c>
      <c r="B4161" s="58">
        <f t="shared" si="202"/>
        <v>42848</v>
      </c>
      <c r="C4161" s="59">
        <f t="shared" si="203"/>
        <v>2017</v>
      </c>
      <c r="D4161" s="60" t="s">
        <v>362</v>
      </c>
      <c r="E4161" s="60" t="s">
        <v>362</v>
      </c>
      <c r="F4161" s="61">
        <v>18.8187</v>
      </c>
    </row>
    <row r="4162" spans="1:6">
      <c r="A4162" s="65" t="s">
        <v>6741</v>
      </c>
      <c r="B4162" s="66">
        <f t="shared" si="202"/>
        <v>42849</v>
      </c>
      <c r="C4162" s="67">
        <f t="shared" si="203"/>
        <v>2017</v>
      </c>
      <c r="D4162" s="68">
        <v>18.652100000000001</v>
      </c>
      <c r="E4162" s="68">
        <v>18.8413</v>
      </c>
      <c r="F4162" s="68">
        <v>18.8187</v>
      </c>
    </row>
    <row r="4163" spans="1:6">
      <c r="A4163" s="57" t="s">
        <v>6742</v>
      </c>
      <c r="B4163" s="58">
        <f t="shared" si="202"/>
        <v>42850</v>
      </c>
      <c r="C4163" s="59">
        <f t="shared" si="203"/>
        <v>2017</v>
      </c>
      <c r="D4163" s="61">
        <v>18.922499999999999</v>
      </c>
      <c r="E4163" s="61">
        <v>18.652100000000001</v>
      </c>
      <c r="F4163" s="61">
        <v>18.8413</v>
      </c>
    </row>
    <row r="4164" spans="1:6">
      <c r="A4164" s="65" t="s">
        <v>6743</v>
      </c>
      <c r="B4164" s="66">
        <f t="shared" si="202"/>
        <v>42851</v>
      </c>
      <c r="C4164" s="67">
        <f t="shared" si="203"/>
        <v>2017</v>
      </c>
      <c r="D4164" s="68">
        <v>19.111899999999999</v>
      </c>
      <c r="E4164" s="68">
        <v>18.922499999999999</v>
      </c>
      <c r="F4164" s="68">
        <v>18.652100000000001</v>
      </c>
    </row>
    <row r="4165" spans="1:6">
      <c r="A4165" s="57" t="s">
        <v>6744</v>
      </c>
      <c r="B4165" s="58">
        <f t="shared" si="202"/>
        <v>42852</v>
      </c>
      <c r="C4165" s="59">
        <f t="shared" si="203"/>
        <v>2017</v>
      </c>
      <c r="D4165" s="61">
        <v>19.067</v>
      </c>
      <c r="E4165" s="61">
        <v>19.111899999999999</v>
      </c>
      <c r="F4165" s="61">
        <v>18.922499999999999</v>
      </c>
    </row>
    <row r="4166" spans="1:6">
      <c r="A4166" s="65" t="s">
        <v>6745</v>
      </c>
      <c r="B4166" s="66">
        <f t="shared" si="202"/>
        <v>42853</v>
      </c>
      <c r="C4166" s="67">
        <f t="shared" si="203"/>
        <v>2017</v>
      </c>
      <c r="D4166" s="68">
        <v>18.959399999999999</v>
      </c>
      <c r="E4166" s="68">
        <v>19.067</v>
      </c>
      <c r="F4166" s="68">
        <v>19.111899999999999</v>
      </c>
    </row>
    <row r="4167" spans="1:6">
      <c r="A4167" s="57" t="s">
        <v>6746</v>
      </c>
      <c r="B4167" s="58">
        <f t="shared" si="202"/>
        <v>42854</v>
      </c>
      <c r="C4167" s="59">
        <f t="shared" si="203"/>
        <v>2017</v>
      </c>
      <c r="D4167" s="60" t="s">
        <v>362</v>
      </c>
      <c r="E4167" s="60" t="s">
        <v>362</v>
      </c>
      <c r="F4167" s="61">
        <v>19.067</v>
      </c>
    </row>
    <row r="4168" spans="1:6">
      <c r="A4168" s="65" t="s">
        <v>6747</v>
      </c>
      <c r="B4168" s="66">
        <f t="shared" si="202"/>
        <v>42855</v>
      </c>
      <c r="C4168" s="67">
        <f t="shared" si="203"/>
        <v>2017</v>
      </c>
      <c r="D4168" s="70" t="s">
        <v>362</v>
      </c>
      <c r="E4168" s="70" t="s">
        <v>362</v>
      </c>
      <c r="F4168" s="68">
        <v>19.067</v>
      </c>
    </row>
    <row r="4169" spans="1:6">
      <c r="A4169" s="57" t="s">
        <v>6748</v>
      </c>
      <c r="B4169" s="58">
        <f t="shared" si="202"/>
        <v>42856</v>
      </c>
      <c r="C4169" s="59">
        <f t="shared" si="203"/>
        <v>2017</v>
      </c>
      <c r="D4169" s="60" t="s">
        <v>362</v>
      </c>
      <c r="E4169" s="60" t="s">
        <v>362</v>
      </c>
      <c r="F4169" s="61">
        <v>19.067</v>
      </c>
    </row>
    <row r="4170" spans="1:6">
      <c r="A4170" s="65" t="s">
        <v>6749</v>
      </c>
      <c r="B4170" s="66">
        <f t="shared" si="202"/>
        <v>42857</v>
      </c>
      <c r="C4170" s="67">
        <f t="shared" si="203"/>
        <v>2017</v>
      </c>
      <c r="D4170" s="68">
        <v>18.773099999999999</v>
      </c>
      <c r="E4170" s="68">
        <v>18.959399999999999</v>
      </c>
      <c r="F4170" s="68">
        <v>19.067</v>
      </c>
    </row>
    <row r="4171" spans="1:6">
      <c r="A4171" s="57" t="s">
        <v>6750</v>
      </c>
      <c r="B4171" s="58">
        <f t="shared" si="202"/>
        <v>42858</v>
      </c>
      <c r="C4171" s="59">
        <f t="shared" si="203"/>
        <v>2017</v>
      </c>
      <c r="D4171" s="61">
        <v>18.803100000000001</v>
      </c>
      <c r="E4171" s="61">
        <v>18.773099999999999</v>
      </c>
      <c r="F4171" s="61">
        <v>18.959399999999999</v>
      </c>
    </row>
    <row r="4172" spans="1:6">
      <c r="A4172" s="65" t="s">
        <v>6751</v>
      </c>
      <c r="B4172" s="66">
        <f t="shared" si="202"/>
        <v>42859</v>
      </c>
      <c r="C4172" s="67">
        <f t="shared" si="203"/>
        <v>2017</v>
      </c>
      <c r="D4172" s="68">
        <v>19.001899999999999</v>
      </c>
      <c r="E4172" s="68">
        <v>18.803100000000001</v>
      </c>
      <c r="F4172" s="68">
        <v>18.773099999999999</v>
      </c>
    </row>
    <row r="4173" spans="1:6">
      <c r="A4173" s="57" t="s">
        <v>6752</v>
      </c>
      <c r="B4173" s="58">
        <f t="shared" si="202"/>
        <v>42860</v>
      </c>
      <c r="C4173" s="59">
        <f t="shared" si="203"/>
        <v>2017</v>
      </c>
      <c r="D4173" s="61">
        <v>19.0137</v>
      </c>
      <c r="E4173" s="61">
        <v>19.001899999999999</v>
      </c>
      <c r="F4173" s="61">
        <v>18.803100000000001</v>
      </c>
    </row>
    <row r="4174" spans="1:6">
      <c r="A4174" s="65" t="s">
        <v>6753</v>
      </c>
      <c r="B4174" s="66">
        <f t="shared" si="202"/>
        <v>42861</v>
      </c>
      <c r="C4174" s="67">
        <f t="shared" si="203"/>
        <v>2017</v>
      </c>
      <c r="D4174" s="70" t="s">
        <v>362</v>
      </c>
      <c r="E4174" s="70" t="s">
        <v>362</v>
      </c>
      <c r="F4174" s="68">
        <v>19.001899999999999</v>
      </c>
    </row>
    <row r="4175" spans="1:6">
      <c r="A4175" s="57" t="s">
        <v>6754</v>
      </c>
      <c r="B4175" s="58">
        <f t="shared" si="202"/>
        <v>42862</v>
      </c>
      <c r="C4175" s="59">
        <f t="shared" si="203"/>
        <v>2017</v>
      </c>
      <c r="D4175" s="60" t="s">
        <v>362</v>
      </c>
      <c r="E4175" s="60" t="s">
        <v>362</v>
      </c>
      <c r="F4175" s="61">
        <v>19.001899999999999</v>
      </c>
    </row>
    <row r="4176" spans="1:6">
      <c r="A4176" s="65" t="s">
        <v>6755</v>
      </c>
      <c r="B4176" s="66">
        <f t="shared" si="202"/>
        <v>42863</v>
      </c>
      <c r="C4176" s="67">
        <f t="shared" si="203"/>
        <v>2017</v>
      </c>
      <c r="D4176" s="68">
        <v>19.116399999999999</v>
      </c>
      <c r="E4176" s="68">
        <v>19.0137</v>
      </c>
      <c r="F4176" s="68">
        <v>19.001899999999999</v>
      </c>
    </row>
    <row r="4177" spans="1:6">
      <c r="A4177" s="57" t="s">
        <v>6756</v>
      </c>
      <c r="B4177" s="58">
        <f t="shared" si="202"/>
        <v>42864</v>
      </c>
      <c r="C4177" s="59">
        <f t="shared" si="203"/>
        <v>2017</v>
      </c>
      <c r="D4177" s="61">
        <v>19.136399999999998</v>
      </c>
      <c r="E4177" s="61">
        <v>19.116399999999999</v>
      </c>
      <c r="F4177" s="61">
        <v>19.0137</v>
      </c>
    </row>
    <row r="4178" spans="1:6">
      <c r="A4178" s="65" t="s">
        <v>6757</v>
      </c>
      <c r="B4178" s="66">
        <f t="shared" si="202"/>
        <v>42865</v>
      </c>
      <c r="C4178" s="67">
        <f t="shared" si="203"/>
        <v>2017</v>
      </c>
      <c r="D4178" s="68">
        <v>18.9587</v>
      </c>
      <c r="E4178" s="68">
        <v>19.136399999999998</v>
      </c>
      <c r="F4178" s="68">
        <v>19.116399999999999</v>
      </c>
    </row>
    <row r="4179" spans="1:6">
      <c r="A4179" s="57" t="s">
        <v>6758</v>
      </c>
      <c r="B4179" s="58">
        <f t="shared" si="202"/>
        <v>42866</v>
      </c>
      <c r="C4179" s="59">
        <f t="shared" si="203"/>
        <v>2017</v>
      </c>
      <c r="D4179" s="61">
        <v>18.9039</v>
      </c>
      <c r="E4179" s="61">
        <v>18.9587</v>
      </c>
      <c r="F4179" s="61">
        <v>19.136399999999998</v>
      </c>
    </row>
    <row r="4180" spans="1:6">
      <c r="A4180" s="65" t="s">
        <v>6759</v>
      </c>
      <c r="B4180" s="66">
        <f t="shared" si="202"/>
        <v>42867</v>
      </c>
      <c r="C4180" s="67">
        <f t="shared" si="203"/>
        <v>2017</v>
      </c>
      <c r="D4180" s="68">
        <v>18.759399999999999</v>
      </c>
      <c r="E4180" s="68">
        <v>18.9039</v>
      </c>
      <c r="F4180" s="68">
        <v>18.9587</v>
      </c>
    </row>
    <row r="4181" spans="1:6">
      <c r="A4181" s="57" t="s">
        <v>6760</v>
      </c>
      <c r="B4181" s="58">
        <f t="shared" si="202"/>
        <v>42868</v>
      </c>
      <c r="C4181" s="59">
        <f t="shared" si="203"/>
        <v>2017</v>
      </c>
      <c r="D4181" s="60" t="s">
        <v>362</v>
      </c>
      <c r="E4181" s="60" t="s">
        <v>362</v>
      </c>
      <c r="F4181" s="61">
        <v>18.9039</v>
      </c>
    </row>
    <row r="4182" spans="1:6">
      <c r="A4182" s="65" t="s">
        <v>6761</v>
      </c>
      <c r="B4182" s="66">
        <f t="shared" si="202"/>
        <v>42869</v>
      </c>
      <c r="C4182" s="67">
        <f t="shared" si="203"/>
        <v>2017</v>
      </c>
      <c r="D4182" s="70" t="s">
        <v>362</v>
      </c>
      <c r="E4182" s="70" t="s">
        <v>362</v>
      </c>
      <c r="F4182" s="68">
        <v>18.9039</v>
      </c>
    </row>
    <row r="4183" spans="1:6">
      <c r="A4183" s="57" t="s">
        <v>6762</v>
      </c>
      <c r="B4183" s="58">
        <f t="shared" si="202"/>
        <v>42870</v>
      </c>
      <c r="C4183" s="59">
        <f t="shared" si="203"/>
        <v>2017</v>
      </c>
      <c r="D4183" s="61">
        <v>18.670000000000002</v>
      </c>
      <c r="E4183" s="61">
        <v>18.759399999999999</v>
      </c>
      <c r="F4183" s="61">
        <v>18.9039</v>
      </c>
    </row>
    <row r="4184" spans="1:6">
      <c r="A4184" s="65" t="s">
        <v>6763</v>
      </c>
      <c r="B4184" s="66">
        <f t="shared" si="202"/>
        <v>42871</v>
      </c>
      <c r="C4184" s="67">
        <f t="shared" si="203"/>
        <v>2017</v>
      </c>
      <c r="D4184" s="68">
        <v>18.618300000000001</v>
      </c>
      <c r="E4184" s="68">
        <v>18.670000000000002</v>
      </c>
      <c r="F4184" s="68">
        <v>18.759399999999999</v>
      </c>
    </row>
    <row r="4185" spans="1:6">
      <c r="A4185" s="57" t="s">
        <v>6764</v>
      </c>
      <c r="B4185" s="58">
        <f t="shared" si="202"/>
        <v>42872</v>
      </c>
      <c r="C4185" s="59">
        <f t="shared" si="203"/>
        <v>2017</v>
      </c>
      <c r="D4185" s="61">
        <v>18.676100000000002</v>
      </c>
      <c r="E4185" s="61">
        <v>18.618300000000001</v>
      </c>
      <c r="F4185" s="61">
        <v>18.670000000000002</v>
      </c>
    </row>
    <row r="4186" spans="1:6">
      <c r="A4186" s="65" t="s">
        <v>6765</v>
      </c>
      <c r="B4186" s="66">
        <f t="shared" si="202"/>
        <v>42873</v>
      </c>
      <c r="C4186" s="67">
        <f t="shared" si="203"/>
        <v>2017</v>
      </c>
      <c r="D4186" s="68">
        <v>18.889800000000001</v>
      </c>
      <c r="E4186" s="68">
        <v>18.676100000000002</v>
      </c>
      <c r="F4186" s="68">
        <v>18.618300000000001</v>
      </c>
    </row>
    <row r="4187" spans="1:6">
      <c r="A4187" s="57" t="s">
        <v>6766</v>
      </c>
      <c r="B4187" s="58">
        <f t="shared" si="202"/>
        <v>42874</v>
      </c>
      <c r="C4187" s="59">
        <f t="shared" si="203"/>
        <v>2017</v>
      </c>
      <c r="D4187" s="61">
        <v>18.6859</v>
      </c>
      <c r="E4187" s="61">
        <v>18.889800000000001</v>
      </c>
      <c r="F4187" s="61">
        <v>18.676100000000002</v>
      </c>
    </row>
    <row r="4188" spans="1:6">
      <c r="A4188" s="65" t="s">
        <v>6767</v>
      </c>
      <c r="B4188" s="66">
        <f t="shared" si="202"/>
        <v>42875</v>
      </c>
      <c r="C4188" s="67">
        <f t="shared" si="203"/>
        <v>2017</v>
      </c>
      <c r="D4188" s="70" t="s">
        <v>362</v>
      </c>
      <c r="E4188" s="70" t="s">
        <v>362</v>
      </c>
      <c r="F4188" s="68">
        <v>18.889800000000001</v>
      </c>
    </row>
    <row r="4189" spans="1:6">
      <c r="A4189" s="57" t="s">
        <v>6768</v>
      </c>
      <c r="B4189" s="58">
        <f t="shared" si="202"/>
        <v>42876</v>
      </c>
      <c r="C4189" s="59">
        <f t="shared" si="203"/>
        <v>2017</v>
      </c>
      <c r="D4189" s="60" t="s">
        <v>362</v>
      </c>
      <c r="E4189" s="60" t="s">
        <v>362</v>
      </c>
      <c r="F4189" s="61">
        <v>18.889800000000001</v>
      </c>
    </row>
    <row r="4190" spans="1:6">
      <c r="A4190" s="65" t="s">
        <v>6769</v>
      </c>
      <c r="B4190" s="66">
        <f t="shared" si="202"/>
        <v>42877</v>
      </c>
      <c r="C4190" s="67">
        <f t="shared" si="203"/>
        <v>2017</v>
      </c>
      <c r="D4190" s="68">
        <v>18.6633</v>
      </c>
      <c r="E4190" s="68">
        <v>18.6859</v>
      </c>
      <c r="F4190" s="68">
        <v>18.889800000000001</v>
      </c>
    </row>
    <row r="4191" spans="1:6">
      <c r="A4191" s="57" t="s">
        <v>6770</v>
      </c>
      <c r="B4191" s="58">
        <f t="shared" ref="B4191:B4254" si="204">DATE(RIGHT(A4191,4),LEFT(RIGHT(A4191,7),2),LEFT(A4191,2))</f>
        <v>42878</v>
      </c>
      <c r="C4191" s="59">
        <f t="shared" ref="C4191:C4254" si="205">YEAR(B4191)</f>
        <v>2017</v>
      </c>
      <c r="D4191" s="61">
        <v>18.614999999999998</v>
      </c>
      <c r="E4191" s="61">
        <v>18.6633</v>
      </c>
      <c r="F4191" s="61">
        <v>18.6859</v>
      </c>
    </row>
    <row r="4192" spans="1:6">
      <c r="A4192" s="65" t="s">
        <v>6771</v>
      </c>
      <c r="B4192" s="66">
        <f t="shared" si="204"/>
        <v>42879</v>
      </c>
      <c r="C4192" s="67">
        <f t="shared" si="205"/>
        <v>2017</v>
      </c>
      <c r="D4192" s="68">
        <v>18.568899999999999</v>
      </c>
      <c r="E4192" s="68">
        <v>18.614999999999998</v>
      </c>
      <c r="F4192" s="68">
        <v>18.6633</v>
      </c>
    </row>
    <row r="4193" spans="1:6">
      <c r="A4193" s="57" t="s">
        <v>6772</v>
      </c>
      <c r="B4193" s="58">
        <f t="shared" si="204"/>
        <v>42880</v>
      </c>
      <c r="C4193" s="59">
        <f t="shared" si="205"/>
        <v>2017</v>
      </c>
      <c r="D4193" s="61">
        <v>18.418500000000002</v>
      </c>
      <c r="E4193" s="61">
        <v>18.568899999999999</v>
      </c>
      <c r="F4193" s="61">
        <v>18.614999999999998</v>
      </c>
    </row>
    <row r="4194" spans="1:6">
      <c r="A4194" s="65" t="s">
        <v>6773</v>
      </c>
      <c r="B4194" s="66">
        <f t="shared" si="204"/>
        <v>42881</v>
      </c>
      <c r="C4194" s="67">
        <f t="shared" si="205"/>
        <v>2017</v>
      </c>
      <c r="D4194" s="68">
        <v>18.4849</v>
      </c>
      <c r="E4194" s="68">
        <v>18.418500000000002</v>
      </c>
      <c r="F4194" s="68">
        <v>18.568899999999999</v>
      </c>
    </row>
    <row r="4195" spans="1:6">
      <c r="A4195" s="57" t="s">
        <v>6774</v>
      </c>
      <c r="B4195" s="58">
        <f t="shared" si="204"/>
        <v>42882</v>
      </c>
      <c r="C4195" s="59">
        <f t="shared" si="205"/>
        <v>2017</v>
      </c>
      <c r="D4195" s="60" t="s">
        <v>362</v>
      </c>
      <c r="E4195" s="60" t="s">
        <v>362</v>
      </c>
      <c r="F4195" s="61">
        <v>18.418500000000002</v>
      </c>
    </row>
    <row r="4196" spans="1:6">
      <c r="A4196" s="65" t="s">
        <v>6775</v>
      </c>
      <c r="B4196" s="66">
        <f t="shared" si="204"/>
        <v>42883</v>
      </c>
      <c r="C4196" s="67">
        <f t="shared" si="205"/>
        <v>2017</v>
      </c>
      <c r="D4196" s="70" t="s">
        <v>362</v>
      </c>
      <c r="E4196" s="70" t="s">
        <v>362</v>
      </c>
      <c r="F4196" s="68">
        <v>18.418500000000002</v>
      </c>
    </row>
    <row r="4197" spans="1:6">
      <c r="A4197" s="57" t="s">
        <v>6776</v>
      </c>
      <c r="B4197" s="58">
        <f t="shared" si="204"/>
        <v>42884</v>
      </c>
      <c r="C4197" s="59">
        <f t="shared" si="205"/>
        <v>2017</v>
      </c>
      <c r="D4197" s="61">
        <v>18.5121</v>
      </c>
      <c r="E4197" s="61">
        <v>18.4849</v>
      </c>
      <c r="F4197" s="61">
        <v>18.418500000000002</v>
      </c>
    </row>
    <row r="4198" spans="1:6">
      <c r="A4198" s="65" t="s">
        <v>6777</v>
      </c>
      <c r="B4198" s="66">
        <f t="shared" si="204"/>
        <v>42885</v>
      </c>
      <c r="C4198" s="67">
        <f t="shared" si="205"/>
        <v>2017</v>
      </c>
      <c r="D4198" s="68">
        <v>18.664300000000001</v>
      </c>
      <c r="E4198" s="68">
        <v>18.5121</v>
      </c>
      <c r="F4198" s="68">
        <v>18.4849</v>
      </c>
    </row>
    <row r="4199" spans="1:6">
      <c r="A4199" s="57" t="s">
        <v>6778</v>
      </c>
      <c r="B4199" s="58">
        <f t="shared" si="204"/>
        <v>42886</v>
      </c>
      <c r="C4199" s="59">
        <f t="shared" si="205"/>
        <v>2017</v>
      </c>
      <c r="D4199" s="61">
        <v>18.690899999999999</v>
      </c>
      <c r="E4199" s="61">
        <v>18.664300000000001</v>
      </c>
      <c r="F4199" s="61">
        <v>18.5121</v>
      </c>
    </row>
    <row r="4200" spans="1:6">
      <c r="A4200" s="65" t="s">
        <v>6779</v>
      </c>
      <c r="B4200" s="66">
        <f t="shared" si="204"/>
        <v>42887</v>
      </c>
      <c r="C4200" s="67">
        <f t="shared" si="205"/>
        <v>2017</v>
      </c>
      <c r="D4200" s="68">
        <v>18.594100000000001</v>
      </c>
      <c r="E4200" s="68">
        <v>18.690899999999999</v>
      </c>
      <c r="F4200" s="68">
        <v>18.664300000000001</v>
      </c>
    </row>
    <row r="4201" spans="1:6">
      <c r="A4201" s="57" t="s">
        <v>6780</v>
      </c>
      <c r="B4201" s="58">
        <f t="shared" si="204"/>
        <v>42888</v>
      </c>
      <c r="C4201" s="59">
        <f t="shared" si="205"/>
        <v>2017</v>
      </c>
      <c r="D4201" s="61">
        <v>18.6204</v>
      </c>
      <c r="E4201" s="61">
        <v>18.594100000000001</v>
      </c>
      <c r="F4201" s="61">
        <v>18.690899999999999</v>
      </c>
    </row>
    <row r="4202" spans="1:6">
      <c r="A4202" s="65" t="s">
        <v>6781</v>
      </c>
      <c r="B4202" s="66">
        <f t="shared" si="204"/>
        <v>42889</v>
      </c>
      <c r="C4202" s="67">
        <f t="shared" si="205"/>
        <v>2017</v>
      </c>
      <c r="D4202" s="70" t="s">
        <v>362</v>
      </c>
      <c r="E4202" s="70" t="s">
        <v>362</v>
      </c>
      <c r="F4202" s="68">
        <v>18.594100000000001</v>
      </c>
    </row>
    <row r="4203" spans="1:6">
      <c r="A4203" s="57" t="s">
        <v>6782</v>
      </c>
      <c r="B4203" s="58">
        <f t="shared" si="204"/>
        <v>42890</v>
      </c>
      <c r="C4203" s="59">
        <f t="shared" si="205"/>
        <v>2017</v>
      </c>
      <c r="D4203" s="60" t="s">
        <v>362</v>
      </c>
      <c r="E4203" s="60" t="s">
        <v>362</v>
      </c>
      <c r="F4203" s="61">
        <v>18.594100000000001</v>
      </c>
    </row>
    <row r="4204" spans="1:6">
      <c r="A4204" s="65" t="s">
        <v>6783</v>
      </c>
      <c r="B4204" s="66">
        <f t="shared" si="204"/>
        <v>42891</v>
      </c>
      <c r="C4204" s="67">
        <f t="shared" si="205"/>
        <v>2017</v>
      </c>
      <c r="D4204" s="68">
        <v>18.381900000000002</v>
      </c>
      <c r="E4204" s="68">
        <v>18.6204</v>
      </c>
      <c r="F4204" s="68">
        <v>18.594100000000001</v>
      </c>
    </row>
    <row r="4205" spans="1:6">
      <c r="A4205" s="57" t="s">
        <v>6784</v>
      </c>
      <c r="B4205" s="58">
        <f t="shared" si="204"/>
        <v>42892</v>
      </c>
      <c r="C4205" s="59">
        <f t="shared" si="205"/>
        <v>2017</v>
      </c>
      <c r="D4205" s="61">
        <v>18.276199999999999</v>
      </c>
      <c r="E4205" s="61">
        <v>18.381900000000002</v>
      </c>
      <c r="F4205" s="61">
        <v>18.6204</v>
      </c>
    </row>
    <row r="4206" spans="1:6">
      <c r="A4206" s="65" t="s">
        <v>6785</v>
      </c>
      <c r="B4206" s="66">
        <f t="shared" si="204"/>
        <v>42893</v>
      </c>
      <c r="C4206" s="67">
        <f t="shared" si="205"/>
        <v>2017</v>
      </c>
      <c r="D4206" s="68">
        <v>18.227799999999998</v>
      </c>
      <c r="E4206" s="68">
        <v>18.276199999999999</v>
      </c>
      <c r="F4206" s="68">
        <v>18.381900000000002</v>
      </c>
    </row>
    <row r="4207" spans="1:6">
      <c r="A4207" s="57" t="s">
        <v>6786</v>
      </c>
      <c r="B4207" s="58">
        <f t="shared" si="204"/>
        <v>42894</v>
      </c>
      <c r="C4207" s="59">
        <f t="shared" si="205"/>
        <v>2017</v>
      </c>
      <c r="D4207" s="61">
        <v>18.194600000000001</v>
      </c>
      <c r="E4207" s="61">
        <v>18.227799999999998</v>
      </c>
      <c r="F4207" s="61">
        <v>18.276199999999999</v>
      </c>
    </row>
    <row r="4208" spans="1:6">
      <c r="A4208" s="65" t="s">
        <v>6787</v>
      </c>
      <c r="B4208" s="66">
        <f t="shared" si="204"/>
        <v>42895</v>
      </c>
      <c r="C4208" s="67">
        <f t="shared" si="205"/>
        <v>2017</v>
      </c>
      <c r="D4208" s="68">
        <v>18.193899999999999</v>
      </c>
      <c r="E4208" s="68">
        <v>18.194600000000001</v>
      </c>
      <c r="F4208" s="68">
        <v>18.227799999999998</v>
      </c>
    </row>
    <row r="4209" spans="1:6">
      <c r="A4209" s="57" t="s">
        <v>6788</v>
      </c>
      <c r="B4209" s="58">
        <f t="shared" si="204"/>
        <v>42896</v>
      </c>
      <c r="C4209" s="59">
        <f t="shared" si="205"/>
        <v>2017</v>
      </c>
      <c r="D4209" s="60" t="s">
        <v>362</v>
      </c>
      <c r="E4209" s="60" t="s">
        <v>362</v>
      </c>
      <c r="F4209" s="61">
        <v>18.194600000000001</v>
      </c>
    </row>
    <row r="4210" spans="1:6">
      <c r="A4210" s="65" t="s">
        <v>6789</v>
      </c>
      <c r="B4210" s="66">
        <f t="shared" si="204"/>
        <v>42897</v>
      </c>
      <c r="C4210" s="67">
        <f t="shared" si="205"/>
        <v>2017</v>
      </c>
      <c r="D4210" s="70" t="s">
        <v>362</v>
      </c>
      <c r="E4210" s="70" t="s">
        <v>362</v>
      </c>
      <c r="F4210" s="68">
        <v>18.194600000000001</v>
      </c>
    </row>
    <row r="4211" spans="1:6">
      <c r="A4211" s="57" t="s">
        <v>6790</v>
      </c>
      <c r="B4211" s="58">
        <f t="shared" si="204"/>
        <v>42898</v>
      </c>
      <c r="C4211" s="59">
        <f t="shared" si="205"/>
        <v>2017</v>
      </c>
      <c r="D4211" s="61">
        <v>18.180199999999999</v>
      </c>
      <c r="E4211" s="61">
        <v>18.193899999999999</v>
      </c>
      <c r="F4211" s="61">
        <v>18.194600000000001</v>
      </c>
    </row>
    <row r="4212" spans="1:6">
      <c r="A4212" s="65" t="s">
        <v>6791</v>
      </c>
      <c r="B4212" s="66">
        <f t="shared" si="204"/>
        <v>42899</v>
      </c>
      <c r="C4212" s="67">
        <f t="shared" si="205"/>
        <v>2017</v>
      </c>
      <c r="D4212" s="68">
        <v>18.072500000000002</v>
      </c>
      <c r="E4212" s="68">
        <v>18.180199999999999</v>
      </c>
      <c r="F4212" s="68">
        <v>18.193899999999999</v>
      </c>
    </row>
    <row r="4213" spans="1:6">
      <c r="A4213" s="57" t="s">
        <v>6792</v>
      </c>
      <c r="B4213" s="58">
        <f t="shared" si="204"/>
        <v>42900</v>
      </c>
      <c r="C4213" s="59">
        <f t="shared" si="205"/>
        <v>2017</v>
      </c>
      <c r="D4213" s="61">
        <v>17.9343</v>
      </c>
      <c r="E4213" s="61">
        <v>18.072500000000002</v>
      </c>
      <c r="F4213" s="61">
        <v>18.180199999999999</v>
      </c>
    </row>
    <row r="4214" spans="1:6">
      <c r="A4214" s="65" t="s">
        <v>6793</v>
      </c>
      <c r="B4214" s="66">
        <f t="shared" si="204"/>
        <v>42901</v>
      </c>
      <c r="C4214" s="67">
        <f t="shared" si="205"/>
        <v>2017</v>
      </c>
      <c r="D4214" s="68">
        <v>18.115400000000001</v>
      </c>
      <c r="E4214" s="68">
        <v>17.9343</v>
      </c>
      <c r="F4214" s="68">
        <v>18.072500000000002</v>
      </c>
    </row>
    <row r="4215" spans="1:6">
      <c r="A4215" s="57" t="s">
        <v>6794</v>
      </c>
      <c r="B4215" s="58">
        <f t="shared" si="204"/>
        <v>42902</v>
      </c>
      <c r="C4215" s="59">
        <f t="shared" si="205"/>
        <v>2017</v>
      </c>
      <c r="D4215" s="61">
        <v>17.932099999999998</v>
      </c>
      <c r="E4215" s="61">
        <v>18.115400000000001</v>
      </c>
      <c r="F4215" s="61">
        <v>17.9343</v>
      </c>
    </row>
    <row r="4216" spans="1:6">
      <c r="A4216" s="65" t="s">
        <v>6795</v>
      </c>
      <c r="B4216" s="66">
        <f t="shared" si="204"/>
        <v>42903</v>
      </c>
      <c r="C4216" s="67">
        <f t="shared" si="205"/>
        <v>2017</v>
      </c>
      <c r="D4216" s="70" t="s">
        <v>362</v>
      </c>
      <c r="E4216" s="70" t="s">
        <v>362</v>
      </c>
      <c r="F4216" s="68">
        <v>18.115400000000001</v>
      </c>
    </row>
    <row r="4217" spans="1:6">
      <c r="A4217" s="57" t="s">
        <v>6796</v>
      </c>
      <c r="B4217" s="58">
        <f t="shared" si="204"/>
        <v>42904</v>
      </c>
      <c r="C4217" s="59">
        <f t="shared" si="205"/>
        <v>2017</v>
      </c>
      <c r="D4217" s="60" t="s">
        <v>362</v>
      </c>
      <c r="E4217" s="60" t="s">
        <v>362</v>
      </c>
      <c r="F4217" s="61">
        <v>18.115400000000001</v>
      </c>
    </row>
    <row r="4218" spans="1:6">
      <c r="A4218" s="65" t="s">
        <v>6797</v>
      </c>
      <c r="B4218" s="66">
        <f t="shared" si="204"/>
        <v>42905</v>
      </c>
      <c r="C4218" s="67">
        <f t="shared" si="205"/>
        <v>2017</v>
      </c>
      <c r="D4218" s="68">
        <v>17.951899999999998</v>
      </c>
      <c r="E4218" s="68">
        <v>17.932099999999998</v>
      </c>
      <c r="F4218" s="68">
        <v>18.115400000000001</v>
      </c>
    </row>
    <row r="4219" spans="1:6">
      <c r="A4219" s="57" t="s">
        <v>6798</v>
      </c>
      <c r="B4219" s="58">
        <f t="shared" si="204"/>
        <v>42906</v>
      </c>
      <c r="C4219" s="59">
        <f t="shared" si="205"/>
        <v>2017</v>
      </c>
      <c r="D4219" s="61">
        <v>18.116700000000002</v>
      </c>
      <c r="E4219" s="61">
        <v>17.951899999999998</v>
      </c>
      <c r="F4219" s="61">
        <v>17.932099999999998</v>
      </c>
    </row>
    <row r="4220" spans="1:6">
      <c r="A4220" s="65" t="s">
        <v>6799</v>
      </c>
      <c r="B4220" s="66">
        <f t="shared" si="204"/>
        <v>42907</v>
      </c>
      <c r="C4220" s="67">
        <f t="shared" si="205"/>
        <v>2017</v>
      </c>
      <c r="D4220" s="68">
        <v>18.157</v>
      </c>
      <c r="E4220" s="68">
        <v>18.116700000000002</v>
      </c>
      <c r="F4220" s="68">
        <v>17.951899999999998</v>
      </c>
    </row>
    <row r="4221" spans="1:6">
      <c r="A4221" s="57" t="s">
        <v>6800</v>
      </c>
      <c r="B4221" s="58">
        <f t="shared" si="204"/>
        <v>42908</v>
      </c>
      <c r="C4221" s="59">
        <f t="shared" si="205"/>
        <v>2017</v>
      </c>
      <c r="D4221" s="61">
        <v>18.126999999999999</v>
      </c>
      <c r="E4221" s="61">
        <v>18.157</v>
      </c>
      <c r="F4221" s="61">
        <v>18.116700000000002</v>
      </c>
    </row>
    <row r="4222" spans="1:6">
      <c r="A4222" s="65" t="s">
        <v>6801</v>
      </c>
      <c r="B4222" s="66">
        <f t="shared" si="204"/>
        <v>42909</v>
      </c>
      <c r="C4222" s="67">
        <f t="shared" si="205"/>
        <v>2017</v>
      </c>
      <c r="D4222" s="68">
        <v>17.989999999999998</v>
      </c>
      <c r="E4222" s="68">
        <v>18.126999999999999</v>
      </c>
      <c r="F4222" s="68">
        <v>18.157</v>
      </c>
    </row>
    <row r="4223" spans="1:6">
      <c r="A4223" s="57" t="s">
        <v>6802</v>
      </c>
      <c r="B4223" s="58">
        <f t="shared" si="204"/>
        <v>42910</v>
      </c>
      <c r="C4223" s="59">
        <f t="shared" si="205"/>
        <v>2017</v>
      </c>
      <c r="D4223" s="60" t="s">
        <v>362</v>
      </c>
      <c r="E4223" s="60" t="s">
        <v>362</v>
      </c>
      <c r="F4223" s="61">
        <v>18.126999999999999</v>
      </c>
    </row>
    <row r="4224" spans="1:6">
      <c r="A4224" s="65" t="s">
        <v>6803</v>
      </c>
      <c r="B4224" s="66">
        <f t="shared" si="204"/>
        <v>42911</v>
      </c>
      <c r="C4224" s="67">
        <f t="shared" si="205"/>
        <v>2017</v>
      </c>
      <c r="D4224" s="70" t="s">
        <v>362</v>
      </c>
      <c r="E4224" s="70" t="s">
        <v>362</v>
      </c>
      <c r="F4224" s="68">
        <v>18.126999999999999</v>
      </c>
    </row>
    <row r="4225" spans="1:6">
      <c r="A4225" s="57" t="s">
        <v>6804</v>
      </c>
      <c r="B4225" s="58">
        <f t="shared" si="204"/>
        <v>42912</v>
      </c>
      <c r="C4225" s="59">
        <f t="shared" si="205"/>
        <v>2017</v>
      </c>
      <c r="D4225" s="61">
        <v>17.877500000000001</v>
      </c>
      <c r="E4225" s="61">
        <v>17.989999999999998</v>
      </c>
      <c r="F4225" s="61">
        <v>18.126999999999999</v>
      </c>
    </row>
    <row r="4226" spans="1:6">
      <c r="A4226" s="65" t="s">
        <v>6805</v>
      </c>
      <c r="B4226" s="66">
        <f t="shared" si="204"/>
        <v>42913</v>
      </c>
      <c r="C4226" s="67">
        <f t="shared" si="205"/>
        <v>2017</v>
      </c>
      <c r="D4226" s="68">
        <v>17.9862</v>
      </c>
      <c r="E4226" s="68">
        <v>17.877500000000001</v>
      </c>
      <c r="F4226" s="68">
        <v>17.989999999999998</v>
      </c>
    </row>
    <row r="4227" spans="1:6">
      <c r="A4227" s="57" t="s">
        <v>6806</v>
      </c>
      <c r="B4227" s="58">
        <f t="shared" si="204"/>
        <v>42914</v>
      </c>
      <c r="C4227" s="59">
        <f t="shared" si="205"/>
        <v>2017</v>
      </c>
      <c r="D4227" s="61">
        <v>17.897300000000001</v>
      </c>
      <c r="E4227" s="61">
        <v>17.9862</v>
      </c>
      <c r="F4227" s="61">
        <v>17.877500000000001</v>
      </c>
    </row>
    <row r="4228" spans="1:6">
      <c r="A4228" s="65" t="s">
        <v>6807</v>
      </c>
      <c r="B4228" s="66">
        <f t="shared" si="204"/>
        <v>42915</v>
      </c>
      <c r="C4228" s="67">
        <f t="shared" si="205"/>
        <v>2017</v>
      </c>
      <c r="D4228" s="68">
        <v>18.027899999999999</v>
      </c>
      <c r="E4228" s="68">
        <v>17.897300000000001</v>
      </c>
      <c r="F4228" s="68">
        <v>17.9862</v>
      </c>
    </row>
    <row r="4229" spans="1:6">
      <c r="A4229" s="57" t="s">
        <v>6808</v>
      </c>
      <c r="B4229" s="58">
        <f t="shared" si="204"/>
        <v>42916</v>
      </c>
      <c r="C4229" s="59">
        <f t="shared" si="205"/>
        <v>2017</v>
      </c>
      <c r="D4229" s="61">
        <v>18.0626</v>
      </c>
      <c r="E4229" s="61">
        <v>18.027899999999999</v>
      </c>
      <c r="F4229" s="61">
        <v>17.897300000000001</v>
      </c>
    </row>
    <row r="4230" spans="1:6">
      <c r="A4230" s="65" t="s">
        <v>6809</v>
      </c>
      <c r="B4230" s="66">
        <f t="shared" si="204"/>
        <v>42917</v>
      </c>
      <c r="C4230" s="67">
        <f t="shared" si="205"/>
        <v>2017</v>
      </c>
      <c r="D4230" s="70" t="s">
        <v>362</v>
      </c>
      <c r="E4230" s="70" t="s">
        <v>362</v>
      </c>
      <c r="F4230" s="68">
        <v>18.027899999999999</v>
      </c>
    </row>
    <row r="4231" spans="1:6">
      <c r="A4231" s="57" t="s">
        <v>6810</v>
      </c>
      <c r="B4231" s="58">
        <f t="shared" si="204"/>
        <v>42918</v>
      </c>
      <c r="C4231" s="59">
        <f t="shared" si="205"/>
        <v>2017</v>
      </c>
      <c r="D4231" s="60" t="s">
        <v>362</v>
      </c>
      <c r="E4231" s="60" t="s">
        <v>362</v>
      </c>
      <c r="F4231" s="61">
        <v>18.027899999999999</v>
      </c>
    </row>
    <row r="4232" spans="1:6">
      <c r="A4232" s="65" t="s">
        <v>6811</v>
      </c>
      <c r="B4232" s="66">
        <f t="shared" si="204"/>
        <v>42919</v>
      </c>
      <c r="C4232" s="67">
        <f t="shared" si="205"/>
        <v>2017</v>
      </c>
      <c r="D4232" s="68">
        <v>18.206399999999999</v>
      </c>
      <c r="E4232" s="68">
        <v>18.0626</v>
      </c>
      <c r="F4232" s="68">
        <v>18.027899999999999</v>
      </c>
    </row>
    <row r="4233" spans="1:6">
      <c r="A4233" s="57" t="s">
        <v>6812</v>
      </c>
      <c r="B4233" s="58">
        <f t="shared" si="204"/>
        <v>42920</v>
      </c>
      <c r="C4233" s="59">
        <f t="shared" si="205"/>
        <v>2017</v>
      </c>
      <c r="D4233" s="61">
        <v>18.203600000000002</v>
      </c>
      <c r="E4233" s="61">
        <v>18.206399999999999</v>
      </c>
      <c r="F4233" s="61">
        <v>18.0626</v>
      </c>
    </row>
    <row r="4234" spans="1:6">
      <c r="A4234" s="65" t="s">
        <v>6813</v>
      </c>
      <c r="B4234" s="66">
        <f t="shared" si="204"/>
        <v>42921</v>
      </c>
      <c r="C4234" s="67">
        <f t="shared" si="205"/>
        <v>2017</v>
      </c>
      <c r="D4234" s="68">
        <v>18.355599999999999</v>
      </c>
      <c r="E4234" s="68">
        <v>18.203600000000002</v>
      </c>
      <c r="F4234" s="68">
        <v>18.206399999999999</v>
      </c>
    </row>
    <row r="4235" spans="1:6">
      <c r="A4235" s="57" t="s">
        <v>6814</v>
      </c>
      <c r="B4235" s="58">
        <f t="shared" si="204"/>
        <v>42922</v>
      </c>
      <c r="C4235" s="59">
        <f t="shared" si="205"/>
        <v>2017</v>
      </c>
      <c r="D4235" s="61">
        <v>18.322700000000001</v>
      </c>
      <c r="E4235" s="61">
        <v>18.355599999999999</v>
      </c>
      <c r="F4235" s="61">
        <v>18.203600000000002</v>
      </c>
    </row>
    <row r="4236" spans="1:6">
      <c r="A4236" s="65" t="s">
        <v>6815</v>
      </c>
      <c r="B4236" s="66">
        <f t="shared" si="204"/>
        <v>42923</v>
      </c>
      <c r="C4236" s="67">
        <f t="shared" si="205"/>
        <v>2017</v>
      </c>
      <c r="D4236" s="68">
        <v>18.139399999999998</v>
      </c>
      <c r="E4236" s="68">
        <v>18.322700000000001</v>
      </c>
      <c r="F4236" s="68">
        <v>18.355599999999999</v>
      </c>
    </row>
    <row r="4237" spans="1:6">
      <c r="A4237" s="57" t="s">
        <v>6816</v>
      </c>
      <c r="B4237" s="58">
        <f t="shared" si="204"/>
        <v>42924</v>
      </c>
      <c r="C4237" s="59">
        <f t="shared" si="205"/>
        <v>2017</v>
      </c>
      <c r="D4237" s="60" t="s">
        <v>362</v>
      </c>
      <c r="E4237" s="60" t="s">
        <v>362</v>
      </c>
      <c r="F4237" s="61">
        <v>18.322700000000001</v>
      </c>
    </row>
    <row r="4238" spans="1:6">
      <c r="A4238" s="65" t="s">
        <v>6817</v>
      </c>
      <c r="B4238" s="66">
        <f t="shared" si="204"/>
        <v>42925</v>
      </c>
      <c r="C4238" s="67">
        <f t="shared" si="205"/>
        <v>2017</v>
      </c>
      <c r="D4238" s="70" t="s">
        <v>362</v>
      </c>
      <c r="E4238" s="70" t="s">
        <v>362</v>
      </c>
      <c r="F4238" s="68">
        <v>18.322700000000001</v>
      </c>
    </row>
    <row r="4239" spans="1:6">
      <c r="A4239" s="57" t="s">
        <v>6818</v>
      </c>
      <c r="B4239" s="58">
        <f t="shared" si="204"/>
        <v>42926</v>
      </c>
      <c r="C4239" s="59">
        <f t="shared" si="205"/>
        <v>2017</v>
      </c>
      <c r="D4239" s="61">
        <v>17.975100000000001</v>
      </c>
      <c r="E4239" s="61">
        <v>18.139399999999998</v>
      </c>
      <c r="F4239" s="61">
        <v>18.322700000000001</v>
      </c>
    </row>
    <row r="4240" spans="1:6">
      <c r="A4240" s="65" t="s">
        <v>6819</v>
      </c>
      <c r="B4240" s="66">
        <f t="shared" si="204"/>
        <v>42927</v>
      </c>
      <c r="C4240" s="67">
        <f t="shared" si="205"/>
        <v>2017</v>
      </c>
      <c r="D4240" s="68">
        <v>17.9482</v>
      </c>
      <c r="E4240" s="68">
        <v>17.975100000000001</v>
      </c>
      <c r="F4240" s="68">
        <v>18.139399999999998</v>
      </c>
    </row>
    <row r="4241" spans="1:6">
      <c r="A4241" s="57" t="s">
        <v>6820</v>
      </c>
      <c r="B4241" s="58">
        <f t="shared" si="204"/>
        <v>42928</v>
      </c>
      <c r="C4241" s="59">
        <f t="shared" si="205"/>
        <v>2017</v>
      </c>
      <c r="D4241" s="61">
        <v>17.770800000000001</v>
      </c>
      <c r="E4241" s="61">
        <v>17.9482</v>
      </c>
      <c r="F4241" s="61">
        <v>17.975100000000001</v>
      </c>
    </row>
    <row r="4242" spans="1:6">
      <c r="A4242" s="65" t="s">
        <v>6821</v>
      </c>
      <c r="B4242" s="66">
        <f t="shared" si="204"/>
        <v>42929</v>
      </c>
      <c r="C4242" s="67">
        <f t="shared" si="205"/>
        <v>2017</v>
      </c>
      <c r="D4242" s="68">
        <v>17.7422</v>
      </c>
      <c r="E4242" s="68">
        <v>17.770800000000001</v>
      </c>
      <c r="F4242" s="68">
        <v>17.9482</v>
      </c>
    </row>
    <row r="4243" spans="1:6">
      <c r="A4243" s="57" t="s">
        <v>6822</v>
      </c>
      <c r="B4243" s="58">
        <f t="shared" si="204"/>
        <v>42930</v>
      </c>
      <c r="C4243" s="59">
        <f t="shared" si="205"/>
        <v>2017</v>
      </c>
      <c r="D4243" s="61">
        <v>17.561299999999999</v>
      </c>
      <c r="E4243" s="61">
        <v>17.7422</v>
      </c>
      <c r="F4243" s="61">
        <v>17.770800000000001</v>
      </c>
    </row>
    <row r="4244" spans="1:6">
      <c r="A4244" s="65" t="s">
        <v>6823</v>
      </c>
      <c r="B4244" s="66">
        <f t="shared" si="204"/>
        <v>42931</v>
      </c>
      <c r="C4244" s="67">
        <f t="shared" si="205"/>
        <v>2017</v>
      </c>
      <c r="D4244" s="70" t="s">
        <v>362</v>
      </c>
      <c r="E4244" s="70" t="s">
        <v>362</v>
      </c>
      <c r="F4244" s="68">
        <v>17.7422</v>
      </c>
    </row>
    <row r="4245" spans="1:6">
      <c r="A4245" s="57" t="s">
        <v>6824</v>
      </c>
      <c r="B4245" s="58">
        <f t="shared" si="204"/>
        <v>42932</v>
      </c>
      <c r="C4245" s="59">
        <f t="shared" si="205"/>
        <v>2017</v>
      </c>
      <c r="D4245" s="60" t="s">
        <v>362</v>
      </c>
      <c r="E4245" s="60" t="s">
        <v>362</v>
      </c>
      <c r="F4245" s="61">
        <v>17.7422</v>
      </c>
    </row>
    <row r="4246" spans="1:6">
      <c r="A4246" s="65" t="s">
        <v>6825</v>
      </c>
      <c r="B4246" s="66">
        <f t="shared" si="204"/>
        <v>42933</v>
      </c>
      <c r="C4246" s="67">
        <f t="shared" si="205"/>
        <v>2017</v>
      </c>
      <c r="D4246" s="68">
        <v>17.583600000000001</v>
      </c>
      <c r="E4246" s="68">
        <v>17.561299999999999</v>
      </c>
      <c r="F4246" s="68">
        <v>17.7422</v>
      </c>
    </row>
    <row r="4247" spans="1:6">
      <c r="A4247" s="57" t="s">
        <v>6826</v>
      </c>
      <c r="B4247" s="58">
        <f t="shared" si="204"/>
        <v>42934</v>
      </c>
      <c r="C4247" s="59">
        <f t="shared" si="205"/>
        <v>2017</v>
      </c>
      <c r="D4247" s="61">
        <v>17.513400000000001</v>
      </c>
      <c r="E4247" s="61">
        <v>17.583600000000001</v>
      </c>
      <c r="F4247" s="61">
        <v>17.561299999999999</v>
      </c>
    </row>
    <row r="4248" spans="1:6">
      <c r="A4248" s="65" t="s">
        <v>6827</v>
      </c>
      <c r="B4248" s="66">
        <f t="shared" si="204"/>
        <v>42935</v>
      </c>
      <c r="C4248" s="67">
        <f t="shared" si="205"/>
        <v>2017</v>
      </c>
      <c r="D4248" s="68">
        <v>17.4937</v>
      </c>
      <c r="E4248" s="68">
        <v>17.513400000000001</v>
      </c>
      <c r="F4248" s="68">
        <v>17.583600000000001</v>
      </c>
    </row>
    <row r="4249" spans="1:6">
      <c r="A4249" s="57" t="s">
        <v>6828</v>
      </c>
      <c r="B4249" s="58">
        <f t="shared" si="204"/>
        <v>42936</v>
      </c>
      <c r="C4249" s="59">
        <f t="shared" si="205"/>
        <v>2017</v>
      </c>
      <c r="D4249" s="61">
        <v>17.526</v>
      </c>
      <c r="E4249" s="61">
        <v>17.4937</v>
      </c>
      <c r="F4249" s="61">
        <v>17.513400000000001</v>
      </c>
    </row>
    <row r="4250" spans="1:6">
      <c r="A4250" s="65" t="s">
        <v>6829</v>
      </c>
      <c r="B4250" s="66">
        <f t="shared" si="204"/>
        <v>42937</v>
      </c>
      <c r="C4250" s="67">
        <f t="shared" si="205"/>
        <v>2017</v>
      </c>
      <c r="D4250" s="68">
        <v>17.561800000000002</v>
      </c>
      <c r="E4250" s="68">
        <v>17.526</v>
      </c>
      <c r="F4250" s="68">
        <v>17.4937</v>
      </c>
    </row>
    <row r="4251" spans="1:6">
      <c r="A4251" s="57" t="s">
        <v>6830</v>
      </c>
      <c r="B4251" s="58">
        <f t="shared" si="204"/>
        <v>42938</v>
      </c>
      <c r="C4251" s="59">
        <f t="shared" si="205"/>
        <v>2017</v>
      </c>
      <c r="D4251" s="60" t="s">
        <v>362</v>
      </c>
      <c r="E4251" s="60" t="s">
        <v>362</v>
      </c>
      <c r="F4251" s="61">
        <v>17.526</v>
      </c>
    </row>
    <row r="4252" spans="1:6">
      <c r="A4252" s="65" t="s">
        <v>6831</v>
      </c>
      <c r="B4252" s="66">
        <f t="shared" si="204"/>
        <v>42939</v>
      </c>
      <c r="C4252" s="67">
        <f t="shared" si="205"/>
        <v>2017</v>
      </c>
      <c r="D4252" s="70" t="s">
        <v>362</v>
      </c>
      <c r="E4252" s="70" t="s">
        <v>362</v>
      </c>
      <c r="F4252" s="68">
        <v>17.526</v>
      </c>
    </row>
    <row r="4253" spans="1:6">
      <c r="A4253" s="57" t="s">
        <v>6832</v>
      </c>
      <c r="B4253" s="58">
        <f t="shared" si="204"/>
        <v>42940</v>
      </c>
      <c r="C4253" s="59">
        <f t="shared" si="205"/>
        <v>2017</v>
      </c>
      <c r="D4253" s="61">
        <v>17.689299999999999</v>
      </c>
      <c r="E4253" s="61">
        <v>17.561800000000002</v>
      </c>
      <c r="F4253" s="61">
        <v>17.526</v>
      </c>
    </row>
    <row r="4254" spans="1:6">
      <c r="A4254" s="65" t="s">
        <v>6833</v>
      </c>
      <c r="B4254" s="66">
        <f t="shared" si="204"/>
        <v>42941</v>
      </c>
      <c r="C4254" s="67">
        <f t="shared" si="205"/>
        <v>2017</v>
      </c>
      <c r="D4254" s="68">
        <v>17.749199999999998</v>
      </c>
      <c r="E4254" s="68">
        <v>17.689299999999999</v>
      </c>
      <c r="F4254" s="68">
        <v>17.561800000000002</v>
      </c>
    </row>
    <row r="4255" spans="1:6">
      <c r="A4255" s="57" t="s">
        <v>6834</v>
      </c>
      <c r="B4255" s="58">
        <f t="shared" ref="B4255:B4318" si="206">DATE(RIGHT(A4255,4),LEFT(RIGHT(A4255,7),2),LEFT(A4255,2))</f>
        <v>42942</v>
      </c>
      <c r="C4255" s="59">
        <f t="shared" ref="C4255:C4318" si="207">YEAR(B4255)</f>
        <v>2017</v>
      </c>
      <c r="D4255" s="61">
        <v>17.7561</v>
      </c>
      <c r="E4255" s="61">
        <v>17.749199999999998</v>
      </c>
      <c r="F4255" s="61">
        <v>17.689299999999999</v>
      </c>
    </row>
    <row r="4256" spans="1:6">
      <c r="A4256" s="65" t="s">
        <v>6835</v>
      </c>
      <c r="B4256" s="66">
        <f t="shared" si="206"/>
        <v>42943</v>
      </c>
      <c r="C4256" s="67">
        <f t="shared" si="207"/>
        <v>2017</v>
      </c>
      <c r="D4256" s="68">
        <v>17.688600000000001</v>
      </c>
      <c r="E4256" s="68">
        <v>17.7561</v>
      </c>
      <c r="F4256" s="68">
        <v>17.749199999999998</v>
      </c>
    </row>
    <row r="4257" spans="1:6">
      <c r="A4257" s="57" t="s">
        <v>6836</v>
      </c>
      <c r="B4257" s="58">
        <f t="shared" si="206"/>
        <v>42944</v>
      </c>
      <c r="C4257" s="59">
        <f t="shared" si="207"/>
        <v>2017</v>
      </c>
      <c r="D4257" s="61">
        <v>17.743500000000001</v>
      </c>
      <c r="E4257" s="61">
        <v>17.688600000000001</v>
      </c>
      <c r="F4257" s="61">
        <v>17.7561</v>
      </c>
    </row>
    <row r="4258" spans="1:6">
      <c r="A4258" s="65" t="s">
        <v>6837</v>
      </c>
      <c r="B4258" s="66">
        <f t="shared" si="206"/>
        <v>42945</v>
      </c>
      <c r="C4258" s="67">
        <f t="shared" si="207"/>
        <v>2017</v>
      </c>
      <c r="D4258" s="70" t="s">
        <v>362</v>
      </c>
      <c r="E4258" s="70" t="s">
        <v>362</v>
      </c>
      <c r="F4258" s="68">
        <v>17.688600000000001</v>
      </c>
    </row>
    <row r="4259" spans="1:6">
      <c r="A4259" s="57" t="s">
        <v>6838</v>
      </c>
      <c r="B4259" s="58">
        <f t="shared" si="206"/>
        <v>42946</v>
      </c>
      <c r="C4259" s="59">
        <f t="shared" si="207"/>
        <v>2017</v>
      </c>
      <c r="D4259" s="60" t="s">
        <v>362</v>
      </c>
      <c r="E4259" s="60" t="s">
        <v>362</v>
      </c>
      <c r="F4259" s="61">
        <v>17.688600000000001</v>
      </c>
    </row>
    <row r="4260" spans="1:6">
      <c r="A4260" s="65" t="s">
        <v>6839</v>
      </c>
      <c r="B4260" s="66">
        <f t="shared" si="206"/>
        <v>42947</v>
      </c>
      <c r="C4260" s="67">
        <f t="shared" si="207"/>
        <v>2017</v>
      </c>
      <c r="D4260" s="68">
        <v>17.864599999999999</v>
      </c>
      <c r="E4260" s="68">
        <v>17.743500000000001</v>
      </c>
      <c r="F4260" s="68">
        <v>17.688600000000001</v>
      </c>
    </row>
    <row r="4261" spans="1:6">
      <c r="A4261" s="57" t="s">
        <v>6840</v>
      </c>
      <c r="B4261" s="58">
        <f t="shared" si="206"/>
        <v>42948</v>
      </c>
      <c r="C4261" s="59">
        <f t="shared" si="207"/>
        <v>2017</v>
      </c>
      <c r="D4261" s="61">
        <v>17.8108</v>
      </c>
      <c r="E4261" s="61">
        <v>17.864599999999999</v>
      </c>
      <c r="F4261" s="61">
        <v>17.743500000000001</v>
      </c>
    </row>
    <row r="4262" spans="1:6">
      <c r="A4262" s="65" t="s">
        <v>6841</v>
      </c>
      <c r="B4262" s="66">
        <f t="shared" si="206"/>
        <v>42949</v>
      </c>
      <c r="C4262" s="67">
        <f t="shared" si="207"/>
        <v>2017</v>
      </c>
      <c r="D4262" s="68">
        <v>17.869599999999998</v>
      </c>
      <c r="E4262" s="68">
        <v>17.8108</v>
      </c>
      <c r="F4262" s="68">
        <v>17.864599999999999</v>
      </c>
    </row>
    <row r="4263" spans="1:6">
      <c r="A4263" s="57" t="s">
        <v>6842</v>
      </c>
      <c r="B4263" s="58">
        <f t="shared" si="206"/>
        <v>42950</v>
      </c>
      <c r="C4263" s="59">
        <f t="shared" si="207"/>
        <v>2017</v>
      </c>
      <c r="D4263" s="61">
        <v>17.8733</v>
      </c>
      <c r="E4263" s="61">
        <v>17.869599999999998</v>
      </c>
      <c r="F4263" s="61">
        <v>17.8108</v>
      </c>
    </row>
    <row r="4264" spans="1:6">
      <c r="A4264" s="65" t="s">
        <v>6843</v>
      </c>
      <c r="B4264" s="66">
        <f t="shared" si="206"/>
        <v>42951</v>
      </c>
      <c r="C4264" s="67">
        <f t="shared" si="207"/>
        <v>2017</v>
      </c>
      <c r="D4264" s="68">
        <v>17.879799999999999</v>
      </c>
      <c r="E4264" s="68">
        <v>17.8733</v>
      </c>
      <c r="F4264" s="68">
        <v>17.869599999999998</v>
      </c>
    </row>
    <row r="4265" spans="1:6">
      <c r="A4265" s="57" t="s">
        <v>6844</v>
      </c>
      <c r="B4265" s="58">
        <f t="shared" si="206"/>
        <v>42952</v>
      </c>
      <c r="C4265" s="59">
        <f t="shared" si="207"/>
        <v>2017</v>
      </c>
      <c r="D4265" s="60" t="s">
        <v>362</v>
      </c>
      <c r="E4265" s="60" t="s">
        <v>362</v>
      </c>
      <c r="F4265" s="61">
        <v>17.8733</v>
      </c>
    </row>
    <row r="4266" spans="1:6">
      <c r="A4266" s="65" t="s">
        <v>6845</v>
      </c>
      <c r="B4266" s="66">
        <f t="shared" si="206"/>
        <v>42953</v>
      </c>
      <c r="C4266" s="67">
        <f t="shared" si="207"/>
        <v>2017</v>
      </c>
      <c r="D4266" s="70" t="s">
        <v>362</v>
      </c>
      <c r="E4266" s="70" t="s">
        <v>362</v>
      </c>
      <c r="F4266" s="68">
        <v>17.8733</v>
      </c>
    </row>
    <row r="4267" spans="1:6">
      <c r="A4267" s="57" t="s">
        <v>6846</v>
      </c>
      <c r="B4267" s="58">
        <f t="shared" si="206"/>
        <v>42954</v>
      </c>
      <c r="C4267" s="59">
        <f t="shared" si="207"/>
        <v>2017</v>
      </c>
      <c r="D4267" s="61">
        <v>17.964099999999998</v>
      </c>
      <c r="E4267" s="61">
        <v>17.879799999999999</v>
      </c>
      <c r="F4267" s="61">
        <v>17.8733</v>
      </c>
    </row>
    <row r="4268" spans="1:6">
      <c r="A4268" s="65" t="s">
        <v>6847</v>
      </c>
      <c r="B4268" s="66">
        <f t="shared" si="206"/>
        <v>42955</v>
      </c>
      <c r="C4268" s="67">
        <f t="shared" si="207"/>
        <v>2017</v>
      </c>
      <c r="D4268" s="68">
        <v>17.916</v>
      </c>
      <c r="E4268" s="68">
        <v>17.964099999999998</v>
      </c>
      <c r="F4268" s="68">
        <v>17.879799999999999</v>
      </c>
    </row>
    <row r="4269" spans="1:6">
      <c r="A4269" s="57" t="s">
        <v>6848</v>
      </c>
      <c r="B4269" s="58">
        <f t="shared" si="206"/>
        <v>42956</v>
      </c>
      <c r="C4269" s="59">
        <f t="shared" si="207"/>
        <v>2017</v>
      </c>
      <c r="D4269" s="61">
        <v>17.967099999999999</v>
      </c>
      <c r="E4269" s="61">
        <v>17.916</v>
      </c>
      <c r="F4269" s="61">
        <v>17.964099999999998</v>
      </c>
    </row>
    <row r="4270" spans="1:6">
      <c r="A4270" s="65" t="s">
        <v>6849</v>
      </c>
      <c r="B4270" s="66">
        <f t="shared" si="206"/>
        <v>42957</v>
      </c>
      <c r="C4270" s="67">
        <f t="shared" si="207"/>
        <v>2017</v>
      </c>
      <c r="D4270" s="68">
        <v>17.907299999999999</v>
      </c>
      <c r="E4270" s="68">
        <v>17.967099999999999</v>
      </c>
      <c r="F4270" s="68">
        <v>17.916</v>
      </c>
    </row>
    <row r="4271" spans="1:6">
      <c r="A4271" s="57" t="s">
        <v>6850</v>
      </c>
      <c r="B4271" s="58">
        <f t="shared" si="206"/>
        <v>42958</v>
      </c>
      <c r="C4271" s="59">
        <f t="shared" si="207"/>
        <v>2017</v>
      </c>
      <c r="D4271" s="61">
        <v>17.847000000000001</v>
      </c>
      <c r="E4271" s="61">
        <v>17.907299999999999</v>
      </c>
      <c r="F4271" s="61">
        <v>17.967099999999999</v>
      </c>
    </row>
    <row r="4272" spans="1:6">
      <c r="A4272" s="65" t="s">
        <v>6851</v>
      </c>
      <c r="B4272" s="66">
        <f t="shared" si="206"/>
        <v>42959</v>
      </c>
      <c r="C4272" s="67">
        <f t="shared" si="207"/>
        <v>2017</v>
      </c>
      <c r="D4272" s="70" t="s">
        <v>362</v>
      </c>
      <c r="E4272" s="70" t="s">
        <v>362</v>
      </c>
      <c r="F4272" s="68">
        <v>17.907299999999999</v>
      </c>
    </row>
    <row r="4273" spans="1:6">
      <c r="A4273" s="57" t="s">
        <v>6852</v>
      </c>
      <c r="B4273" s="58">
        <f t="shared" si="206"/>
        <v>42960</v>
      </c>
      <c r="C4273" s="59">
        <f t="shared" si="207"/>
        <v>2017</v>
      </c>
      <c r="D4273" s="60" t="s">
        <v>362</v>
      </c>
      <c r="E4273" s="60" t="s">
        <v>362</v>
      </c>
      <c r="F4273" s="61">
        <v>17.907299999999999</v>
      </c>
    </row>
    <row r="4274" spans="1:6">
      <c r="A4274" s="65" t="s">
        <v>6853</v>
      </c>
      <c r="B4274" s="66">
        <f t="shared" si="206"/>
        <v>42961</v>
      </c>
      <c r="C4274" s="67">
        <f t="shared" si="207"/>
        <v>2017</v>
      </c>
      <c r="D4274" s="68">
        <v>17.775500000000001</v>
      </c>
      <c r="E4274" s="68">
        <v>17.847000000000001</v>
      </c>
      <c r="F4274" s="68">
        <v>17.907299999999999</v>
      </c>
    </row>
    <row r="4275" spans="1:6">
      <c r="A4275" s="57" t="s">
        <v>6854</v>
      </c>
      <c r="B4275" s="58">
        <f t="shared" si="206"/>
        <v>42962</v>
      </c>
      <c r="C4275" s="59">
        <f t="shared" si="207"/>
        <v>2017</v>
      </c>
      <c r="D4275" s="61">
        <v>17.848299999999998</v>
      </c>
      <c r="E4275" s="61">
        <v>17.775500000000001</v>
      </c>
      <c r="F4275" s="61">
        <v>17.847000000000001</v>
      </c>
    </row>
    <row r="4276" spans="1:6">
      <c r="A4276" s="65" t="s">
        <v>6855</v>
      </c>
      <c r="B4276" s="66">
        <f t="shared" si="206"/>
        <v>42963</v>
      </c>
      <c r="C4276" s="67">
        <f t="shared" si="207"/>
        <v>2017</v>
      </c>
      <c r="D4276" s="68">
        <v>17.716000000000001</v>
      </c>
      <c r="E4276" s="68">
        <v>17.848299999999998</v>
      </c>
      <c r="F4276" s="68">
        <v>17.775500000000001</v>
      </c>
    </row>
    <row r="4277" spans="1:6">
      <c r="A4277" s="57" t="s">
        <v>6856</v>
      </c>
      <c r="B4277" s="58">
        <f t="shared" si="206"/>
        <v>42964</v>
      </c>
      <c r="C4277" s="59">
        <f t="shared" si="207"/>
        <v>2017</v>
      </c>
      <c r="D4277" s="61">
        <v>17.732399999999998</v>
      </c>
      <c r="E4277" s="61">
        <v>17.716000000000001</v>
      </c>
      <c r="F4277" s="61">
        <v>17.848299999999998</v>
      </c>
    </row>
    <row r="4278" spans="1:6">
      <c r="A4278" s="65" t="s">
        <v>6857</v>
      </c>
      <c r="B4278" s="66">
        <f t="shared" si="206"/>
        <v>42965</v>
      </c>
      <c r="C4278" s="67">
        <f t="shared" si="207"/>
        <v>2017</v>
      </c>
      <c r="D4278" s="68">
        <v>17.8584</v>
      </c>
      <c r="E4278" s="68">
        <v>17.732399999999998</v>
      </c>
      <c r="F4278" s="68">
        <v>17.716000000000001</v>
      </c>
    </row>
    <row r="4279" spans="1:6">
      <c r="A4279" s="57" t="s">
        <v>6858</v>
      </c>
      <c r="B4279" s="58">
        <f t="shared" si="206"/>
        <v>42966</v>
      </c>
      <c r="C4279" s="59">
        <f t="shared" si="207"/>
        <v>2017</v>
      </c>
      <c r="D4279" s="60" t="s">
        <v>362</v>
      </c>
      <c r="E4279" s="60" t="s">
        <v>362</v>
      </c>
      <c r="F4279" s="61">
        <v>17.732399999999998</v>
      </c>
    </row>
    <row r="4280" spans="1:6">
      <c r="A4280" s="65" t="s">
        <v>6859</v>
      </c>
      <c r="B4280" s="66">
        <f t="shared" si="206"/>
        <v>42967</v>
      </c>
      <c r="C4280" s="67">
        <f t="shared" si="207"/>
        <v>2017</v>
      </c>
      <c r="D4280" s="70" t="s">
        <v>362</v>
      </c>
      <c r="E4280" s="70" t="s">
        <v>362</v>
      </c>
      <c r="F4280" s="68">
        <v>17.732399999999998</v>
      </c>
    </row>
    <row r="4281" spans="1:6">
      <c r="A4281" s="57" t="s">
        <v>6860</v>
      </c>
      <c r="B4281" s="58">
        <f t="shared" si="206"/>
        <v>42968</v>
      </c>
      <c r="C4281" s="59">
        <f t="shared" si="207"/>
        <v>2017</v>
      </c>
      <c r="D4281" s="61">
        <v>17.650099999999998</v>
      </c>
      <c r="E4281" s="61">
        <v>17.8584</v>
      </c>
      <c r="F4281" s="61">
        <v>17.732399999999998</v>
      </c>
    </row>
    <row r="4282" spans="1:6">
      <c r="A4282" s="65" t="s">
        <v>6861</v>
      </c>
      <c r="B4282" s="66">
        <f t="shared" si="206"/>
        <v>42969</v>
      </c>
      <c r="C4282" s="67">
        <f t="shared" si="207"/>
        <v>2017</v>
      </c>
      <c r="D4282" s="68">
        <v>17.645800000000001</v>
      </c>
      <c r="E4282" s="68">
        <v>17.650099999999998</v>
      </c>
      <c r="F4282" s="68">
        <v>17.8584</v>
      </c>
    </row>
    <row r="4283" spans="1:6">
      <c r="A4283" s="57" t="s">
        <v>6862</v>
      </c>
      <c r="B4283" s="58">
        <f t="shared" si="206"/>
        <v>42970</v>
      </c>
      <c r="C4283" s="59">
        <f t="shared" si="207"/>
        <v>2017</v>
      </c>
      <c r="D4283" s="61">
        <v>17.711300000000001</v>
      </c>
      <c r="E4283" s="61">
        <v>17.645800000000001</v>
      </c>
      <c r="F4283" s="61">
        <v>17.650099999999998</v>
      </c>
    </row>
    <row r="4284" spans="1:6">
      <c r="A4284" s="65" t="s">
        <v>6863</v>
      </c>
      <c r="B4284" s="66">
        <f t="shared" si="206"/>
        <v>42971</v>
      </c>
      <c r="C4284" s="67">
        <f t="shared" si="207"/>
        <v>2017</v>
      </c>
      <c r="D4284" s="68">
        <v>17.697700000000001</v>
      </c>
      <c r="E4284" s="68">
        <v>17.711300000000001</v>
      </c>
      <c r="F4284" s="68">
        <v>17.645800000000001</v>
      </c>
    </row>
    <row r="4285" spans="1:6">
      <c r="A4285" s="57" t="s">
        <v>6864</v>
      </c>
      <c r="B4285" s="58">
        <f t="shared" si="206"/>
        <v>42972</v>
      </c>
      <c r="C4285" s="59">
        <f t="shared" si="207"/>
        <v>2017</v>
      </c>
      <c r="D4285" s="61">
        <v>17.6205</v>
      </c>
      <c r="E4285" s="61">
        <v>17.697700000000001</v>
      </c>
      <c r="F4285" s="61">
        <v>17.711300000000001</v>
      </c>
    </row>
    <row r="4286" spans="1:6">
      <c r="A4286" s="65" t="s">
        <v>6865</v>
      </c>
      <c r="B4286" s="66">
        <f t="shared" si="206"/>
        <v>42973</v>
      </c>
      <c r="C4286" s="67">
        <f t="shared" si="207"/>
        <v>2017</v>
      </c>
      <c r="D4286" s="70" t="s">
        <v>362</v>
      </c>
      <c r="E4286" s="70" t="s">
        <v>362</v>
      </c>
      <c r="F4286" s="68">
        <v>17.697700000000001</v>
      </c>
    </row>
    <row r="4287" spans="1:6">
      <c r="A4287" s="57" t="s">
        <v>6866</v>
      </c>
      <c r="B4287" s="58">
        <f t="shared" si="206"/>
        <v>42974</v>
      </c>
      <c r="C4287" s="59">
        <f t="shared" si="207"/>
        <v>2017</v>
      </c>
      <c r="D4287" s="60" t="s">
        <v>362</v>
      </c>
      <c r="E4287" s="60" t="s">
        <v>362</v>
      </c>
      <c r="F4287" s="61">
        <v>17.697700000000001</v>
      </c>
    </row>
    <row r="4288" spans="1:6">
      <c r="A4288" s="65" t="s">
        <v>6867</v>
      </c>
      <c r="B4288" s="66">
        <f t="shared" si="206"/>
        <v>42975</v>
      </c>
      <c r="C4288" s="67">
        <f t="shared" si="207"/>
        <v>2017</v>
      </c>
      <c r="D4288" s="68">
        <v>17.8049</v>
      </c>
      <c r="E4288" s="68">
        <v>17.6205</v>
      </c>
      <c r="F4288" s="68">
        <v>17.697700000000001</v>
      </c>
    </row>
    <row r="4289" spans="1:6">
      <c r="A4289" s="57" t="s">
        <v>6868</v>
      </c>
      <c r="B4289" s="58">
        <f t="shared" si="206"/>
        <v>42976</v>
      </c>
      <c r="C4289" s="59">
        <f t="shared" si="207"/>
        <v>2017</v>
      </c>
      <c r="D4289" s="61">
        <v>17.876000000000001</v>
      </c>
      <c r="E4289" s="61">
        <v>17.8049</v>
      </c>
      <c r="F4289" s="61">
        <v>17.6205</v>
      </c>
    </row>
    <row r="4290" spans="1:6">
      <c r="A4290" s="65" t="s">
        <v>6869</v>
      </c>
      <c r="B4290" s="66">
        <f t="shared" si="206"/>
        <v>42977</v>
      </c>
      <c r="C4290" s="67">
        <f t="shared" si="207"/>
        <v>2017</v>
      </c>
      <c r="D4290" s="68">
        <v>17.775300000000001</v>
      </c>
      <c r="E4290" s="68">
        <v>17.876000000000001</v>
      </c>
      <c r="F4290" s="68">
        <v>17.8049</v>
      </c>
    </row>
    <row r="4291" spans="1:6">
      <c r="A4291" s="57" t="s">
        <v>6870</v>
      </c>
      <c r="B4291" s="58">
        <f t="shared" si="206"/>
        <v>42978</v>
      </c>
      <c r="C4291" s="59">
        <f t="shared" si="207"/>
        <v>2017</v>
      </c>
      <c r="D4291" s="61">
        <v>17.814499999999999</v>
      </c>
      <c r="E4291" s="61">
        <v>17.775300000000001</v>
      </c>
      <c r="F4291" s="61">
        <v>17.876000000000001</v>
      </c>
    </row>
    <row r="4292" spans="1:6">
      <c r="A4292" s="65" t="s">
        <v>6871</v>
      </c>
      <c r="B4292" s="66">
        <f t="shared" si="206"/>
        <v>42979</v>
      </c>
      <c r="C4292" s="67">
        <f t="shared" si="207"/>
        <v>2017</v>
      </c>
      <c r="D4292" s="68">
        <v>17.786100000000001</v>
      </c>
      <c r="E4292" s="68">
        <v>17.814499999999999</v>
      </c>
      <c r="F4292" s="68">
        <v>17.775300000000001</v>
      </c>
    </row>
    <row r="4293" spans="1:6">
      <c r="A4293" s="57" t="s">
        <v>6872</v>
      </c>
      <c r="B4293" s="58">
        <f t="shared" si="206"/>
        <v>42980</v>
      </c>
      <c r="C4293" s="59">
        <f t="shared" si="207"/>
        <v>2017</v>
      </c>
      <c r="D4293" s="60" t="s">
        <v>362</v>
      </c>
      <c r="E4293" s="60" t="s">
        <v>362</v>
      </c>
      <c r="F4293" s="61">
        <v>17.814499999999999</v>
      </c>
    </row>
    <row r="4294" spans="1:6">
      <c r="A4294" s="65" t="s">
        <v>6873</v>
      </c>
      <c r="B4294" s="66">
        <f t="shared" si="206"/>
        <v>42981</v>
      </c>
      <c r="C4294" s="67">
        <f t="shared" si="207"/>
        <v>2017</v>
      </c>
      <c r="D4294" s="70" t="s">
        <v>362</v>
      </c>
      <c r="E4294" s="70" t="s">
        <v>362</v>
      </c>
      <c r="F4294" s="68">
        <v>17.814499999999999</v>
      </c>
    </row>
    <row r="4295" spans="1:6">
      <c r="A4295" s="57" t="s">
        <v>6874</v>
      </c>
      <c r="B4295" s="58">
        <f t="shared" si="206"/>
        <v>42982</v>
      </c>
      <c r="C4295" s="59">
        <f t="shared" si="207"/>
        <v>2017</v>
      </c>
      <c r="D4295" s="61">
        <v>17.868300000000001</v>
      </c>
      <c r="E4295" s="61">
        <v>17.786100000000001</v>
      </c>
      <c r="F4295" s="61">
        <v>17.814499999999999</v>
      </c>
    </row>
    <row r="4296" spans="1:6">
      <c r="A4296" s="65" t="s">
        <v>6875</v>
      </c>
      <c r="B4296" s="66">
        <f t="shared" si="206"/>
        <v>42983</v>
      </c>
      <c r="C4296" s="67">
        <f t="shared" si="207"/>
        <v>2017</v>
      </c>
      <c r="D4296" s="68">
        <v>17.835999999999999</v>
      </c>
      <c r="E4296" s="68">
        <v>17.868300000000001</v>
      </c>
      <c r="F4296" s="68">
        <v>17.786100000000001</v>
      </c>
    </row>
    <row r="4297" spans="1:6">
      <c r="A4297" s="57" t="s">
        <v>6876</v>
      </c>
      <c r="B4297" s="58">
        <f t="shared" si="206"/>
        <v>42984</v>
      </c>
      <c r="C4297" s="59">
        <f t="shared" si="207"/>
        <v>2017</v>
      </c>
      <c r="D4297" s="61">
        <v>17.813600000000001</v>
      </c>
      <c r="E4297" s="61">
        <v>17.835999999999999</v>
      </c>
      <c r="F4297" s="61">
        <v>17.868300000000001</v>
      </c>
    </row>
    <row r="4298" spans="1:6">
      <c r="A4298" s="65" t="s">
        <v>6877</v>
      </c>
      <c r="B4298" s="66">
        <f t="shared" si="206"/>
        <v>42985</v>
      </c>
      <c r="C4298" s="67">
        <f t="shared" si="207"/>
        <v>2017</v>
      </c>
      <c r="D4298" s="68">
        <v>17.6965</v>
      </c>
      <c r="E4298" s="68">
        <v>17.813600000000001</v>
      </c>
      <c r="F4298" s="68">
        <v>17.835999999999999</v>
      </c>
    </row>
    <row r="4299" spans="1:6">
      <c r="A4299" s="57" t="s">
        <v>6878</v>
      </c>
      <c r="B4299" s="58">
        <f t="shared" si="206"/>
        <v>42986</v>
      </c>
      <c r="C4299" s="59">
        <f t="shared" si="207"/>
        <v>2017</v>
      </c>
      <c r="D4299" s="61">
        <v>17.7331</v>
      </c>
      <c r="E4299" s="61">
        <v>17.6965</v>
      </c>
      <c r="F4299" s="61">
        <v>17.813600000000001</v>
      </c>
    </row>
    <row r="4300" spans="1:6">
      <c r="A4300" s="65" t="s">
        <v>6879</v>
      </c>
      <c r="B4300" s="66">
        <f t="shared" si="206"/>
        <v>42987</v>
      </c>
      <c r="C4300" s="67">
        <f t="shared" si="207"/>
        <v>2017</v>
      </c>
      <c r="D4300" s="70" t="s">
        <v>362</v>
      </c>
      <c r="E4300" s="70" t="s">
        <v>362</v>
      </c>
      <c r="F4300" s="68">
        <v>17.6965</v>
      </c>
    </row>
    <row r="4301" spans="1:6">
      <c r="A4301" s="57" t="s">
        <v>6880</v>
      </c>
      <c r="B4301" s="58">
        <f t="shared" si="206"/>
        <v>42988</v>
      </c>
      <c r="C4301" s="59">
        <f t="shared" si="207"/>
        <v>2017</v>
      </c>
      <c r="D4301" s="60" t="s">
        <v>362</v>
      </c>
      <c r="E4301" s="60" t="s">
        <v>362</v>
      </c>
      <c r="F4301" s="61">
        <v>17.6965</v>
      </c>
    </row>
    <row r="4302" spans="1:6">
      <c r="A4302" s="65" t="s">
        <v>6881</v>
      </c>
      <c r="B4302" s="66">
        <f t="shared" si="206"/>
        <v>42989</v>
      </c>
      <c r="C4302" s="67">
        <f t="shared" si="207"/>
        <v>2017</v>
      </c>
      <c r="D4302" s="68">
        <v>17.644300000000001</v>
      </c>
      <c r="E4302" s="68">
        <v>17.7331</v>
      </c>
      <c r="F4302" s="68">
        <v>17.6965</v>
      </c>
    </row>
    <row r="4303" spans="1:6">
      <c r="A4303" s="57" t="s">
        <v>6882</v>
      </c>
      <c r="B4303" s="58">
        <f t="shared" si="206"/>
        <v>42990</v>
      </c>
      <c r="C4303" s="59">
        <f t="shared" si="207"/>
        <v>2017</v>
      </c>
      <c r="D4303" s="61">
        <v>17.780999999999999</v>
      </c>
      <c r="E4303" s="61">
        <v>17.644300000000001</v>
      </c>
      <c r="F4303" s="61">
        <v>17.7331</v>
      </c>
    </row>
    <row r="4304" spans="1:6">
      <c r="A4304" s="65" t="s">
        <v>6883</v>
      </c>
      <c r="B4304" s="66">
        <f t="shared" si="206"/>
        <v>42991</v>
      </c>
      <c r="C4304" s="67">
        <f t="shared" si="207"/>
        <v>2017</v>
      </c>
      <c r="D4304" s="68">
        <v>17.7836</v>
      </c>
      <c r="E4304" s="68">
        <v>17.780999999999999</v>
      </c>
      <c r="F4304" s="68">
        <v>17.644300000000001</v>
      </c>
    </row>
    <row r="4305" spans="1:6">
      <c r="A4305" s="57" t="s">
        <v>6884</v>
      </c>
      <c r="B4305" s="58">
        <f t="shared" si="206"/>
        <v>42992</v>
      </c>
      <c r="C4305" s="59">
        <f t="shared" si="207"/>
        <v>2017</v>
      </c>
      <c r="D4305" s="61">
        <v>17.727799999999998</v>
      </c>
      <c r="E4305" s="61">
        <v>17.7836</v>
      </c>
      <c r="F4305" s="61">
        <v>17.780999999999999</v>
      </c>
    </row>
    <row r="4306" spans="1:6">
      <c r="A4306" s="65" t="s">
        <v>6885</v>
      </c>
      <c r="B4306" s="66">
        <f t="shared" si="206"/>
        <v>42993</v>
      </c>
      <c r="C4306" s="67">
        <f t="shared" si="207"/>
        <v>2017</v>
      </c>
      <c r="D4306" s="68">
        <v>17.685700000000001</v>
      </c>
      <c r="E4306" s="68">
        <v>17.727799999999998</v>
      </c>
      <c r="F4306" s="68">
        <v>17.7836</v>
      </c>
    </row>
    <row r="4307" spans="1:6">
      <c r="A4307" s="57" t="s">
        <v>6886</v>
      </c>
      <c r="B4307" s="58">
        <f t="shared" si="206"/>
        <v>42994</v>
      </c>
      <c r="C4307" s="59">
        <f t="shared" si="207"/>
        <v>2017</v>
      </c>
      <c r="D4307" s="60" t="s">
        <v>362</v>
      </c>
      <c r="E4307" s="60" t="s">
        <v>362</v>
      </c>
      <c r="F4307" s="61">
        <v>17.727799999999998</v>
      </c>
    </row>
    <row r="4308" spans="1:6">
      <c r="A4308" s="65" t="s">
        <v>6887</v>
      </c>
      <c r="B4308" s="66">
        <f t="shared" si="206"/>
        <v>42995</v>
      </c>
      <c r="C4308" s="67">
        <f t="shared" si="207"/>
        <v>2017</v>
      </c>
      <c r="D4308" s="70" t="s">
        <v>362</v>
      </c>
      <c r="E4308" s="70" t="s">
        <v>362</v>
      </c>
      <c r="F4308" s="68">
        <v>17.727799999999998</v>
      </c>
    </row>
    <row r="4309" spans="1:6">
      <c r="A4309" s="57" t="s">
        <v>6888</v>
      </c>
      <c r="B4309" s="58">
        <f t="shared" si="206"/>
        <v>42996</v>
      </c>
      <c r="C4309" s="59">
        <f t="shared" si="207"/>
        <v>2017</v>
      </c>
      <c r="D4309" s="61">
        <v>17.760999999999999</v>
      </c>
      <c r="E4309" s="61">
        <v>17.685700000000001</v>
      </c>
      <c r="F4309" s="61">
        <v>17.727799999999998</v>
      </c>
    </row>
    <row r="4310" spans="1:6">
      <c r="A4310" s="65" t="s">
        <v>6889</v>
      </c>
      <c r="B4310" s="66">
        <f t="shared" si="206"/>
        <v>42997</v>
      </c>
      <c r="C4310" s="67">
        <f t="shared" si="207"/>
        <v>2017</v>
      </c>
      <c r="D4310" s="68">
        <v>17.764299999999999</v>
      </c>
      <c r="E4310" s="68">
        <v>17.760999999999999</v>
      </c>
      <c r="F4310" s="68">
        <v>17.685700000000001</v>
      </c>
    </row>
    <row r="4311" spans="1:6">
      <c r="A4311" s="57" t="s">
        <v>6890</v>
      </c>
      <c r="B4311" s="58">
        <f t="shared" si="206"/>
        <v>42998</v>
      </c>
      <c r="C4311" s="59">
        <f t="shared" si="207"/>
        <v>2017</v>
      </c>
      <c r="D4311" s="61">
        <v>17.700900000000001</v>
      </c>
      <c r="E4311" s="61">
        <v>17.764299999999999</v>
      </c>
      <c r="F4311" s="61">
        <v>17.760999999999999</v>
      </c>
    </row>
    <row r="4312" spans="1:6">
      <c r="A4312" s="65" t="s">
        <v>6891</v>
      </c>
      <c r="B4312" s="66">
        <f t="shared" si="206"/>
        <v>42999</v>
      </c>
      <c r="C4312" s="67">
        <f t="shared" si="207"/>
        <v>2017</v>
      </c>
      <c r="D4312" s="68">
        <v>17.854500000000002</v>
      </c>
      <c r="E4312" s="68">
        <v>17.700900000000001</v>
      </c>
      <c r="F4312" s="68">
        <v>17.764299999999999</v>
      </c>
    </row>
    <row r="4313" spans="1:6">
      <c r="A4313" s="57" t="s">
        <v>6892</v>
      </c>
      <c r="B4313" s="58">
        <f t="shared" si="206"/>
        <v>43000</v>
      </c>
      <c r="C4313" s="59">
        <f t="shared" si="207"/>
        <v>2017</v>
      </c>
      <c r="D4313" s="61">
        <v>17.748699999999999</v>
      </c>
      <c r="E4313" s="61">
        <v>17.854500000000002</v>
      </c>
      <c r="F4313" s="61">
        <v>17.700900000000001</v>
      </c>
    </row>
    <row r="4314" spans="1:6">
      <c r="A4314" s="65" t="s">
        <v>6893</v>
      </c>
      <c r="B4314" s="66">
        <f t="shared" si="206"/>
        <v>43001</v>
      </c>
      <c r="C4314" s="67">
        <f t="shared" si="207"/>
        <v>2017</v>
      </c>
      <c r="D4314" s="70" t="s">
        <v>362</v>
      </c>
      <c r="E4314" s="70" t="s">
        <v>362</v>
      </c>
      <c r="F4314" s="68">
        <v>17.854500000000002</v>
      </c>
    </row>
    <row r="4315" spans="1:6">
      <c r="A4315" s="57" t="s">
        <v>6894</v>
      </c>
      <c r="B4315" s="58">
        <f t="shared" si="206"/>
        <v>43002</v>
      </c>
      <c r="C4315" s="59">
        <f t="shared" si="207"/>
        <v>2017</v>
      </c>
      <c r="D4315" s="60" t="s">
        <v>362</v>
      </c>
      <c r="E4315" s="60" t="s">
        <v>362</v>
      </c>
      <c r="F4315" s="61">
        <v>17.854500000000002</v>
      </c>
    </row>
    <row r="4316" spans="1:6">
      <c r="A4316" s="65" t="s">
        <v>6895</v>
      </c>
      <c r="B4316" s="66">
        <f t="shared" si="206"/>
        <v>43003</v>
      </c>
      <c r="C4316" s="67">
        <f t="shared" si="207"/>
        <v>2017</v>
      </c>
      <c r="D4316" s="68">
        <v>17.883099999999999</v>
      </c>
      <c r="E4316" s="68">
        <v>17.748699999999999</v>
      </c>
      <c r="F4316" s="68">
        <v>17.854500000000002</v>
      </c>
    </row>
    <row r="4317" spans="1:6">
      <c r="A4317" s="57" t="s">
        <v>6896</v>
      </c>
      <c r="B4317" s="58">
        <f t="shared" si="206"/>
        <v>43004</v>
      </c>
      <c r="C4317" s="59">
        <f t="shared" si="207"/>
        <v>2017</v>
      </c>
      <c r="D4317" s="61">
        <v>17.993300000000001</v>
      </c>
      <c r="E4317" s="61">
        <v>17.883099999999999</v>
      </c>
      <c r="F4317" s="61">
        <v>17.748699999999999</v>
      </c>
    </row>
    <row r="4318" spans="1:6">
      <c r="A4318" s="65" t="s">
        <v>6897</v>
      </c>
      <c r="B4318" s="66">
        <f t="shared" si="206"/>
        <v>43005</v>
      </c>
      <c r="C4318" s="67">
        <f t="shared" si="207"/>
        <v>2017</v>
      </c>
      <c r="D4318" s="68">
        <v>18.13</v>
      </c>
      <c r="E4318" s="68">
        <v>17.993300000000001</v>
      </c>
      <c r="F4318" s="68">
        <v>17.883099999999999</v>
      </c>
    </row>
    <row r="4319" spans="1:6">
      <c r="A4319" s="57" t="s">
        <v>6898</v>
      </c>
      <c r="B4319" s="58">
        <f t="shared" ref="B4319:B4382" si="208">DATE(RIGHT(A4319,4),LEFT(RIGHT(A4319,7),2),LEFT(A4319,2))</f>
        <v>43006</v>
      </c>
      <c r="C4319" s="59">
        <f t="shared" ref="C4319:C4382" si="209">YEAR(B4319)</f>
        <v>2017</v>
      </c>
      <c r="D4319" s="61">
        <v>18.197900000000001</v>
      </c>
      <c r="E4319" s="61">
        <v>18.13</v>
      </c>
      <c r="F4319" s="61">
        <v>17.993300000000001</v>
      </c>
    </row>
    <row r="4320" spans="1:6">
      <c r="A4320" s="65" t="s">
        <v>6899</v>
      </c>
      <c r="B4320" s="66">
        <f t="shared" si="208"/>
        <v>43007</v>
      </c>
      <c r="C4320" s="67">
        <f t="shared" si="209"/>
        <v>2017</v>
      </c>
      <c r="D4320" s="68">
        <v>18.158999999999999</v>
      </c>
      <c r="E4320" s="68">
        <v>18.197900000000001</v>
      </c>
      <c r="F4320" s="68">
        <v>18.13</v>
      </c>
    </row>
    <row r="4321" spans="1:6">
      <c r="A4321" s="57" t="s">
        <v>6900</v>
      </c>
      <c r="B4321" s="58">
        <f t="shared" si="208"/>
        <v>43008</v>
      </c>
      <c r="C4321" s="59">
        <f t="shared" si="209"/>
        <v>2017</v>
      </c>
      <c r="D4321" s="60" t="s">
        <v>362</v>
      </c>
      <c r="E4321" s="60" t="s">
        <v>362</v>
      </c>
      <c r="F4321" s="61">
        <v>18.197900000000001</v>
      </c>
    </row>
    <row r="4322" spans="1:6">
      <c r="A4322" s="65" t="s">
        <v>6901</v>
      </c>
      <c r="B4322" s="66">
        <f t="shared" si="208"/>
        <v>43009</v>
      </c>
      <c r="C4322" s="67">
        <f t="shared" si="209"/>
        <v>2017</v>
      </c>
      <c r="D4322" s="70" t="s">
        <v>362</v>
      </c>
      <c r="E4322" s="70" t="s">
        <v>362</v>
      </c>
      <c r="F4322" s="68">
        <v>18.197900000000001</v>
      </c>
    </row>
    <row r="4323" spans="1:6">
      <c r="A4323" s="57" t="s">
        <v>6902</v>
      </c>
      <c r="B4323" s="58">
        <f t="shared" si="208"/>
        <v>43010</v>
      </c>
      <c r="C4323" s="59">
        <f t="shared" si="209"/>
        <v>2017</v>
      </c>
      <c r="D4323" s="61">
        <v>18.233699999999999</v>
      </c>
      <c r="E4323" s="61">
        <v>18.158999999999999</v>
      </c>
      <c r="F4323" s="61">
        <v>18.197900000000001</v>
      </c>
    </row>
    <row r="4324" spans="1:6">
      <c r="A4324" s="65" t="s">
        <v>6903</v>
      </c>
      <c r="B4324" s="66">
        <f t="shared" si="208"/>
        <v>43011</v>
      </c>
      <c r="C4324" s="67">
        <f t="shared" si="209"/>
        <v>2017</v>
      </c>
      <c r="D4324" s="68">
        <v>18.211300000000001</v>
      </c>
      <c r="E4324" s="68">
        <v>18.233699999999999</v>
      </c>
      <c r="F4324" s="68">
        <v>18.158999999999999</v>
      </c>
    </row>
    <row r="4325" spans="1:6">
      <c r="A4325" s="57" t="s">
        <v>6904</v>
      </c>
      <c r="B4325" s="58">
        <f t="shared" si="208"/>
        <v>43012</v>
      </c>
      <c r="C4325" s="59">
        <f t="shared" si="209"/>
        <v>2017</v>
      </c>
      <c r="D4325" s="61">
        <v>18.228200000000001</v>
      </c>
      <c r="E4325" s="61">
        <v>18.211300000000001</v>
      </c>
      <c r="F4325" s="61">
        <v>18.233699999999999</v>
      </c>
    </row>
    <row r="4326" spans="1:6">
      <c r="A4326" s="65" t="s">
        <v>6905</v>
      </c>
      <c r="B4326" s="66">
        <f t="shared" si="208"/>
        <v>43013</v>
      </c>
      <c r="C4326" s="67">
        <f t="shared" si="209"/>
        <v>2017</v>
      </c>
      <c r="D4326" s="68">
        <v>18.306000000000001</v>
      </c>
      <c r="E4326" s="68">
        <v>18.228200000000001</v>
      </c>
      <c r="F4326" s="68">
        <v>18.211300000000001</v>
      </c>
    </row>
    <row r="4327" spans="1:6">
      <c r="A4327" s="57" t="s">
        <v>6906</v>
      </c>
      <c r="B4327" s="58">
        <f t="shared" si="208"/>
        <v>43014</v>
      </c>
      <c r="C4327" s="59">
        <f t="shared" si="209"/>
        <v>2017</v>
      </c>
      <c r="D4327" s="61">
        <v>18.552199999999999</v>
      </c>
      <c r="E4327" s="61">
        <v>18.306000000000001</v>
      </c>
      <c r="F4327" s="61">
        <v>18.228200000000001</v>
      </c>
    </row>
    <row r="4328" spans="1:6">
      <c r="A4328" s="65" t="s">
        <v>6907</v>
      </c>
      <c r="B4328" s="66">
        <f t="shared" si="208"/>
        <v>43015</v>
      </c>
      <c r="C4328" s="67">
        <f t="shared" si="209"/>
        <v>2017</v>
      </c>
      <c r="D4328" s="70" t="s">
        <v>362</v>
      </c>
      <c r="E4328" s="70" t="s">
        <v>362</v>
      </c>
      <c r="F4328" s="68">
        <v>18.306000000000001</v>
      </c>
    </row>
    <row r="4329" spans="1:6">
      <c r="A4329" s="57" t="s">
        <v>6908</v>
      </c>
      <c r="B4329" s="58">
        <f t="shared" si="208"/>
        <v>43016</v>
      </c>
      <c r="C4329" s="59">
        <f t="shared" si="209"/>
        <v>2017</v>
      </c>
      <c r="D4329" s="60" t="s">
        <v>362</v>
      </c>
      <c r="E4329" s="60" t="s">
        <v>362</v>
      </c>
      <c r="F4329" s="61">
        <v>18.306000000000001</v>
      </c>
    </row>
    <row r="4330" spans="1:6">
      <c r="A4330" s="65" t="s">
        <v>6909</v>
      </c>
      <c r="B4330" s="66">
        <f t="shared" si="208"/>
        <v>43017</v>
      </c>
      <c r="C4330" s="67">
        <f t="shared" si="209"/>
        <v>2017</v>
      </c>
      <c r="D4330" s="68">
        <v>18.6646</v>
      </c>
      <c r="E4330" s="68">
        <v>18.552199999999999</v>
      </c>
      <c r="F4330" s="68">
        <v>18.306000000000001</v>
      </c>
    </row>
    <row r="4331" spans="1:6">
      <c r="A4331" s="57" t="s">
        <v>6910</v>
      </c>
      <c r="B4331" s="58">
        <f t="shared" si="208"/>
        <v>43018</v>
      </c>
      <c r="C4331" s="59">
        <f t="shared" si="209"/>
        <v>2017</v>
      </c>
      <c r="D4331" s="61">
        <v>18.6327</v>
      </c>
      <c r="E4331" s="61">
        <v>18.6646</v>
      </c>
      <c r="F4331" s="61">
        <v>18.552199999999999</v>
      </c>
    </row>
    <row r="4332" spans="1:6">
      <c r="A4332" s="65" t="s">
        <v>6911</v>
      </c>
      <c r="B4332" s="66">
        <f t="shared" si="208"/>
        <v>43019</v>
      </c>
      <c r="C4332" s="67">
        <f t="shared" si="209"/>
        <v>2017</v>
      </c>
      <c r="D4332" s="68">
        <v>18.718</v>
      </c>
      <c r="E4332" s="68">
        <v>18.6327</v>
      </c>
      <c r="F4332" s="68">
        <v>18.6646</v>
      </c>
    </row>
    <row r="4333" spans="1:6">
      <c r="A4333" s="57" t="s">
        <v>6912</v>
      </c>
      <c r="B4333" s="58">
        <f t="shared" si="208"/>
        <v>43020</v>
      </c>
      <c r="C4333" s="59">
        <f t="shared" si="209"/>
        <v>2017</v>
      </c>
      <c r="D4333" s="61">
        <v>18.763100000000001</v>
      </c>
      <c r="E4333" s="61">
        <v>18.718</v>
      </c>
      <c r="F4333" s="61">
        <v>18.6327</v>
      </c>
    </row>
    <row r="4334" spans="1:6">
      <c r="A4334" s="65" t="s">
        <v>6913</v>
      </c>
      <c r="B4334" s="66">
        <f t="shared" si="208"/>
        <v>43021</v>
      </c>
      <c r="C4334" s="67">
        <f t="shared" si="209"/>
        <v>2017</v>
      </c>
      <c r="D4334" s="68">
        <v>18.9008</v>
      </c>
      <c r="E4334" s="68">
        <v>18.763100000000001</v>
      </c>
      <c r="F4334" s="68">
        <v>18.718</v>
      </c>
    </row>
    <row r="4335" spans="1:6">
      <c r="A4335" s="57" t="s">
        <v>6914</v>
      </c>
      <c r="B4335" s="58">
        <f t="shared" si="208"/>
        <v>43022</v>
      </c>
      <c r="C4335" s="59">
        <f t="shared" si="209"/>
        <v>2017</v>
      </c>
      <c r="D4335" s="60" t="s">
        <v>362</v>
      </c>
      <c r="E4335" s="60" t="s">
        <v>362</v>
      </c>
      <c r="F4335" s="61">
        <v>18.763100000000001</v>
      </c>
    </row>
    <row r="4336" spans="1:6">
      <c r="A4336" s="65" t="s">
        <v>6915</v>
      </c>
      <c r="B4336" s="66">
        <f t="shared" si="208"/>
        <v>43023</v>
      </c>
      <c r="C4336" s="67">
        <f t="shared" si="209"/>
        <v>2017</v>
      </c>
      <c r="D4336" s="70" t="s">
        <v>362</v>
      </c>
      <c r="E4336" s="70" t="s">
        <v>362</v>
      </c>
      <c r="F4336" s="68">
        <v>18.763100000000001</v>
      </c>
    </row>
    <row r="4337" spans="1:6">
      <c r="A4337" s="57" t="s">
        <v>6916</v>
      </c>
      <c r="B4337" s="58">
        <f t="shared" si="208"/>
        <v>43024</v>
      </c>
      <c r="C4337" s="59">
        <f t="shared" si="209"/>
        <v>2017</v>
      </c>
      <c r="D4337" s="61">
        <v>19.075299999999999</v>
      </c>
      <c r="E4337" s="61">
        <v>18.9008</v>
      </c>
      <c r="F4337" s="61">
        <v>18.763100000000001</v>
      </c>
    </row>
    <row r="4338" spans="1:6">
      <c r="A4338" s="65" t="s">
        <v>6917</v>
      </c>
      <c r="B4338" s="66">
        <f t="shared" si="208"/>
        <v>43025</v>
      </c>
      <c r="C4338" s="67">
        <f t="shared" si="209"/>
        <v>2017</v>
      </c>
      <c r="D4338" s="68">
        <v>19.011700000000001</v>
      </c>
      <c r="E4338" s="68">
        <v>19.075299999999999</v>
      </c>
      <c r="F4338" s="68">
        <v>18.9008</v>
      </c>
    </row>
    <row r="4339" spans="1:6">
      <c r="A4339" s="57" t="s">
        <v>6918</v>
      </c>
      <c r="B4339" s="58">
        <f t="shared" si="208"/>
        <v>43026</v>
      </c>
      <c r="C4339" s="59">
        <f t="shared" si="209"/>
        <v>2017</v>
      </c>
      <c r="D4339" s="61">
        <v>18.886900000000001</v>
      </c>
      <c r="E4339" s="61">
        <v>19.011700000000001</v>
      </c>
      <c r="F4339" s="61">
        <v>19.075299999999999</v>
      </c>
    </row>
    <row r="4340" spans="1:6">
      <c r="A4340" s="65" t="s">
        <v>6919</v>
      </c>
      <c r="B4340" s="66">
        <f t="shared" si="208"/>
        <v>43027</v>
      </c>
      <c r="C4340" s="67">
        <f t="shared" si="209"/>
        <v>2017</v>
      </c>
      <c r="D4340" s="68">
        <v>18.8248</v>
      </c>
      <c r="E4340" s="68">
        <v>18.886900000000001</v>
      </c>
      <c r="F4340" s="68">
        <v>19.011700000000001</v>
      </c>
    </row>
    <row r="4341" spans="1:6">
      <c r="A4341" s="57" t="s">
        <v>6920</v>
      </c>
      <c r="B4341" s="58">
        <f t="shared" si="208"/>
        <v>43028</v>
      </c>
      <c r="C4341" s="59">
        <f t="shared" si="209"/>
        <v>2017</v>
      </c>
      <c r="D4341" s="61">
        <v>19.007999999999999</v>
      </c>
      <c r="E4341" s="61">
        <v>18.8248</v>
      </c>
      <c r="F4341" s="61">
        <v>18.886900000000001</v>
      </c>
    </row>
    <row r="4342" spans="1:6">
      <c r="A4342" s="65" t="s">
        <v>6921</v>
      </c>
      <c r="B4342" s="66">
        <f t="shared" si="208"/>
        <v>43029</v>
      </c>
      <c r="C4342" s="67">
        <f t="shared" si="209"/>
        <v>2017</v>
      </c>
      <c r="D4342" s="70" t="s">
        <v>362</v>
      </c>
      <c r="E4342" s="70" t="s">
        <v>362</v>
      </c>
      <c r="F4342" s="68">
        <v>18.8248</v>
      </c>
    </row>
    <row r="4343" spans="1:6">
      <c r="A4343" s="57" t="s">
        <v>6922</v>
      </c>
      <c r="B4343" s="58">
        <f t="shared" si="208"/>
        <v>43030</v>
      </c>
      <c r="C4343" s="59">
        <f t="shared" si="209"/>
        <v>2017</v>
      </c>
      <c r="D4343" s="60" t="s">
        <v>362</v>
      </c>
      <c r="E4343" s="60" t="s">
        <v>362</v>
      </c>
      <c r="F4343" s="61">
        <v>18.8248</v>
      </c>
    </row>
    <row r="4344" spans="1:6">
      <c r="A4344" s="65" t="s">
        <v>6923</v>
      </c>
      <c r="B4344" s="66">
        <f t="shared" si="208"/>
        <v>43031</v>
      </c>
      <c r="C4344" s="67">
        <f t="shared" si="209"/>
        <v>2017</v>
      </c>
      <c r="D4344" s="68">
        <v>19.0489</v>
      </c>
      <c r="E4344" s="68">
        <v>19.007999999999999</v>
      </c>
      <c r="F4344" s="68">
        <v>18.8248</v>
      </c>
    </row>
    <row r="4345" spans="1:6">
      <c r="A4345" s="57" t="s">
        <v>6924</v>
      </c>
      <c r="B4345" s="58">
        <f t="shared" si="208"/>
        <v>43032</v>
      </c>
      <c r="C4345" s="59">
        <f t="shared" si="209"/>
        <v>2017</v>
      </c>
      <c r="D4345" s="61">
        <v>19.200900000000001</v>
      </c>
      <c r="E4345" s="61">
        <v>19.0489</v>
      </c>
      <c r="F4345" s="61">
        <v>19.007999999999999</v>
      </c>
    </row>
    <row r="4346" spans="1:6">
      <c r="A4346" s="65" t="s">
        <v>6925</v>
      </c>
      <c r="B4346" s="66">
        <f t="shared" si="208"/>
        <v>43033</v>
      </c>
      <c r="C4346" s="67">
        <f t="shared" si="209"/>
        <v>2017</v>
      </c>
      <c r="D4346" s="68">
        <v>19.077000000000002</v>
      </c>
      <c r="E4346" s="68">
        <v>19.200900000000001</v>
      </c>
      <c r="F4346" s="68">
        <v>19.0489</v>
      </c>
    </row>
    <row r="4347" spans="1:6">
      <c r="A4347" s="57" t="s">
        <v>6926</v>
      </c>
      <c r="B4347" s="58">
        <f t="shared" si="208"/>
        <v>43034</v>
      </c>
      <c r="C4347" s="59">
        <f t="shared" si="209"/>
        <v>2017</v>
      </c>
      <c r="D4347" s="61">
        <v>19.096</v>
      </c>
      <c r="E4347" s="61">
        <v>19.077000000000002</v>
      </c>
      <c r="F4347" s="61">
        <v>19.200900000000001</v>
      </c>
    </row>
    <row r="4348" spans="1:6">
      <c r="A4348" s="65" t="s">
        <v>6927</v>
      </c>
      <c r="B4348" s="66">
        <f t="shared" si="208"/>
        <v>43035</v>
      </c>
      <c r="C4348" s="67">
        <f t="shared" si="209"/>
        <v>2017</v>
      </c>
      <c r="D4348" s="68">
        <v>19.147400000000001</v>
      </c>
      <c r="E4348" s="68">
        <v>19.096</v>
      </c>
      <c r="F4348" s="68">
        <v>19.077000000000002</v>
      </c>
    </row>
    <row r="4349" spans="1:6">
      <c r="A4349" s="57" t="s">
        <v>6928</v>
      </c>
      <c r="B4349" s="58">
        <f t="shared" si="208"/>
        <v>43036</v>
      </c>
      <c r="C4349" s="59">
        <f t="shared" si="209"/>
        <v>2017</v>
      </c>
      <c r="D4349" s="60" t="s">
        <v>362</v>
      </c>
      <c r="E4349" s="60" t="s">
        <v>362</v>
      </c>
      <c r="F4349" s="61">
        <v>19.096</v>
      </c>
    </row>
    <row r="4350" spans="1:6">
      <c r="A4350" s="65" t="s">
        <v>6929</v>
      </c>
      <c r="B4350" s="66">
        <f t="shared" si="208"/>
        <v>43037</v>
      </c>
      <c r="C4350" s="67">
        <f t="shared" si="209"/>
        <v>2017</v>
      </c>
      <c r="D4350" s="70" t="s">
        <v>362</v>
      </c>
      <c r="E4350" s="70" t="s">
        <v>362</v>
      </c>
      <c r="F4350" s="68">
        <v>19.096</v>
      </c>
    </row>
    <row r="4351" spans="1:6">
      <c r="A4351" s="57" t="s">
        <v>6930</v>
      </c>
      <c r="B4351" s="58">
        <f t="shared" si="208"/>
        <v>43038</v>
      </c>
      <c r="C4351" s="59">
        <f t="shared" si="209"/>
        <v>2017</v>
      </c>
      <c r="D4351" s="61">
        <v>19.218800000000002</v>
      </c>
      <c r="E4351" s="61">
        <v>19.147400000000001</v>
      </c>
      <c r="F4351" s="61">
        <v>19.096</v>
      </c>
    </row>
    <row r="4352" spans="1:6">
      <c r="A4352" s="65" t="s">
        <v>6931</v>
      </c>
      <c r="B4352" s="66">
        <f t="shared" si="208"/>
        <v>43039</v>
      </c>
      <c r="C4352" s="67">
        <f t="shared" si="209"/>
        <v>2017</v>
      </c>
      <c r="D4352" s="68">
        <v>19.1478</v>
      </c>
      <c r="E4352" s="68">
        <v>19.218800000000002</v>
      </c>
      <c r="F4352" s="68">
        <v>19.147400000000001</v>
      </c>
    </row>
    <row r="4353" spans="1:6">
      <c r="A4353" s="57" t="s">
        <v>6932</v>
      </c>
      <c r="B4353" s="58">
        <f t="shared" si="208"/>
        <v>43040</v>
      </c>
      <c r="C4353" s="59">
        <f t="shared" si="209"/>
        <v>2017</v>
      </c>
      <c r="D4353" s="61">
        <v>19.124099999999999</v>
      </c>
      <c r="E4353" s="61">
        <v>19.1478</v>
      </c>
      <c r="F4353" s="61">
        <v>19.218800000000002</v>
      </c>
    </row>
    <row r="4354" spans="1:6">
      <c r="A4354" s="65" t="s">
        <v>6933</v>
      </c>
      <c r="B4354" s="66">
        <f t="shared" si="208"/>
        <v>43041</v>
      </c>
      <c r="C4354" s="67">
        <f t="shared" si="209"/>
        <v>2017</v>
      </c>
      <c r="D4354" s="70" t="s">
        <v>362</v>
      </c>
      <c r="E4354" s="70" t="s">
        <v>362</v>
      </c>
      <c r="F4354" s="68">
        <v>19.1478</v>
      </c>
    </row>
    <row r="4355" spans="1:6">
      <c r="A4355" s="57" t="s">
        <v>6934</v>
      </c>
      <c r="B4355" s="58">
        <f t="shared" si="208"/>
        <v>43042</v>
      </c>
      <c r="C4355" s="59">
        <f t="shared" si="209"/>
        <v>2017</v>
      </c>
      <c r="D4355" s="61">
        <v>19.184999999999999</v>
      </c>
      <c r="E4355" s="61">
        <v>19.124099999999999</v>
      </c>
      <c r="F4355" s="61">
        <v>19.1478</v>
      </c>
    </row>
    <row r="4356" spans="1:6">
      <c r="A4356" s="65" t="s">
        <v>6935</v>
      </c>
      <c r="B4356" s="66">
        <f t="shared" si="208"/>
        <v>43043</v>
      </c>
      <c r="C4356" s="67">
        <f t="shared" si="209"/>
        <v>2017</v>
      </c>
      <c r="D4356" s="70" t="s">
        <v>362</v>
      </c>
      <c r="E4356" s="70" t="s">
        <v>362</v>
      </c>
      <c r="F4356" s="68">
        <v>19.124099999999999</v>
      </c>
    </row>
    <row r="4357" spans="1:6">
      <c r="A4357" s="57" t="s">
        <v>6936</v>
      </c>
      <c r="B4357" s="58">
        <f t="shared" si="208"/>
        <v>43044</v>
      </c>
      <c r="C4357" s="59">
        <f t="shared" si="209"/>
        <v>2017</v>
      </c>
      <c r="D4357" s="60" t="s">
        <v>362</v>
      </c>
      <c r="E4357" s="60" t="s">
        <v>362</v>
      </c>
      <c r="F4357" s="61">
        <v>19.124099999999999</v>
      </c>
    </row>
    <row r="4358" spans="1:6">
      <c r="A4358" s="65" t="s">
        <v>6937</v>
      </c>
      <c r="B4358" s="66">
        <f t="shared" si="208"/>
        <v>43045</v>
      </c>
      <c r="C4358" s="67">
        <f t="shared" si="209"/>
        <v>2017</v>
      </c>
      <c r="D4358" s="68">
        <v>19.081399999999999</v>
      </c>
      <c r="E4358" s="68">
        <v>19.184999999999999</v>
      </c>
      <c r="F4358" s="68">
        <v>19.124099999999999</v>
      </c>
    </row>
    <row r="4359" spans="1:6">
      <c r="A4359" s="57" t="s">
        <v>6938</v>
      </c>
      <c r="B4359" s="58">
        <f t="shared" si="208"/>
        <v>43046</v>
      </c>
      <c r="C4359" s="59">
        <f t="shared" si="209"/>
        <v>2017</v>
      </c>
      <c r="D4359" s="61">
        <v>19.134899999999998</v>
      </c>
      <c r="E4359" s="61">
        <v>19.081399999999999</v>
      </c>
      <c r="F4359" s="61">
        <v>19.184999999999999</v>
      </c>
    </row>
    <row r="4360" spans="1:6">
      <c r="A4360" s="65" t="s">
        <v>6939</v>
      </c>
      <c r="B4360" s="66">
        <f t="shared" si="208"/>
        <v>43047</v>
      </c>
      <c r="C4360" s="67">
        <f t="shared" si="209"/>
        <v>2017</v>
      </c>
      <c r="D4360" s="68">
        <v>19.0718</v>
      </c>
      <c r="E4360" s="68">
        <v>19.134899999999998</v>
      </c>
      <c r="F4360" s="68">
        <v>19.081399999999999</v>
      </c>
    </row>
    <row r="4361" spans="1:6">
      <c r="A4361" s="57" t="s">
        <v>6940</v>
      </c>
      <c r="B4361" s="58">
        <f t="shared" si="208"/>
        <v>43048</v>
      </c>
      <c r="C4361" s="59">
        <f t="shared" si="209"/>
        <v>2017</v>
      </c>
      <c r="D4361" s="61">
        <v>19.09</v>
      </c>
      <c r="E4361" s="61">
        <v>19.0718</v>
      </c>
      <c r="F4361" s="61">
        <v>19.134899999999998</v>
      </c>
    </row>
    <row r="4362" spans="1:6">
      <c r="A4362" s="65" t="s">
        <v>6941</v>
      </c>
      <c r="B4362" s="66">
        <f t="shared" si="208"/>
        <v>43049</v>
      </c>
      <c r="C4362" s="67">
        <f t="shared" si="209"/>
        <v>2017</v>
      </c>
      <c r="D4362" s="68">
        <v>19.052600000000002</v>
      </c>
      <c r="E4362" s="68">
        <v>19.09</v>
      </c>
      <c r="F4362" s="68">
        <v>19.0718</v>
      </c>
    </row>
    <row r="4363" spans="1:6">
      <c r="A4363" s="57" t="s">
        <v>6942</v>
      </c>
      <c r="B4363" s="58">
        <f t="shared" si="208"/>
        <v>43050</v>
      </c>
      <c r="C4363" s="59">
        <f t="shared" si="209"/>
        <v>2017</v>
      </c>
      <c r="D4363" s="60" t="s">
        <v>362</v>
      </c>
      <c r="E4363" s="60" t="s">
        <v>362</v>
      </c>
      <c r="F4363" s="61">
        <v>19.09</v>
      </c>
    </row>
    <row r="4364" spans="1:6">
      <c r="A4364" s="65" t="s">
        <v>6943</v>
      </c>
      <c r="B4364" s="66">
        <f t="shared" si="208"/>
        <v>43051</v>
      </c>
      <c r="C4364" s="67">
        <f t="shared" si="209"/>
        <v>2017</v>
      </c>
      <c r="D4364" s="70" t="s">
        <v>362</v>
      </c>
      <c r="E4364" s="70" t="s">
        <v>362</v>
      </c>
      <c r="F4364" s="68">
        <v>19.09</v>
      </c>
    </row>
    <row r="4365" spans="1:6">
      <c r="A4365" s="57" t="s">
        <v>6944</v>
      </c>
      <c r="B4365" s="58">
        <f t="shared" si="208"/>
        <v>43052</v>
      </c>
      <c r="C4365" s="59">
        <f t="shared" si="209"/>
        <v>2017</v>
      </c>
      <c r="D4365" s="61">
        <v>19.167999999999999</v>
      </c>
      <c r="E4365" s="61">
        <v>19.052600000000002</v>
      </c>
      <c r="F4365" s="61">
        <v>19.09</v>
      </c>
    </row>
    <row r="4366" spans="1:6">
      <c r="A4366" s="65" t="s">
        <v>6945</v>
      </c>
      <c r="B4366" s="66">
        <f t="shared" si="208"/>
        <v>43053</v>
      </c>
      <c r="C4366" s="67">
        <f t="shared" si="209"/>
        <v>2017</v>
      </c>
      <c r="D4366" s="68">
        <v>19.133400000000002</v>
      </c>
      <c r="E4366" s="68">
        <v>19.167999999999999</v>
      </c>
      <c r="F4366" s="68">
        <v>19.052600000000002</v>
      </c>
    </row>
    <row r="4367" spans="1:6">
      <c r="A4367" s="57" t="s">
        <v>6946</v>
      </c>
      <c r="B4367" s="58">
        <f t="shared" si="208"/>
        <v>43054</v>
      </c>
      <c r="C4367" s="59">
        <f t="shared" si="209"/>
        <v>2017</v>
      </c>
      <c r="D4367" s="61">
        <v>19.226800000000001</v>
      </c>
      <c r="E4367" s="61">
        <v>19.133400000000002</v>
      </c>
      <c r="F4367" s="61">
        <v>19.167999999999999</v>
      </c>
    </row>
    <row r="4368" spans="1:6">
      <c r="A4368" s="65" t="s">
        <v>6947</v>
      </c>
      <c r="B4368" s="66">
        <f t="shared" si="208"/>
        <v>43055</v>
      </c>
      <c r="C4368" s="67">
        <f t="shared" si="209"/>
        <v>2017</v>
      </c>
      <c r="D4368" s="68">
        <v>19.122399999999999</v>
      </c>
      <c r="E4368" s="68">
        <v>19.226800000000001</v>
      </c>
      <c r="F4368" s="68">
        <v>19.133400000000002</v>
      </c>
    </row>
    <row r="4369" spans="1:6">
      <c r="A4369" s="57" t="s">
        <v>6948</v>
      </c>
      <c r="B4369" s="58">
        <f t="shared" si="208"/>
        <v>43056</v>
      </c>
      <c r="C4369" s="59">
        <f t="shared" si="209"/>
        <v>2017</v>
      </c>
      <c r="D4369" s="61">
        <v>18.9724</v>
      </c>
      <c r="E4369" s="61">
        <v>19.122399999999999</v>
      </c>
      <c r="F4369" s="61">
        <v>19.226800000000001</v>
      </c>
    </row>
    <row r="4370" spans="1:6">
      <c r="A4370" s="65" t="s">
        <v>6949</v>
      </c>
      <c r="B4370" s="66">
        <f t="shared" si="208"/>
        <v>43057</v>
      </c>
      <c r="C4370" s="67">
        <f t="shared" si="209"/>
        <v>2017</v>
      </c>
      <c r="D4370" s="70" t="s">
        <v>362</v>
      </c>
      <c r="E4370" s="70" t="s">
        <v>362</v>
      </c>
      <c r="F4370" s="68">
        <v>19.122399999999999</v>
      </c>
    </row>
    <row r="4371" spans="1:6">
      <c r="A4371" s="57" t="s">
        <v>6950</v>
      </c>
      <c r="B4371" s="58">
        <f t="shared" si="208"/>
        <v>43058</v>
      </c>
      <c r="C4371" s="59">
        <f t="shared" si="209"/>
        <v>2017</v>
      </c>
      <c r="D4371" s="60" t="s">
        <v>362</v>
      </c>
      <c r="E4371" s="60" t="s">
        <v>362</v>
      </c>
      <c r="F4371" s="61">
        <v>19.122399999999999</v>
      </c>
    </row>
    <row r="4372" spans="1:6">
      <c r="A4372" s="65" t="s">
        <v>6951</v>
      </c>
      <c r="B4372" s="66">
        <f t="shared" si="208"/>
        <v>43059</v>
      </c>
      <c r="C4372" s="67">
        <f t="shared" si="209"/>
        <v>2017</v>
      </c>
      <c r="D4372" s="70" t="s">
        <v>362</v>
      </c>
      <c r="E4372" s="70" t="s">
        <v>362</v>
      </c>
      <c r="F4372" s="68">
        <v>19.122399999999999</v>
      </c>
    </row>
    <row r="4373" spans="1:6">
      <c r="A4373" s="57" t="s">
        <v>6952</v>
      </c>
      <c r="B4373" s="58">
        <f t="shared" si="208"/>
        <v>43060</v>
      </c>
      <c r="C4373" s="59">
        <f t="shared" si="209"/>
        <v>2017</v>
      </c>
      <c r="D4373" s="61">
        <v>18.824200000000001</v>
      </c>
      <c r="E4373" s="61">
        <v>18.9724</v>
      </c>
      <c r="F4373" s="61">
        <v>19.122399999999999</v>
      </c>
    </row>
    <row r="4374" spans="1:6">
      <c r="A4374" s="65" t="s">
        <v>6953</v>
      </c>
      <c r="B4374" s="66">
        <f t="shared" si="208"/>
        <v>43061</v>
      </c>
      <c r="C4374" s="67">
        <f t="shared" si="209"/>
        <v>2017</v>
      </c>
      <c r="D4374" s="68">
        <v>18.739999999999998</v>
      </c>
      <c r="E4374" s="68">
        <v>18.824200000000001</v>
      </c>
      <c r="F4374" s="68">
        <v>18.9724</v>
      </c>
    </row>
    <row r="4375" spans="1:6">
      <c r="A4375" s="57" t="s">
        <v>6954</v>
      </c>
      <c r="B4375" s="58">
        <f t="shared" si="208"/>
        <v>43062</v>
      </c>
      <c r="C4375" s="59">
        <f t="shared" si="209"/>
        <v>2017</v>
      </c>
      <c r="D4375" s="61">
        <v>18.604099999999999</v>
      </c>
      <c r="E4375" s="61">
        <v>18.739999999999998</v>
      </c>
      <c r="F4375" s="61">
        <v>18.824200000000001</v>
      </c>
    </row>
    <row r="4376" spans="1:6">
      <c r="A4376" s="65" t="s">
        <v>6955</v>
      </c>
      <c r="B4376" s="66">
        <f t="shared" si="208"/>
        <v>43063</v>
      </c>
      <c r="C4376" s="67">
        <f t="shared" si="209"/>
        <v>2017</v>
      </c>
      <c r="D4376" s="68">
        <v>18.5379</v>
      </c>
      <c r="E4376" s="68">
        <v>18.604099999999999</v>
      </c>
      <c r="F4376" s="68">
        <v>18.739999999999998</v>
      </c>
    </row>
    <row r="4377" spans="1:6">
      <c r="A4377" s="57" t="s">
        <v>6956</v>
      </c>
      <c r="B4377" s="58">
        <f t="shared" si="208"/>
        <v>43064</v>
      </c>
      <c r="C4377" s="59">
        <f t="shared" si="209"/>
        <v>2017</v>
      </c>
      <c r="D4377" s="60" t="s">
        <v>362</v>
      </c>
      <c r="E4377" s="60" t="s">
        <v>362</v>
      </c>
      <c r="F4377" s="61">
        <v>18.604099999999999</v>
      </c>
    </row>
    <row r="4378" spans="1:6">
      <c r="A4378" s="65" t="s">
        <v>6957</v>
      </c>
      <c r="B4378" s="66">
        <f t="shared" si="208"/>
        <v>43065</v>
      </c>
      <c r="C4378" s="67">
        <f t="shared" si="209"/>
        <v>2017</v>
      </c>
      <c r="D4378" s="70" t="s">
        <v>362</v>
      </c>
      <c r="E4378" s="70" t="s">
        <v>362</v>
      </c>
      <c r="F4378" s="68">
        <v>18.604099999999999</v>
      </c>
    </row>
    <row r="4379" spans="1:6">
      <c r="A4379" s="57" t="s">
        <v>6958</v>
      </c>
      <c r="B4379" s="58">
        <f t="shared" si="208"/>
        <v>43066</v>
      </c>
      <c r="C4379" s="59">
        <f t="shared" si="209"/>
        <v>2017</v>
      </c>
      <c r="D4379" s="61">
        <v>18.52</v>
      </c>
      <c r="E4379" s="61">
        <v>18.5379</v>
      </c>
      <c r="F4379" s="61">
        <v>18.604099999999999</v>
      </c>
    </row>
    <row r="4380" spans="1:6">
      <c r="A4380" s="65" t="s">
        <v>6959</v>
      </c>
      <c r="B4380" s="66">
        <f t="shared" si="208"/>
        <v>43067</v>
      </c>
      <c r="C4380" s="67">
        <f t="shared" si="209"/>
        <v>2017</v>
      </c>
      <c r="D4380" s="68">
        <v>18.584800000000001</v>
      </c>
      <c r="E4380" s="68">
        <v>18.52</v>
      </c>
      <c r="F4380" s="68">
        <v>18.5379</v>
      </c>
    </row>
    <row r="4381" spans="1:6">
      <c r="A4381" s="57" t="s">
        <v>6960</v>
      </c>
      <c r="B4381" s="58">
        <f t="shared" si="208"/>
        <v>43068</v>
      </c>
      <c r="C4381" s="59">
        <f t="shared" si="209"/>
        <v>2017</v>
      </c>
      <c r="D4381" s="61">
        <v>18.518999999999998</v>
      </c>
      <c r="E4381" s="61">
        <v>18.584800000000001</v>
      </c>
      <c r="F4381" s="61">
        <v>18.52</v>
      </c>
    </row>
    <row r="4382" spans="1:6">
      <c r="A4382" s="65" t="s">
        <v>6961</v>
      </c>
      <c r="B4382" s="66">
        <f t="shared" si="208"/>
        <v>43069</v>
      </c>
      <c r="C4382" s="67">
        <f t="shared" si="209"/>
        <v>2017</v>
      </c>
      <c r="D4382" s="68">
        <v>18.622900000000001</v>
      </c>
      <c r="E4382" s="68">
        <v>18.518999999999998</v>
      </c>
      <c r="F4382" s="68">
        <v>18.584800000000001</v>
      </c>
    </row>
    <row r="4383" spans="1:6">
      <c r="A4383" s="57" t="s">
        <v>6962</v>
      </c>
      <c r="B4383" s="58">
        <f t="shared" ref="B4383:B4446" si="210">DATE(RIGHT(A4383,4),LEFT(RIGHT(A4383,7),2),LEFT(A4383,2))</f>
        <v>43070</v>
      </c>
      <c r="C4383" s="59">
        <f t="shared" ref="C4383:C4446" si="211">YEAR(B4383)</f>
        <v>2017</v>
      </c>
      <c r="D4383" s="61">
        <v>18.639900000000001</v>
      </c>
      <c r="E4383" s="61">
        <v>18.622900000000001</v>
      </c>
      <c r="F4383" s="61">
        <v>18.518999999999998</v>
      </c>
    </row>
    <row r="4384" spans="1:6">
      <c r="A4384" s="65" t="s">
        <v>6963</v>
      </c>
      <c r="B4384" s="66">
        <f t="shared" si="210"/>
        <v>43071</v>
      </c>
      <c r="C4384" s="67">
        <f t="shared" si="211"/>
        <v>2017</v>
      </c>
      <c r="D4384" s="70" t="s">
        <v>362</v>
      </c>
      <c r="E4384" s="70" t="s">
        <v>362</v>
      </c>
      <c r="F4384" s="68">
        <v>18.622900000000001</v>
      </c>
    </row>
    <row r="4385" spans="1:6">
      <c r="A4385" s="57" t="s">
        <v>6964</v>
      </c>
      <c r="B4385" s="58">
        <f t="shared" si="210"/>
        <v>43072</v>
      </c>
      <c r="C4385" s="59">
        <f t="shared" si="211"/>
        <v>2017</v>
      </c>
      <c r="D4385" s="60" t="s">
        <v>362</v>
      </c>
      <c r="E4385" s="60" t="s">
        <v>362</v>
      </c>
      <c r="F4385" s="61">
        <v>18.622900000000001</v>
      </c>
    </row>
    <row r="4386" spans="1:6">
      <c r="A4386" s="65" t="s">
        <v>6965</v>
      </c>
      <c r="B4386" s="66">
        <f t="shared" si="210"/>
        <v>43073</v>
      </c>
      <c r="C4386" s="67">
        <f t="shared" si="211"/>
        <v>2017</v>
      </c>
      <c r="D4386" s="68">
        <v>18.641999999999999</v>
      </c>
      <c r="E4386" s="68">
        <v>18.639900000000001</v>
      </c>
      <c r="F4386" s="68">
        <v>18.622900000000001</v>
      </c>
    </row>
    <row r="4387" spans="1:6">
      <c r="A4387" s="57" t="s">
        <v>6966</v>
      </c>
      <c r="B4387" s="58">
        <f t="shared" si="210"/>
        <v>43074</v>
      </c>
      <c r="C4387" s="59">
        <f t="shared" si="211"/>
        <v>2017</v>
      </c>
      <c r="D4387" s="61">
        <v>18.695799999999998</v>
      </c>
      <c r="E4387" s="61">
        <v>18.641999999999999</v>
      </c>
      <c r="F4387" s="61">
        <v>18.639900000000001</v>
      </c>
    </row>
    <row r="4388" spans="1:6">
      <c r="A4388" s="65" t="s">
        <v>6967</v>
      </c>
      <c r="B4388" s="66">
        <f t="shared" si="210"/>
        <v>43075</v>
      </c>
      <c r="C4388" s="67">
        <f t="shared" si="211"/>
        <v>2017</v>
      </c>
      <c r="D4388" s="68">
        <v>18.889700000000001</v>
      </c>
      <c r="E4388" s="68">
        <v>18.695799999999998</v>
      </c>
      <c r="F4388" s="68">
        <v>18.641999999999999</v>
      </c>
    </row>
    <row r="4389" spans="1:6">
      <c r="A4389" s="57" t="s">
        <v>6968</v>
      </c>
      <c r="B4389" s="58">
        <f t="shared" si="210"/>
        <v>43076</v>
      </c>
      <c r="C4389" s="59">
        <f t="shared" si="211"/>
        <v>2017</v>
      </c>
      <c r="D4389" s="61">
        <v>18.9315</v>
      </c>
      <c r="E4389" s="61">
        <v>18.889700000000001</v>
      </c>
      <c r="F4389" s="61">
        <v>18.695799999999998</v>
      </c>
    </row>
    <row r="4390" spans="1:6">
      <c r="A4390" s="65" t="s">
        <v>6969</v>
      </c>
      <c r="B4390" s="66">
        <f t="shared" si="210"/>
        <v>43077</v>
      </c>
      <c r="C4390" s="67">
        <f t="shared" si="211"/>
        <v>2017</v>
      </c>
      <c r="D4390" s="68">
        <v>18.944500000000001</v>
      </c>
      <c r="E4390" s="68">
        <v>18.9315</v>
      </c>
      <c r="F4390" s="68">
        <v>18.889700000000001</v>
      </c>
    </row>
    <row r="4391" spans="1:6">
      <c r="A4391" s="57" t="s">
        <v>6970</v>
      </c>
      <c r="B4391" s="58">
        <f t="shared" si="210"/>
        <v>43078</v>
      </c>
      <c r="C4391" s="59">
        <f t="shared" si="211"/>
        <v>2017</v>
      </c>
      <c r="D4391" s="60" t="s">
        <v>362</v>
      </c>
      <c r="E4391" s="60" t="s">
        <v>362</v>
      </c>
      <c r="F4391" s="61">
        <v>18.9315</v>
      </c>
    </row>
    <row r="4392" spans="1:6">
      <c r="A4392" s="65" t="s">
        <v>6971</v>
      </c>
      <c r="B4392" s="66">
        <f t="shared" si="210"/>
        <v>43079</v>
      </c>
      <c r="C4392" s="67">
        <f t="shared" si="211"/>
        <v>2017</v>
      </c>
      <c r="D4392" s="70" t="s">
        <v>362</v>
      </c>
      <c r="E4392" s="70" t="s">
        <v>362</v>
      </c>
      <c r="F4392" s="68">
        <v>18.9315</v>
      </c>
    </row>
    <row r="4393" spans="1:6">
      <c r="A4393" s="57" t="s">
        <v>6972</v>
      </c>
      <c r="B4393" s="58">
        <f t="shared" si="210"/>
        <v>43080</v>
      </c>
      <c r="C4393" s="59">
        <f t="shared" si="211"/>
        <v>2017</v>
      </c>
      <c r="D4393" s="61">
        <v>18.974</v>
      </c>
      <c r="E4393" s="61">
        <v>18.944500000000001</v>
      </c>
      <c r="F4393" s="61">
        <v>18.9315</v>
      </c>
    </row>
    <row r="4394" spans="1:6">
      <c r="A4394" s="65" t="s">
        <v>6973</v>
      </c>
      <c r="B4394" s="66">
        <f t="shared" si="210"/>
        <v>43081</v>
      </c>
      <c r="C4394" s="67">
        <f t="shared" si="211"/>
        <v>2017</v>
      </c>
      <c r="D4394" s="70" t="s">
        <v>362</v>
      </c>
      <c r="E4394" s="70" t="s">
        <v>362</v>
      </c>
      <c r="F4394" s="68">
        <v>18.944500000000001</v>
      </c>
    </row>
    <row r="4395" spans="1:6">
      <c r="A4395" s="57" t="s">
        <v>6974</v>
      </c>
      <c r="B4395" s="58">
        <f t="shared" si="210"/>
        <v>43082</v>
      </c>
      <c r="C4395" s="59">
        <f t="shared" si="211"/>
        <v>2017</v>
      </c>
      <c r="D4395" s="61">
        <v>19.139099999999999</v>
      </c>
      <c r="E4395" s="61">
        <v>18.974</v>
      </c>
      <c r="F4395" s="61">
        <v>18.944500000000001</v>
      </c>
    </row>
    <row r="4396" spans="1:6">
      <c r="A4396" s="65" t="s">
        <v>6975</v>
      </c>
      <c r="B4396" s="66">
        <f t="shared" si="210"/>
        <v>43083</v>
      </c>
      <c r="C4396" s="67">
        <f t="shared" si="211"/>
        <v>2017</v>
      </c>
      <c r="D4396" s="68">
        <v>19.120200000000001</v>
      </c>
      <c r="E4396" s="68">
        <v>19.139099999999999</v>
      </c>
      <c r="F4396" s="68">
        <v>18.974</v>
      </c>
    </row>
    <row r="4397" spans="1:6">
      <c r="A4397" s="57" t="s">
        <v>6976</v>
      </c>
      <c r="B4397" s="58">
        <f t="shared" si="210"/>
        <v>43084</v>
      </c>
      <c r="C4397" s="59">
        <f t="shared" si="211"/>
        <v>2017</v>
      </c>
      <c r="D4397" s="61">
        <v>19.128900000000002</v>
      </c>
      <c r="E4397" s="61">
        <v>19.120200000000001</v>
      </c>
      <c r="F4397" s="61">
        <v>19.139099999999999</v>
      </c>
    </row>
    <row r="4398" spans="1:6">
      <c r="A4398" s="65" t="s">
        <v>6977</v>
      </c>
      <c r="B4398" s="66">
        <f t="shared" si="210"/>
        <v>43085</v>
      </c>
      <c r="C4398" s="67">
        <f t="shared" si="211"/>
        <v>2017</v>
      </c>
      <c r="D4398" s="70" t="s">
        <v>362</v>
      </c>
      <c r="E4398" s="70" t="s">
        <v>362</v>
      </c>
      <c r="F4398" s="68">
        <v>19.120200000000001</v>
      </c>
    </row>
    <row r="4399" spans="1:6">
      <c r="A4399" s="57" t="s">
        <v>6978</v>
      </c>
      <c r="B4399" s="58">
        <f t="shared" si="210"/>
        <v>43086</v>
      </c>
      <c r="C4399" s="59">
        <f t="shared" si="211"/>
        <v>2017</v>
      </c>
      <c r="D4399" s="60" t="s">
        <v>362</v>
      </c>
      <c r="E4399" s="60" t="s">
        <v>362</v>
      </c>
      <c r="F4399" s="61">
        <v>19.120200000000001</v>
      </c>
    </row>
    <row r="4400" spans="1:6">
      <c r="A4400" s="65" t="s">
        <v>6979</v>
      </c>
      <c r="B4400" s="66">
        <f t="shared" si="210"/>
        <v>43087</v>
      </c>
      <c r="C4400" s="67">
        <f t="shared" si="211"/>
        <v>2017</v>
      </c>
      <c r="D4400" s="68">
        <v>19.0289</v>
      </c>
      <c r="E4400" s="68">
        <v>19.128900000000002</v>
      </c>
      <c r="F4400" s="68">
        <v>19.120200000000001</v>
      </c>
    </row>
    <row r="4401" spans="1:6">
      <c r="A4401" s="57" t="s">
        <v>6980</v>
      </c>
      <c r="B4401" s="58">
        <f t="shared" si="210"/>
        <v>43088</v>
      </c>
      <c r="C4401" s="59">
        <f t="shared" si="211"/>
        <v>2017</v>
      </c>
      <c r="D4401" s="61">
        <v>19.191299999999998</v>
      </c>
      <c r="E4401" s="61">
        <v>19.0289</v>
      </c>
      <c r="F4401" s="61">
        <v>19.128900000000002</v>
      </c>
    </row>
    <row r="4402" spans="1:6">
      <c r="A4402" s="65" t="s">
        <v>6981</v>
      </c>
      <c r="B4402" s="66">
        <f t="shared" si="210"/>
        <v>43089</v>
      </c>
      <c r="C4402" s="67">
        <f t="shared" si="211"/>
        <v>2017</v>
      </c>
      <c r="D4402" s="68">
        <v>19.229099999999999</v>
      </c>
      <c r="E4402" s="68">
        <v>19.191299999999998</v>
      </c>
      <c r="F4402" s="68">
        <v>19.0289</v>
      </c>
    </row>
    <row r="4403" spans="1:6">
      <c r="A4403" s="57" t="s">
        <v>6982</v>
      </c>
      <c r="B4403" s="58">
        <f t="shared" si="210"/>
        <v>43090</v>
      </c>
      <c r="C4403" s="59">
        <f t="shared" si="211"/>
        <v>2017</v>
      </c>
      <c r="D4403" s="61">
        <v>19.3962</v>
      </c>
      <c r="E4403" s="61">
        <v>19.229099999999999</v>
      </c>
      <c r="F4403" s="61">
        <v>19.191299999999998</v>
      </c>
    </row>
    <row r="4404" spans="1:6">
      <c r="A4404" s="65" t="s">
        <v>6983</v>
      </c>
      <c r="B4404" s="66">
        <f t="shared" si="210"/>
        <v>43091</v>
      </c>
      <c r="C4404" s="67">
        <f t="shared" si="211"/>
        <v>2017</v>
      </c>
      <c r="D4404" s="68">
        <v>19.584800000000001</v>
      </c>
      <c r="E4404" s="68">
        <v>19.3962</v>
      </c>
      <c r="F4404" s="68">
        <v>19.229099999999999</v>
      </c>
    </row>
    <row r="4405" spans="1:6">
      <c r="A4405" s="57" t="s">
        <v>6984</v>
      </c>
      <c r="B4405" s="58">
        <f t="shared" si="210"/>
        <v>43092</v>
      </c>
      <c r="C4405" s="59">
        <f t="shared" si="211"/>
        <v>2017</v>
      </c>
      <c r="D4405" s="60" t="s">
        <v>362</v>
      </c>
      <c r="E4405" s="60" t="s">
        <v>362</v>
      </c>
      <c r="F4405" s="61">
        <v>19.3962</v>
      </c>
    </row>
    <row r="4406" spans="1:6">
      <c r="A4406" s="65" t="s">
        <v>6985</v>
      </c>
      <c r="B4406" s="66">
        <f t="shared" si="210"/>
        <v>43093</v>
      </c>
      <c r="C4406" s="67">
        <f t="shared" si="211"/>
        <v>2017</v>
      </c>
      <c r="D4406" s="70" t="s">
        <v>362</v>
      </c>
      <c r="E4406" s="70" t="s">
        <v>362</v>
      </c>
      <c r="F4406" s="68">
        <v>19.3962</v>
      </c>
    </row>
    <row r="4407" spans="1:6">
      <c r="A4407" s="57" t="s">
        <v>6986</v>
      </c>
      <c r="B4407" s="58">
        <f t="shared" si="210"/>
        <v>43094</v>
      </c>
      <c r="C4407" s="59">
        <f t="shared" si="211"/>
        <v>2017</v>
      </c>
      <c r="D4407" s="60" t="s">
        <v>362</v>
      </c>
      <c r="E4407" s="60" t="s">
        <v>362</v>
      </c>
      <c r="F4407" s="61">
        <v>19.3962</v>
      </c>
    </row>
    <row r="4408" spans="1:6">
      <c r="A4408" s="65" t="s">
        <v>6987</v>
      </c>
      <c r="B4408" s="66">
        <f t="shared" si="210"/>
        <v>43095</v>
      </c>
      <c r="C4408" s="67">
        <f t="shared" si="211"/>
        <v>2017</v>
      </c>
      <c r="D4408" s="68">
        <v>19.722300000000001</v>
      </c>
      <c r="E4408" s="68">
        <v>19.584800000000001</v>
      </c>
      <c r="F4408" s="68">
        <v>19.3962</v>
      </c>
    </row>
    <row r="4409" spans="1:6">
      <c r="A4409" s="57" t="s">
        <v>6988</v>
      </c>
      <c r="B4409" s="58">
        <f t="shared" si="210"/>
        <v>43096</v>
      </c>
      <c r="C4409" s="59">
        <f t="shared" si="211"/>
        <v>2017</v>
      </c>
      <c r="D4409" s="61">
        <v>19.7867</v>
      </c>
      <c r="E4409" s="61">
        <v>19.722300000000001</v>
      </c>
      <c r="F4409" s="61">
        <v>19.584800000000001</v>
      </c>
    </row>
    <row r="4410" spans="1:6">
      <c r="A4410" s="65" t="s">
        <v>6989</v>
      </c>
      <c r="B4410" s="66">
        <f t="shared" si="210"/>
        <v>43097</v>
      </c>
      <c r="C4410" s="67">
        <f t="shared" si="211"/>
        <v>2017</v>
      </c>
      <c r="D4410" s="68">
        <v>19.735399999999998</v>
      </c>
      <c r="E4410" s="68">
        <v>19.7867</v>
      </c>
      <c r="F4410" s="68">
        <v>19.722300000000001</v>
      </c>
    </row>
    <row r="4411" spans="1:6">
      <c r="A4411" s="57" t="s">
        <v>6990</v>
      </c>
      <c r="B4411" s="58">
        <f t="shared" si="210"/>
        <v>43098</v>
      </c>
      <c r="C4411" s="59">
        <f t="shared" si="211"/>
        <v>2017</v>
      </c>
      <c r="D4411" s="61">
        <v>19.6629</v>
      </c>
      <c r="E4411" s="61">
        <v>19.735399999999998</v>
      </c>
      <c r="F4411" s="61">
        <v>19.7867</v>
      </c>
    </row>
    <row r="4412" spans="1:6">
      <c r="A4412" s="65" t="s">
        <v>6991</v>
      </c>
      <c r="B4412" s="66">
        <f t="shared" si="210"/>
        <v>43099</v>
      </c>
      <c r="C4412" s="67">
        <f t="shared" si="211"/>
        <v>2017</v>
      </c>
      <c r="D4412" s="70" t="s">
        <v>362</v>
      </c>
      <c r="E4412" s="70" t="s">
        <v>362</v>
      </c>
      <c r="F4412" s="68">
        <v>19.735399999999998</v>
      </c>
    </row>
    <row r="4413" spans="1:6">
      <c r="A4413" s="57" t="s">
        <v>6992</v>
      </c>
      <c r="B4413" s="58">
        <f t="shared" si="210"/>
        <v>43100</v>
      </c>
      <c r="C4413" s="59">
        <f t="shared" si="211"/>
        <v>2017</v>
      </c>
      <c r="D4413" s="60" t="s">
        <v>362</v>
      </c>
      <c r="E4413" s="60" t="s">
        <v>362</v>
      </c>
      <c r="F4413" s="61">
        <v>19.735399999999998</v>
      </c>
    </row>
    <row r="4414" spans="1:6">
      <c r="A4414" s="65" t="s">
        <v>6993</v>
      </c>
      <c r="B4414" s="66">
        <f t="shared" si="210"/>
        <v>43101</v>
      </c>
      <c r="C4414" s="67">
        <f t="shared" si="211"/>
        <v>2018</v>
      </c>
      <c r="D4414" s="70" t="s">
        <v>362</v>
      </c>
      <c r="E4414" s="70" t="s">
        <v>362</v>
      </c>
      <c r="F4414" s="68">
        <v>19.735399999999998</v>
      </c>
    </row>
    <row r="4415" spans="1:6">
      <c r="A4415" s="57" t="s">
        <v>6994</v>
      </c>
      <c r="B4415" s="58">
        <f t="shared" si="210"/>
        <v>43102</v>
      </c>
      <c r="C4415" s="59">
        <f t="shared" si="211"/>
        <v>2018</v>
      </c>
      <c r="D4415" s="61">
        <v>19.489899999999999</v>
      </c>
      <c r="E4415" s="61">
        <v>19.6629</v>
      </c>
      <c r="F4415" s="61">
        <v>19.735399999999998</v>
      </c>
    </row>
    <row r="4416" spans="1:6">
      <c r="A4416" s="65" t="s">
        <v>6995</v>
      </c>
      <c r="B4416" s="66">
        <f t="shared" si="210"/>
        <v>43103</v>
      </c>
      <c r="C4416" s="67">
        <f t="shared" si="211"/>
        <v>2018</v>
      </c>
      <c r="D4416" s="68">
        <v>19.371700000000001</v>
      </c>
      <c r="E4416" s="68">
        <v>19.489899999999999</v>
      </c>
      <c r="F4416" s="68">
        <v>19.6629</v>
      </c>
    </row>
    <row r="4417" spans="1:6">
      <c r="A4417" s="57" t="s">
        <v>6996</v>
      </c>
      <c r="B4417" s="58">
        <f t="shared" si="210"/>
        <v>43104</v>
      </c>
      <c r="C4417" s="59">
        <f t="shared" si="211"/>
        <v>2018</v>
      </c>
      <c r="D4417" s="61">
        <v>19.242699999999999</v>
      </c>
      <c r="E4417" s="61">
        <v>19.371700000000001</v>
      </c>
      <c r="F4417" s="61">
        <v>19.489899999999999</v>
      </c>
    </row>
    <row r="4418" spans="1:6">
      <c r="A4418" s="65" t="s">
        <v>6997</v>
      </c>
      <c r="B4418" s="66">
        <f t="shared" si="210"/>
        <v>43105</v>
      </c>
      <c r="C4418" s="67">
        <f t="shared" si="211"/>
        <v>2018</v>
      </c>
      <c r="D4418" s="68">
        <v>19.273700000000002</v>
      </c>
      <c r="E4418" s="68">
        <v>19.242699999999999</v>
      </c>
      <c r="F4418" s="68">
        <v>19.371700000000001</v>
      </c>
    </row>
    <row r="4419" spans="1:6">
      <c r="A4419" s="57" t="s">
        <v>6998</v>
      </c>
      <c r="B4419" s="58">
        <f t="shared" si="210"/>
        <v>43106</v>
      </c>
      <c r="C4419" s="59">
        <f t="shared" si="211"/>
        <v>2018</v>
      </c>
      <c r="D4419" s="60" t="s">
        <v>362</v>
      </c>
      <c r="E4419" s="60" t="s">
        <v>362</v>
      </c>
      <c r="F4419" s="61">
        <v>19.242699999999999</v>
      </c>
    </row>
    <row r="4420" spans="1:6">
      <c r="A4420" s="65" t="s">
        <v>6999</v>
      </c>
      <c r="B4420" s="66">
        <f t="shared" si="210"/>
        <v>43107</v>
      </c>
      <c r="C4420" s="67">
        <f t="shared" si="211"/>
        <v>2018</v>
      </c>
      <c r="D4420" s="70" t="s">
        <v>362</v>
      </c>
      <c r="E4420" s="70" t="s">
        <v>362</v>
      </c>
      <c r="F4420" s="68">
        <v>19.242699999999999</v>
      </c>
    </row>
    <row r="4421" spans="1:6">
      <c r="A4421" s="57" t="s">
        <v>7000</v>
      </c>
      <c r="B4421" s="58">
        <f t="shared" si="210"/>
        <v>43108</v>
      </c>
      <c r="C4421" s="59">
        <f t="shared" si="211"/>
        <v>2018</v>
      </c>
      <c r="D4421" s="61">
        <v>19.232299999999999</v>
      </c>
      <c r="E4421" s="61">
        <v>19.273700000000002</v>
      </c>
      <c r="F4421" s="61">
        <v>19.242699999999999</v>
      </c>
    </row>
    <row r="4422" spans="1:6">
      <c r="A4422" s="65" t="s">
        <v>7001</v>
      </c>
      <c r="B4422" s="66">
        <f t="shared" si="210"/>
        <v>43109</v>
      </c>
      <c r="C4422" s="67">
        <f t="shared" si="211"/>
        <v>2018</v>
      </c>
      <c r="D4422" s="68">
        <v>19.3065</v>
      </c>
      <c r="E4422" s="68">
        <v>19.232299999999999</v>
      </c>
      <c r="F4422" s="68">
        <v>19.273700000000002</v>
      </c>
    </row>
    <row r="4423" spans="1:6">
      <c r="A4423" s="57" t="s">
        <v>7002</v>
      </c>
      <c r="B4423" s="58">
        <f t="shared" si="210"/>
        <v>43110</v>
      </c>
      <c r="C4423" s="59">
        <f t="shared" si="211"/>
        <v>2018</v>
      </c>
      <c r="D4423" s="61">
        <v>19.240500000000001</v>
      </c>
      <c r="E4423" s="61">
        <v>19.3065</v>
      </c>
      <c r="F4423" s="61">
        <v>19.232299999999999</v>
      </c>
    </row>
    <row r="4424" spans="1:6">
      <c r="A4424" s="65" t="s">
        <v>7003</v>
      </c>
      <c r="B4424" s="66">
        <f t="shared" si="210"/>
        <v>43111</v>
      </c>
      <c r="C4424" s="67">
        <f t="shared" si="211"/>
        <v>2018</v>
      </c>
      <c r="D4424" s="68">
        <v>19.343299999999999</v>
      </c>
      <c r="E4424" s="68">
        <v>19.240500000000001</v>
      </c>
      <c r="F4424" s="68">
        <v>19.3065</v>
      </c>
    </row>
    <row r="4425" spans="1:6">
      <c r="A4425" s="57" t="s">
        <v>7004</v>
      </c>
      <c r="B4425" s="58">
        <f t="shared" si="210"/>
        <v>43112</v>
      </c>
      <c r="C4425" s="59">
        <f t="shared" si="211"/>
        <v>2018</v>
      </c>
      <c r="D4425" s="61">
        <v>19.044599999999999</v>
      </c>
      <c r="E4425" s="61">
        <v>19.343299999999999</v>
      </c>
      <c r="F4425" s="61">
        <v>19.240500000000001</v>
      </c>
    </row>
    <row r="4426" spans="1:6">
      <c r="A4426" s="65" t="s">
        <v>7005</v>
      </c>
      <c r="B4426" s="66">
        <f t="shared" si="210"/>
        <v>43113</v>
      </c>
      <c r="C4426" s="67">
        <f t="shared" si="211"/>
        <v>2018</v>
      </c>
      <c r="D4426" s="70" t="s">
        <v>362</v>
      </c>
      <c r="E4426" s="70" t="s">
        <v>362</v>
      </c>
      <c r="F4426" s="68">
        <v>19.343299999999999</v>
      </c>
    </row>
    <row r="4427" spans="1:6">
      <c r="A4427" s="57" t="s">
        <v>7006</v>
      </c>
      <c r="B4427" s="58">
        <f t="shared" si="210"/>
        <v>43114</v>
      </c>
      <c r="C4427" s="59">
        <f t="shared" si="211"/>
        <v>2018</v>
      </c>
      <c r="D4427" s="60" t="s">
        <v>362</v>
      </c>
      <c r="E4427" s="60" t="s">
        <v>362</v>
      </c>
      <c r="F4427" s="61">
        <v>19.343299999999999</v>
      </c>
    </row>
    <row r="4428" spans="1:6">
      <c r="A4428" s="65" t="s">
        <v>7007</v>
      </c>
      <c r="B4428" s="66">
        <f t="shared" si="210"/>
        <v>43115</v>
      </c>
      <c r="C4428" s="67">
        <f t="shared" si="211"/>
        <v>2018</v>
      </c>
      <c r="D4428" s="68">
        <v>18.811299999999999</v>
      </c>
      <c r="E4428" s="68">
        <v>19.044599999999999</v>
      </c>
      <c r="F4428" s="68">
        <v>19.343299999999999</v>
      </c>
    </row>
    <row r="4429" spans="1:6">
      <c r="A4429" s="57" t="s">
        <v>7008</v>
      </c>
      <c r="B4429" s="58">
        <f t="shared" si="210"/>
        <v>43116</v>
      </c>
      <c r="C4429" s="59">
        <f t="shared" si="211"/>
        <v>2018</v>
      </c>
      <c r="D4429" s="61">
        <v>18.836200000000002</v>
      </c>
      <c r="E4429" s="61">
        <v>18.811299999999999</v>
      </c>
      <c r="F4429" s="61">
        <v>19.044599999999999</v>
      </c>
    </row>
    <row r="4430" spans="1:6">
      <c r="A4430" s="65" t="s">
        <v>7009</v>
      </c>
      <c r="B4430" s="66">
        <f t="shared" si="210"/>
        <v>43117</v>
      </c>
      <c r="C4430" s="67">
        <f t="shared" si="211"/>
        <v>2018</v>
      </c>
      <c r="D4430" s="68">
        <v>18.655000000000001</v>
      </c>
      <c r="E4430" s="68">
        <v>18.836200000000002</v>
      </c>
      <c r="F4430" s="68">
        <v>18.811299999999999</v>
      </c>
    </row>
    <row r="4431" spans="1:6">
      <c r="A4431" s="57" t="s">
        <v>7010</v>
      </c>
      <c r="B4431" s="58">
        <f t="shared" si="210"/>
        <v>43118</v>
      </c>
      <c r="C4431" s="59">
        <f t="shared" si="211"/>
        <v>2018</v>
      </c>
      <c r="D4431" s="61">
        <v>18.636099999999999</v>
      </c>
      <c r="E4431" s="61">
        <v>18.655000000000001</v>
      </c>
      <c r="F4431" s="61">
        <v>18.836200000000002</v>
      </c>
    </row>
    <row r="4432" spans="1:6">
      <c r="A4432" s="65" t="s">
        <v>7011</v>
      </c>
      <c r="B4432" s="66">
        <f t="shared" si="210"/>
        <v>43119</v>
      </c>
      <c r="C4432" s="67">
        <f t="shared" si="211"/>
        <v>2018</v>
      </c>
      <c r="D4432" s="68">
        <v>18.581299999999999</v>
      </c>
      <c r="E4432" s="68">
        <v>18.636099999999999</v>
      </c>
      <c r="F4432" s="68">
        <v>18.655000000000001</v>
      </c>
    </row>
    <row r="4433" spans="1:6">
      <c r="A4433" s="57" t="s">
        <v>7012</v>
      </c>
      <c r="B4433" s="58">
        <f t="shared" si="210"/>
        <v>43120</v>
      </c>
      <c r="C4433" s="59">
        <f t="shared" si="211"/>
        <v>2018</v>
      </c>
      <c r="D4433" s="60" t="s">
        <v>362</v>
      </c>
      <c r="E4433" s="60" t="s">
        <v>362</v>
      </c>
      <c r="F4433" s="61">
        <v>18.636099999999999</v>
      </c>
    </row>
    <row r="4434" spans="1:6">
      <c r="A4434" s="65" t="s">
        <v>7013</v>
      </c>
      <c r="B4434" s="66">
        <f t="shared" si="210"/>
        <v>43121</v>
      </c>
      <c r="C4434" s="67">
        <f t="shared" si="211"/>
        <v>2018</v>
      </c>
      <c r="D4434" s="70" t="s">
        <v>362</v>
      </c>
      <c r="E4434" s="70" t="s">
        <v>362</v>
      </c>
      <c r="F4434" s="68">
        <v>18.636099999999999</v>
      </c>
    </row>
    <row r="4435" spans="1:6">
      <c r="A4435" s="57" t="s">
        <v>7014</v>
      </c>
      <c r="B4435" s="58">
        <f t="shared" si="210"/>
        <v>43122</v>
      </c>
      <c r="C4435" s="59">
        <f t="shared" si="211"/>
        <v>2018</v>
      </c>
      <c r="D4435" s="61">
        <v>18.7118</v>
      </c>
      <c r="E4435" s="61">
        <v>18.581299999999999</v>
      </c>
      <c r="F4435" s="61">
        <v>18.636099999999999</v>
      </c>
    </row>
    <row r="4436" spans="1:6">
      <c r="A4436" s="65" t="s">
        <v>7015</v>
      </c>
      <c r="B4436" s="66">
        <f t="shared" si="210"/>
        <v>43123</v>
      </c>
      <c r="C4436" s="67">
        <f t="shared" si="211"/>
        <v>2018</v>
      </c>
      <c r="D4436" s="68">
        <v>18.797999999999998</v>
      </c>
      <c r="E4436" s="68">
        <v>18.7118</v>
      </c>
      <c r="F4436" s="68">
        <v>18.581299999999999</v>
      </c>
    </row>
    <row r="4437" spans="1:6">
      <c r="A4437" s="57" t="s">
        <v>7016</v>
      </c>
      <c r="B4437" s="58">
        <f t="shared" si="210"/>
        <v>43124</v>
      </c>
      <c r="C4437" s="59">
        <f t="shared" si="211"/>
        <v>2018</v>
      </c>
      <c r="D4437" s="61">
        <v>18.517800000000001</v>
      </c>
      <c r="E4437" s="61">
        <v>18.797999999999998</v>
      </c>
      <c r="F4437" s="61">
        <v>18.7118</v>
      </c>
    </row>
    <row r="4438" spans="1:6">
      <c r="A4438" s="65" t="s">
        <v>7017</v>
      </c>
      <c r="B4438" s="66">
        <f t="shared" si="210"/>
        <v>43125</v>
      </c>
      <c r="C4438" s="67">
        <f t="shared" si="211"/>
        <v>2018</v>
      </c>
      <c r="D4438" s="68">
        <v>18.478000000000002</v>
      </c>
      <c r="E4438" s="68">
        <v>18.517800000000001</v>
      </c>
      <c r="F4438" s="68">
        <v>18.797999999999998</v>
      </c>
    </row>
    <row r="4439" spans="1:6">
      <c r="A4439" s="57" t="s">
        <v>7018</v>
      </c>
      <c r="B4439" s="58">
        <f t="shared" si="210"/>
        <v>43126</v>
      </c>
      <c r="C4439" s="59">
        <f t="shared" si="211"/>
        <v>2018</v>
      </c>
      <c r="D4439" s="61">
        <v>18.467199999999998</v>
      </c>
      <c r="E4439" s="61">
        <v>18.478000000000002</v>
      </c>
      <c r="F4439" s="61">
        <v>18.517800000000001</v>
      </c>
    </row>
    <row r="4440" spans="1:6">
      <c r="A4440" s="65" t="s">
        <v>7019</v>
      </c>
      <c r="B4440" s="66">
        <f t="shared" si="210"/>
        <v>43127</v>
      </c>
      <c r="C4440" s="67">
        <f t="shared" si="211"/>
        <v>2018</v>
      </c>
      <c r="D4440" s="70" t="s">
        <v>362</v>
      </c>
      <c r="E4440" s="70" t="s">
        <v>362</v>
      </c>
      <c r="F4440" s="68">
        <v>18.478000000000002</v>
      </c>
    </row>
    <row r="4441" spans="1:6">
      <c r="A4441" s="57" t="s">
        <v>7020</v>
      </c>
      <c r="B4441" s="58">
        <f t="shared" si="210"/>
        <v>43128</v>
      </c>
      <c r="C4441" s="59">
        <f t="shared" si="211"/>
        <v>2018</v>
      </c>
      <c r="D4441" s="60" t="s">
        <v>362</v>
      </c>
      <c r="E4441" s="60" t="s">
        <v>362</v>
      </c>
      <c r="F4441" s="61">
        <v>18.478000000000002</v>
      </c>
    </row>
    <row r="4442" spans="1:6">
      <c r="A4442" s="65" t="s">
        <v>7021</v>
      </c>
      <c r="B4442" s="66">
        <f t="shared" si="210"/>
        <v>43129</v>
      </c>
      <c r="C4442" s="67">
        <f t="shared" si="211"/>
        <v>2018</v>
      </c>
      <c r="D4442" s="68">
        <v>18.619599999999998</v>
      </c>
      <c r="E4442" s="68">
        <v>18.467199999999998</v>
      </c>
      <c r="F4442" s="68">
        <v>18.478000000000002</v>
      </c>
    </row>
    <row r="4443" spans="1:6">
      <c r="A4443" s="57" t="s">
        <v>7022</v>
      </c>
      <c r="B4443" s="58">
        <f t="shared" si="210"/>
        <v>43130</v>
      </c>
      <c r="C4443" s="59">
        <f t="shared" si="211"/>
        <v>2018</v>
      </c>
      <c r="D4443" s="61">
        <v>18.6982</v>
      </c>
      <c r="E4443" s="61">
        <v>18.619599999999998</v>
      </c>
      <c r="F4443" s="61">
        <v>18.467199999999998</v>
      </c>
    </row>
    <row r="4444" spans="1:6">
      <c r="A4444" s="65" t="s">
        <v>7023</v>
      </c>
      <c r="B4444" s="66">
        <f t="shared" si="210"/>
        <v>43131</v>
      </c>
      <c r="C4444" s="67">
        <f t="shared" si="211"/>
        <v>2018</v>
      </c>
      <c r="D4444" s="68">
        <v>18.6069</v>
      </c>
      <c r="E4444" s="68">
        <v>18.6982</v>
      </c>
      <c r="F4444" s="68">
        <v>18.619599999999998</v>
      </c>
    </row>
    <row r="4445" spans="1:6">
      <c r="A4445" s="57" t="s">
        <v>7024</v>
      </c>
      <c r="B4445" s="58">
        <f t="shared" si="210"/>
        <v>43132</v>
      </c>
      <c r="C4445" s="59">
        <f t="shared" si="211"/>
        <v>2018</v>
      </c>
      <c r="D4445" s="61">
        <v>18.400400000000001</v>
      </c>
      <c r="E4445" s="61">
        <v>18.6069</v>
      </c>
      <c r="F4445" s="61">
        <v>18.6982</v>
      </c>
    </row>
    <row r="4446" spans="1:6">
      <c r="A4446" s="65" t="s">
        <v>7025</v>
      </c>
      <c r="B4446" s="66">
        <f t="shared" si="210"/>
        <v>43133</v>
      </c>
      <c r="C4446" s="67">
        <f t="shared" si="211"/>
        <v>2018</v>
      </c>
      <c r="D4446" s="68">
        <v>18.524799999999999</v>
      </c>
      <c r="E4446" s="68">
        <v>18.400400000000001</v>
      </c>
      <c r="F4446" s="68">
        <v>18.6069</v>
      </c>
    </row>
    <row r="4447" spans="1:6">
      <c r="A4447" s="57" t="s">
        <v>7026</v>
      </c>
      <c r="B4447" s="58">
        <f t="shared" ref="B4447:B4510" si="212">DATE(RIGHT(A4447,4),LEFT(RIGHT(A4447,7),2),LEFT(A4447,2))</f>
        <v>43134</v>
      </c>
      <c r="C4447" s="59">
        <f t="shared" ref="C4447:C4510" si="213">YEAR(B4447)</f>
        <v>2018</v>
      </c>
      <c r="D4447" s="60" t="s">
        <v>362</v>
      </c>
      <c r="E4447" s="60" t="s">
        <v>362</v>
      </c>
      <c r="F4447" s="61">
        <v>18.400400000000001</v>
      </c>
    </row>
    <row r="4448" spans="1:6">
      <c r="A4448" s="65" t="s">
        <v>7027</v>
      </c>
      <c r="B4448" s="66">
        <f t="shared" si="212"/>
        <v>43135</v>
      </c>
      <c r="C4448" s="67">
        <f t="shared" si="213"/>
        <v>2018</v>
      </c>
      <c r="D4448" s="70" t="s">
        <v>362</v>
      </c>
      <c r="E4448" s="70" t="s">
        <v>362</v>
      </c>
      <c r="F4448" s="68">
        <v>18.400400000000001</v>
      </c>
    </row>
    <row r="4449" spans="1:6">
      <c r="A4449" s="57" t="s">
        <v>7028</v>
      </c>
      <c r="B4449" s="58">
        <f t="shared" si="212"/>
        <v>43136</v>
      </c>
      <c r="C4449" s="59">
        <f t="shared" si="213"/>
        <v>2018</v>
      </c>
      <c r="D4449" s="60" t="s">
        <v>362</v>
      </c>
      <c r="E4449" s="60" t="s">
        <v>362</v>
      </c>
      <c r="F4449" s="61">
        <v>18.400400000000001</v>
      </c>
    </row>
    <row r="4450" spans="1:6">
      <c r="A4450" s="65" t="s">
        <v>7029</v>
      </c>
      <c r="B4450" s="66">
        <f t="shared" si="212"/>
        <v>43137</v>
      </c>
      <c r="C4450" s="67">
        <f t="shared" si="213"/>
        <v>2018</v>
      </c>
      <c r="D4450" s="68">
        <v>18.700900000000001</v>
      </c>
      <c r="E4450" s="68">
        <v>18.524799999999999</v>
      </c>
      <c r="F4450" s="68">
        <v>18.400400000000001</v>
      </c>
    </row>
    <row r="4451" spans="1:6">
      <c r="A4451" s="57" t="s">
        <v>7030</v>
      </c>
      <c r="B4451" s="58">
        <f t="shared" si="212"/>
        <v>43138</v>
      </c>
      <c r="C4451" s="59">
        <f t="shared" si="213"/>
        <v>2018</v>
      </c>
      <c r="D4451" s="61">
        <v>18.6492</v>
      </c>
      <c r="E4451" s="61">
        <v>18.700900000000001</v>
      </c>
      <c r="F4451" s="61">
        <v>18.524799999999999</v>
      </c>
    </row>
    <row r="4452" spans="1:6">
      <c r="A4452" s="65" t="s">
        <v>7031</v>
      </c>
      <c r="B4452" s="66">
        <f t="shared" si="212"/>
        <v>43139</v>
      </c>
      <c r="C4452" s="67">
        <f t="shared" si="213"/>
        <v>2018</v>
      </c>
      <c r="D4452" s="68">
        <v>18.881499999999999</v>
      </c>
      <c r="E4452" s="68">
        <v>18.6492</v>
      </c>
      <c r="F4452" s="68">
        <v>18.700900000000001</v>
      </c>
    </row>
    <row r="4453" spans="1:6">
      <c r="A4453" s="57" t="s">
        <v>7032</v>
      </c>
      <c r="B4453" s="58">
        <f t="shared" si="212"/>
        <v>43140</v>
      </c>
      <c r="C4453" s="59">
        <f t="shared" si="213"/>
        <v>2018</v>
      </c>
      <c r="D4453" s="61">
        <v>18.862300000000001</v>
      </c>
      <c r="E4453" s="61">
        <v>18.881499999999999</v>
      </c>
      <c r="F4453" s="61">
        <v>18.6492</v>
      </c>
    </row>
    <row r="4454" spans="1:6">
      <c r="A4454" s="65" t="s">
        <v>7033</v>
      </c>
      <c r="B4454" s="66">
        <f t="shared" si="212"/>
        <v>43141</v>
      </c>
      <c r="C4454" s="67">
        <f t="shared" si="213"/>
        <v>2018</v>
      </c>
      <c r="D4454" s="70" t="s">
        <v>362</v>
      </c>
      <c r="E4454" s="70" t="s">
        <v>362</v>
      </c>
      <c r="F4454" s="68">
        <v>18.881499999999999</v>
      </c>
    </row>
    <row r="4455" spans="1:6">
      <c r="A4455" s="57" t="s">
        <v>7034</v>
      </c>
      <c r="B4455" s="58">
        <f t="shared" si="212"/>
        <v>43142</v>
      </c>
      <c r="C4455" s="59">
        <f t="shared" si="213"/>
        <v>2018</v>
      </c>
      <c r="D4455" s="60" t="s">
        <v>362</v>
      </c>
      <c r="E4455" s="60" t="s">
        <v>362</v>
      </c>
      <c r="F4455" s="61">
        <v>18.881499999999999</v>
      </c>
    </row>
    <row r="4456" spans="1:6">
      <c r="A4456" s="65" t="s">
        <v>7035</v>
      </c>
      <c r="B4456" s="66">
        <f t="shared" si="212"/>
        <v>43143</v>
      </c>
      <c r="C4456" s="67">
        <f t="shared" si="213"/>
        <v>2018</v>
      </c>
      <c r="D4456" s="68">
        <v>18.670300000000001</v>
      </c>
      <c r="E4456" s="68">
        <v>18.862300000000001</v>
      </c>
      <c r="F4456" s="68">
        <v>18.881499999999999</v>
      </c>
    </row>
    <row r="4457" spans="1:6">
      <c r="A4457" s="57" t="s">
        <v>7036</v>
      </c>
      <c r="B4457" s="58">
        <f t="shared" si="212"/>
        <v>43144</v>
      </c>
      <c r="C4457" s="59">
        <f t="shared" si="213"/>
        <v>2018</v>
      </c>
      <c r="D4457" s="61">
        <v>18.626899999999999</v>
      </c>
      <c r="E4457" s="61">
        <v>18.670300000000001</v>
      </c>
      <c r="F4457" s="61">
        <v>18.862300000000001</v>
      </c>
    </row>
    <row r="4458" spans="1:6">
      <c r="A4458" s="65" t="s">
        <v>7037</v>
      </c>
      <c r="B4458" s="66">
        <f t="shared" si="212"/>
        <v>43145</v>
      </c>
      <c r="C4458" s="67">
        <f t="shared" si="213"/>
        <v>2018</v>
      </c>
      <c r="D4458" s="68">
        <v>18.602499999999999</v>
      </c>
      <c r="E4458" s="68">
        <v>18.626899999999999</v>
      </c>
      <c r="F4458" s="68">
        <v>18.670300000000001</v>
      </c>
    </row>
    <row r="4459" spans="1:6">
      <c r="A4459" s="57" t="s">
        <v>7038</v>
      </c>
      <c r="B4459" s="58">
        <f t="shared" si="212"/>
        <v>43146</v>
      </c>
      <c r="C4459" s="59">
        <f t="shared" si="213"/>
        <v>2018</v>
      </c>
      <c r="D4459" s="61">
        <v>18.515899999999998</v>
      </c>
      <c r="E4459" s="61">
        <v>18.602499999999999</v>
      </c>
      <c r="F4459" s="61">
        <v>18.626899999999999</v>
      </c>
    </row>
    <row r="4460" spans="1:6">
      <c r="A4460" s="65" t="s">
        <v>7039</v>
      </c>
      <c r="B4460" s="66">
        <f t="shared" si="212"/>
        <v>43147</v>
      </c>
      <c r="C4460" s="67">
        <f t="shared" si="213"/>
        <v>2018</v>
      </c>
      <c r="D4460" s="68">
        <v>18.479700000000001</v>
      </c>
      <c r="E4460" s="68">
        <v>18.515899999999998</v>
      </c>
      <c r="F4460" s="68">
        <v>18.602499999999999</v>
      </c>
    </row>
    <row r="4461" spans="1:6">
      <c r="A4461" s="57" t="s">
        <v>7040</v>
      </c>
      <c r="B4461" s="58">
        <f t="shared" si="212"/>
        <v>43148</v>
      </c>
      <c r="C4461" s="59">
        <f t="shared" si="213"/>
        <v>2018</v>
      </c>
      <c r="D4461" s="60" t="s">
        <v>362</v>
      </c>
      <c r="E4461" s="60" t="s">
        <v>362</v>
      </c>
      <c r="F4461" s="61">
        <v>18.515899999999998</v>
      </c>
    </row>
    <row r="4462" spans="1:6">
      <c r="A4462" s="65" t="s">
        <v>7041</v>
      </c>
      <c r="B4462" s="66">
        <f t="shared" si="212"/>
        <v>43149</v>
      </c>
      <c r="C4462" s="67">
        <f t="shared" si="213"/>
        <v>2018</v>
      </c>
      <c r="D4462" s="70" t="s">
        <v>362</v>
      </c>
      <c r="E4462" s="70" t="s">
        <v>362</v>
      </c>
      <c r="F4462" s="68">
        <v>18.515899999999998</v>
      </c>
    </row>
    <row r="4463" spans="1:6">
      <c r="A4463" s="57" t="s">
        <v>7042</v>
      </c>
      <c r="B4463" s="58">
        <f t="shared" si="212"/>
        <v>43150</v>
      </c>
      <c r="C4463" s="59">
        <f t="shared" si="213"/>
        <v>2018</v>
      </c>
      <c r="D4463" s="61">
        <v>18.536000000000001</v>
      </c>
      <c r="E4463" s="61">
        <v>18.479700000000001</v>
      </c>
      <c r="F4463" s="61">
        <v>18.515899999999998</v>
      </c>
    </row>
    <row r="4464" spans="1:6">
      <c r="A4464" s="65" t="s">
        <v>7043</v>
      </c>
      <c r="B4464" s="66">
        <f t="shared" si="212"/>
        <v>43151</v>
      </c>
      <c r="C4464" s="67">
        <f t="shared" si="213"/>
        <v>2018</v>
      </c>
      <c r="D4464" s="68">
        <v>18.659400000000002</v>
      </c>
      <c r="E4464" s="68">
        <v>18.536000000000001</v>
      </c>
      <c r="F4464" s="68">
        <v>18.479700000000001</v>
      </c>
    </row>
    <row r="4465" spans="1:6">
      <c r="A4465" s="57" t="s">
        <v>7044</v>
      </c>
      <c r="B4465" s="58">
        <f t="shared" si="212"/>
        <v>43152</v>
      </c>
      <c r="C4465" s="59">
        <f t="shared" si="213"/>
        <v>2018</v>
      </c>
      <c r="D4465" s="61">
        <v>18.651800000000001</v>
      </c>
      <c r="E4465" s="61">
        <v>18.659400000000002</v>
      </c>
      <c r="F4465" s="61">
        <v>18.536000000000001</v>
      </c>
    </row>
    <row r="4466" spans="1:6">
      <c r="A4466" s="65" t="s">
        <v>7045</v>
      </c>
      <c r="B4466" s="66">
        <f t="shared" si="212"/>
        <v>43153</v>
      </c>
      <c r="C4466" s="67">
        <f t="shared" si="213"/>
        <v>2018</v>
      </c>
      <c r="D4466" s="68">
        <v>18.657399999999999</v>
      </c>
      <c r="E4466" s="68">
        <v>18.651800000000001</v>
      </c>
      <c r="F4466" s="68">
        <v>18.659400000000002</v>
      </c>
    </row>
    <row r="4467" spans="1:6">
      <c r="A4467" s="57" t="s">
        <v>7046</v>
      </c>
      <c r="B4467" s="58">
        <f t="shared" si="212"/>
        <v>43154</v>
      </c>
      <c r="C4467" s="59">
        <f t="shared" si="213"/>
        <v>2018</v>
      </c>
      <c r="D4467" s="61">
        <v>18.565899999999999</v>
      </c>
      <c r="E4467" s="61">
        <v>18.657399999999999</v>
      </c>
      <c r="F4467" s="61">
        <v>18.651800000000001</v>
      </c>
    </row>
    <row r="4468" spans="1:6">
      <c r="A4468" s="65" t="s">
        <v>7047</v>
      </c>
      <c r="B4468" s="66">
        <f t="shared" si="212"/>
        <v>43155</v>
      </c>
      <c r="C4468" s="67">
        <f t="shared" si="213"/>
        <v>2018</v>
      </c>
      <c r="D4468" s="70" t="s">
        <v>362</v>
      </c>
      <c r="E4468" s="70" t="s">
        <v>362</v>
      </c>
      <c r="F4468" s="68">
        <v>18.657399999999999</v>
      </c>
    </row>
    <row r="4469" spans="1:6">
      <c r="A4469" s="57" t="s">
        <v>7048</v>
      </c>
      <c r="B4469" s="58">
        <f t="shared" si="212"/>
        <v>43156</v>
      </c>
      <c r="C4469" s="59">
        <f t="shared" si="213"/>
        <v>2018</v>
      </c>
      <c r="D4469" s="60" t="s">
        <v>362</v>
      </c>
      <c r="E4469" s="60" t="s">
        <v>362</v>
      </c>
      <c r="F4469" s="61">
        <v>18.657399999999999</v>
      </c>
    </row>
    <row r="4470" spans="1:6">
      <c r="A4470" s="65" t="s">
        <v>7049</v>
      </c>
      <c r="B4470" s="66">
        <f t="shared" si="212"/>
        <v>43157</v>
      </c>
      <c r="C4470" s="67">
        <f t="shared" si="213"/>
        <v>2018</v>
      </c>
      <c r="D4470" s="68">
        <v>18.645600000000002</v>
      </c>
      <c r="E4470" s="68">
        <v>18.565899999999999</v>
      </c>
      <c r="F4470" s="68">
        <v>18.657399999999999</v>
      </c>
    </row>
    <row r="4471" spans="1:6">
      <c r="A4471" s="57" t="s">
        <v>7050</v>
      </c>
      <c r="B4471" s="58">
        <f t="shared" si="212"/>
        <v>43158</v>
      </c>
      <c r="C4471" s="59">
        <f t="shared" si="213"/>
        <v>2018</v>
      </c>
      <c r="D4471" s="61">
        <v>18.790199999999999</v>
      </c>
      <c r="E4471" s="61">
        <v>18.645600000000002</v>
      </c>
      <c r="F4471" s="61">
        <v>18.565899999999999</v>
      </c>
    </row>
    <row r="4472" spans="1:6">
      <c r="A4472" s="65" t="s">
        <v>7051</v>
      </c>
      <c r="B4472" s="66">
        <f t="shared" si="212"/>
        <v>43159</v>
      </c>
      <c r="C4472" s="67">
        <f t="shared" si="213"/>
        <v>2018</v>
      </c>
      <c r="D4472" s="68">
        <v>18.833100000000002</v>
      </c>
      <c r="E4472" s="68">
        <v>18.790199999999999</v>
      </c>
      <c r="F4472" s="68">
        <v>18.645600000000002</v>
      </c>
    </row>
    <row r="4473" spans="1:6">
      <c r="A4473" s="57" t="s">
        <v>7052</v>
      </c>
      <c r="B4473" s="58">
        <f t="shared" si="212"/>
        <v>43160</v>
      </c>
      <c r="C4473" s="59">
        <f t="shared" si="213"/>
        <v>2018</v>
      </c>
      <c r="D4473" s="61">
        <v>18.861000000000001</v>
      </c>
      <c r="E4473" s="61">
        <v>18.833100000000002</v>
      </c>
      <c r="F4473" s="61">
        <v>18.790199999999999</v>
      </c>
    </row>
    <row r="4474" spans="1:6">
      <c r="A4474" s="65" t="s">
        <v>7053</v>
      </c>
      <c r="B4474" s="66">
        <f t="shared" si="212"/>
        <v>43161</v>
      </c>
      <c r="C4474" s="67">
        <f t="shared" si="213"/>
        <v>2018</v>
      </c>
      <c r="D4474" s="68">
        <v>18.890899999999998</v>
      </c>
      <c r="E4474" s="68">
        <v>18.861000000000001</v>
      </c>
      <c r="F4474" s="68">
        <v>18.833100000000002</v>
      </c>
    </row>
    <row r="4475" spans="1:6">
      <c r="A4475" s="57" t="s">
        <v>7054</v>
      </c>
      <c r="B4475" s="58">
        <f t="shared" si="212"/>
        <v>43162</v>
      </c>
      <c r="C4475" s="59">
        <f t="shared" si="213"/>
        <v>2018</v>
      </c>
      <c r="D4475" s="60" t="s">
        <v>362</v>
      </c>
      <c r="E4475" s="60" t="s">
        <v>362</v>
      </c>
      <c r="F4475" s="61">
        <v>18.861000000000001</v>
      </c>
    </row>
    <row r="4476" spans="1:6">
      <c r="A4476" s="65" t="s">
        <v>7055</v>
      </c>
      <c r="B4476" s="66">
        <f t="shared" si="212"/>
        <v>43163</v>
      </c>
      <c r="C4476" s="67">
        <f t="shared" si="213"/>
        <v>2018</v>
      </c>
      <c r="D4476" s="70" t="s">
        <v>362</v>
      </c>
      <c r="E4476" s="70" t="s">
        <v>362</v>
      </c>
      <c r="F4476" s="68">
        <v>18.861000000000001</v>
      </c>
    </row>
    <row r="4477" spans="1:6">
      <c r="A4477" s="57" t="s">
        <v>7056</v>
      </c>
      <c r="B4477" s="58">
        <f t="shared" si="212"/>
        <v>43164</v>
      </c>
      <c r="C4477" s="59">
        <f t="shared" si="213"/>
        <v>2018</v>
      </c>
      <c r="D4477" s="61">
        <v>18.883800000000001</v>
      </c>
      <c r="E4477" s="61">
        <v>18.890899999999998</v>
      </c>
      <c r="F4477" s="61">
        <v>18.861000000000001</v>
      </c>
    </row>
    <row r="4478" spans="1:6">
      <c r="A4478" s="65" t="s">
        <v>7057</v>
      </c>
      <c r="B4478" s="66">
        <f t="shared" si="212"/>
        <v>43165</v>
      </c>
      <c r="C4478" s="67">
        <f t="shared" si="213"/>
        <v>2018</v>
      </c>
      <c r="D4478" s="68">
        <v>18.724599999999999</v>
      </c>
      <c r="E4478" s="68">
        <v>18.883800000000001</v>
      </c>
      <c r="F4478" s="68">
        <v>18.890899999999998</v>
      </c>
    </row>
    <row r="4479" spans="1:6">
      <c r="A4479" s="57" t="s">
        <v>7058</v>
      </c>
      <c r="B4479" s="58">
        <f t="shared" si="212"/>
        <v>43166</v>
      </c>
      <c r="C4479" s="59">
        <f t="shared" si="213"/>
        <v>2018</v>
      </c>
      <c r="D4479" s="61">
        <v>18.792200000000001</v>
      </c>
      <c r="E4479" s="61">
        <v>18.724599999999999</v>
      </c>
      <c r="F4479" s="61">
        <v>18.883800000000001</v>
      </c>
    </row>
    <row r="4480" spans="1:6">
      <c r="A4480" s="65" t="s">
        <v>7059</v>
      </c>
      <c r="B4480" s="66">
        <f t="shared" si="212"/>
        <v>43167</v>
      </c>
      <c r="C4480" s="67">
        <f t="shared" si="213"/>
        <v>2018</v>
      </c>
      <c r="D4480" s="68">
        <v>18.7148</v>
      </c>
      <c r="E4480" s="68">
        <v>18.792200000000001</v>
      </c>
      <c r="F4480" s="68">
        <v>18.724599999999999</v>
      </c>
    </row>
    <row r="4481" spans="1:6">
      <c r="A4481" s="57" t="s">
        <v>7060</v>
      </c>
      <c r="B4481" s="58">
        <f t="shared" si="212"/>
        <v>43168</v>
      </c>
      <c r="C4481" s="59">
        <f t="shared" si="213"/>
        <v>2018</v>
      </c>
      <c r="D4481" s="61">
        <v>18.581199999999999</v>
      </c>
      <c r="E4481" s="61">
        <v>18.7148</v>
      </c>
      <c r="F4481" s="61">
        <v>18.792200000000001</v>
      </c>
    </row>
    <row r="4482" spans="1:6">
      <c r="A4482" s="65" t="s">
        <v>7061</v>
      </c>
      <c r="B4482" s="66">
        <f t="shared" si="212"/>
        <v>43169</v>
      </c>
      <c r="C4482" s="67">
        <f t="shared" si="213"/>
        <v>2018</v>
      </c>
      <c r="D4482" s="70" t="s">
        <v>362</v>
      </c>
      <c r="E4482" s="70" t="s">
        <v>362</v>
      </c>
      <c r="F4482" s="68">
        <v>18.7148</v>
      </c>
    </row>
    <row r="4483" spans="1:6">
      <c r="A4483" s="57" t="s">
        <v>7062</v>
      </c>
      <c r="B4483" s="58">
        <f t="shared" si="212"/>
        <v>43170</v>
      </c>
      <c r="C4483" s="59">
        <f t="shared" si="213"/>
        <v>2018</v>
      </c>
      <c r="D4483" s="60" t="s">
        <v>362</v>
      </c>
      <c r="E4483" s="60" t="s">
        <v>362</v>
      </c>
      <c r="F4483" s="61">
        <v>18.7148</v>
      </c>
    </row>
    <row r="4484" spans="1:6">
      <c r="A4484" s="65" t="s">
        <v>7063</v>
      </c>
      <c r="B4484" s="66">
        <f t="shared" si="212"/>
        <v>43171</v>
      </c>
      <c r="C4484" s="67">
        <f t="shared" si="213"/>
        <v>2018</v>
      </c>
      <c r="D4484" s="68">
        <v>18.619900000000001</v>
      </c>
      <c r="E4484" s="68">
        <v>18.581199999999999</v>
      </c>
      <c r="F4484" s="68">
        <v>18.7148</v>
      </c>
    </row>
    <row r="4485" spans="1:6">
      <c r="A4485" s="57" t="s">
        <v>7064</v>
      </c>
      <c r="B4485" s="58">
        <f t="shared" si="212"/>
        <v>43172</v>
      </c>
      <c r="C4485" s="59">
        <f t="shared" si="213"/>
        <v>2018</v>
      </c>
      <c r="D4485" s="61">
        <v>18.560400000000001</v>
      </c>
      <c r="E4485" s="61">
        <v>18.619900000000001</v>
      </c>
      <c r="F4485" s="61">
        <v>18.581199999999999</v>
      </c>
    </row>
    <row r="4486" spans="1:6">
      <c r="A4486" s="65" t="s">
        <v>7065</v>
      </c>
      <c r="B4486" s="66">
        <f t="shared" si="212"/>
        <v>43173</v>
      </c>
      <c r="C4486" s="67">
        <f t="shared" si="213"/>
        <v>2018</v>
      </c>
      <c r="D4486" s="68">
        <v>18.5854</v>
      </c>
      <c r="E4486" s="68">
        <v>18.560400000000001</v>
      </c>
      <c r="F4486" s="68">
        <v>18.619900000000001</v>
      </c>
    </row>
    <row r="4487" spans="1:6">
      <c r="A4487" s="57" t="s">
        <v>7066</v>
      </c>
      <c r="B4487" s="58">
        <f t="shared" si="212"/>
        <v>43174</v>
      </c>
      <c r="C4487" s="59">
        <f t="shared" si="213"/>
        <v>2018</v>
      </c>
      <c r="D4487" s="61">
        <v>18.702300000000001</v>
      </c>
      <c r="E4487" s="61">
        <v>18.5854</v>
      </c>
      <c r="F4487" s="61">
        <v>18.560400000000001</v>
      </c>
    </row>
    <row r="4488" spans="1:6">
      <c r="A4488" s="65" t="s">
        <v>7067</v>
      </c>
      <c r="B4488" s="66">
        <f t="shared" si="212"/>
        <v>43175</v>
      </c>
      <c r="C4488" s="67">
        <f t="shared" si="213"/>
        <v>2018</v>
      </c>
      <c r="D4488" s="68">
        <v>18.721599999999999</v>
      </c>
      <c r="E4488" s="68">
        <v>18.702300000000001</v>
      </c>
      <c r="F4488" s="68">
        <v>18.5854</v>
      </c>
    </row>
    <row r="4489" spans="1:6">
      <c r="A4489" s="57" t="s">
        <v>7068</v>
      </c>
      <c r="B4489" s="58">
        <f t="shared" si="212"/>
        <v>43176</v>
      </c>
      <c r="C4489" s="59">
        <f t="shared" si="213"/>
        <v>2018</v>
      </c>
      <c r="D4489" s="60" t="s">
        <v>362</v>
      </c>
      <c r="E4489" s="60" t="s">
        <v>362</v>
      </c>
      <c r="F4489" s="61">
        <v>18.702300000000001</v>
      </c>
    </row>
    <row r="4490" spans="1:6">
      <c r="A4490" s="65" t="s">
        <v>7069</v>
      </c>
      <c r="B4490" s="66">
        <f t="shared" si="212"/>
        <v>43177</v>
      </c>
      <c r="C4490" s="67">
        <f t="shared" si="213"/>
        <v>2018</v>
      </c>
      <c r="D4490" s="70" t="s">
        <v>362</v>
      </c>
      <c r="E4490" s="70" t="s">
        <v>362</v>
      </c>
      <c r="F4490" s="68">
        <v>18.702300000000001</v>
      </c>
    </row>
    <row r="4491" spans="1:6">
      <c r="A4491" s="57" t="s">
        <v>7070</v>
      </c>
      <c r="B4491" s="58">
        <f t="shared" si="212"/>
        <v>43178</v>
      </c>
      <c r="C4491" s="59">
        <f t="shared" si="213"/>
        <v>2018</v>
      </c>
      <c r="D4491" s="60" t="s">
        <v>362</v>
      </c>
      <c r="E4491" s="60" t="s">
        <v>362</v>
      </c>
      <c r="F4491" s="61">
        <v>18.702300000000001</v>
      </c>
    </row>
    <row r="4492" spans="1:6">
      <c r="A4492" s="65" t="s">
        <v>7071</v>
      </c>
      <c r="B4492" s="66">
        <f t="shared" si="212"/>
        <v>43179</v>
      </c>
      <c r="C4492" s="67">
        <f t="shared" si="213"/>
        <v>2018</v>
      </c>
      <c r="D4492" s="68">
        <v>18.761399999999998</v>
      </c>
      <c r="E4492" s="68">
        <v>18.721599999999999</v>
      </c>
      <c r="F4492" s="68">
        <v>18.702300000000001</v>
      </c>
    </row>
    <row r="4493" spans="1:6">
      <c r="A4493" s="57" t="s">
        <v>7072</v>
      </c>
      <c r="B4493" s="58">
        <f t="shared" si="212"/>
        <v>43180</v>
      </c>
      <c r="C4493" s="59">
        <f t="shared" si="213"/>
        <v>2018</v>
      </c>
      <c r="D4493" s="61">
        <v>18.600100000000001</v>
      </c>
      <c r="E4493" s="61">
        <v>18.761399999999998</v>
      </c>
      <c r="F4493" s="61">
        <v>18.721599999999999</v>
      </c>
    </row>
    <row r="4494" spans="1:6">
      <c r="A4494" s="65" t="s">
        <v>7073</v>
      </c>
      <c r="B4494" s="66">
        <f t="shared" si="212"/>
        <v>43181</v>
      </c>
      <c r="C4494" s="67">
        <f t="shared" si="213"/>
        <v>2018</v>
      </c>
      <c r="D4494" s="68">
        <v>18.5078</v>
      </c>
      <c r="E4494" s="68">
        <v>18.600100000000001</v>
      </c>
      <c r="F4494" s="68">
        <v>18.761399999999998</v>
      </c>
    </row>
    <row r="4495" spans="1:6">
      <c r="A4495" s="57" t="s">
        <v>7074</v>
      </c>
      <c r="B4495" s="58">
        <f t="shared" si="212"/>
        <v>43182</v>
      </c>
      <c r="C4495" s="59">
        <f t="shared" si="213"/>
        <v>2018</v>
      </c>
      <c r="D4495" s="61">
        <v>18.5364</v>
      </c>
      <c r="E4495" s="61">
        <v>18.5078</v>
      </c>
      <c r="F4495" s="61">
        <v>18.600100000000001</v>
      </c>
    </row>
    <row r="4496" spans="1:6">
      <c r="A4496" s="65" t="s">
        <v>7075</v>
      </c>
      <c r="B4496" s="66">
        <f t="shared" si="212"/>
        <v>43183</v>
      </c>
      <c r="C4496" s="67">
        <f t="shared" si="213"/>
        <v>2018</v>
      </c>
      <c r="D4496" s="70" t="s">
        <v>362</v>
      </c>
      <c r="E4496" s="70" t="s">
        <v>362</v>
      </c>
      <c r="F4496" s="68">
        <v>18.5078</v>
      </c>
    </row>
    <row r="4497" spans="1:6">
      <c r="A4497" s="57" t="s">
        <v>7076</v>
      </c>
      <c r="B4497" s="58">
        <f t="shared" si="212"/>
        <v>43184</v>
      </c>
      <c r="C4497" s="59">
        <f t="shared" si="213"/>
        <v>2018</v>
      </c>
      <c r="D4497" s="60" t="s">
        <v>362</v>
      </c>
      <c r="E4497" s="60" t="s">
        <v>362</v>
      </c>
      <c r="F4497" s="61">
        <v>18.5078</v>
      </c>
    </row>
    <row r="4498" spans="1:6">
      <c r="A4498" s="65" t="s">
        <v>7077</v>
      </c>
      <c r="B4498" s="66">
        <f t="shared" si="212"/>
        <v>43185</v>
      </c>
      <c r="C4498" s="67">
        <f t="shared" si="213"/>
        <v>2018</v>
      </c>
      <c r="D4498" s="68">
        <v>18.326799999999999</v>
      </c>
      <c r="E4498" s="68">
        <v>18.5364</v>
      </c>
      <c r="F4498" s="68">
        <v>18.5078</v>
      </c>
    </row>
    <row r="4499" spans="1:6">
      <c r="A4499" s="57" t="s">
        <v>7078</v>
      </c>
      <c r="B4499" s="58">
        <f t="shared" si="212"/>
        <v>43186</v>
      </c>
      <c r="C4499" s="59">
        <f t="shared" si="213"/>
        <v>2018</v>
      </c>
      <c r="D4499" s="61">
        <v>18.3445</v>
      </c>
      <c r="E4499" s="61">
        <v>18.326799999999999</v>
      </c>
      <c r="F4499" s="61">
        <v>18.5364</v>
      </c>
    </row>
    <row r="4500" spans="1:6">
      <c r="A4500" s="65" t="s">
        <v>7079</v>
      </c>
      <c r="B4500" s="66">
        <f t="shared" si="212"/>
        <v>43187</v>
      </c>
      <c r="C4500" s="67">
        <f t="shared" si="213"/>
        <v>2018</v>
      </c>
      <c r="D4500" s="68">
        <v>18.270900000000001</v>
      </c>
      <c r="E4500" s="68">
        <v>18.3445</v>
      </c>
      <c r="F4500" s="68">
        <v>18.326799999999999</v>
      </c>
    </row>
    <row r="4501" spans="1:6">
      <c r="A4501" s="57" t="s">
        <v>7080</v>
      </c>
      <c r="B4501" s="58">
        <f t="shared" si="212"/>
        <v>43188</v>
      </c>
      <c r="C4501" s="59">
        <f t="shared" si="213"/>
        <v>2018</v>
      </c>
      <c r="D4501" s="60" t="s">
        <v>362</v>
      </c>
      <c r="E4501" s="60" t="s">
        <v>362</v>
      </c>
      <c r="F4501" s="61">
        <v>18.3445</v>
      </c>
    </row>
    <row r="4502" spans="1:6">
      <c r="A4502" s="65" t="s">
        <v>7081</v>
      </c>
      <c r="B4502" s="66">
        <f t="shared" si="212"/>
        <v>43189</v>
      </c>
      <c r="C4502" s="67">
        <f t="shared" si="213"/>
        <v>2018</v>
      </c>
      <c r="D4502" s="70" t="s">
        <v>362</v>
      </c>
      <c r="E4502" s="70" t="s">
        <v>362</v>
      </c>
      <c r="F4502" s="68">
        <v>18.3445</v>
      </c>
    </row>
    <row r="4503" spans="1:6">
      <c r="A4503" s="57" t="s">
        <v>7082</v>
      </c>
      <c r="B4503" s="58">
        <f t="shared" si="212"/>
        <v>43190</v>
      </c>
      <c r="C4503" s="59">
        <f t="shared" si="213"/>
        <v>2018</v>
      </c>
      <c r="D4503" s="60" t="s">
        <v>362</v>
      </c>
      <c r="E4503" s="60" t="s">
        <v>362</v>
      </c>
      <c r="F4503" s="61">
        <v>18.3445</v>
      </c>
    </row>
    <row r="4504" spans="1:6">
      <c r="A4504" s="65" t="s">
        <v>7083</v>
      </c>
      <c r="B4504" s="66">
        <f t="shared" si="212"/>
        <v>43191</v>
      </c>
      <c r="C4504" s="67">
        <f t="shared" si="213"/>
        <v>2018</v>
      </c>
      <c r="D4504" s="70" t="s">
        <v>362</v>
      </c>
      <c r="E4504" s="70" t="s">
        <v>362</v>
      </c>
      <c r="F4504" s="68">
        <v>18.3445</v>
      </c>
    </row>
    <row r="4505" spans="1:6">
      <c r="A4505" s="57" t="s">
        <v>7084</v>
      </c>
      <c r="B4505" s="58">
        <f t="shared" si="212"/>
        <v>43192</v>
      </c>
      <c r="C4505" s="59">
        <f t="shared" si="213"/>
        <v>2018</v>
      </c>
      <c r="D4505" s="61">
        <v>18.296700000000001</v>
      </c>
      <c r="E4505" s="61">
        <v>18.270900000000001</v>
      </c>
      <c r="F4505" s="61">
        <v>18.3445</v>
      </c>
    </row>
    <row r="4506" spans="1:6">
      <c r="A4506" s="65" t="s">
        <v>7085</v>
      </c>
      <c r="B4506" s="66">
        <f t="shared" si="212"/>
        <v>43193</v>
      </c>
      <c r="C4506" s="67">
        <f t="shared" si="213"/>
        <v>2018</v>
      </c>
      <c r="D4506" s="68">
        <v>18.2044</v>
      </c>
      <c r="E4506" s="68">
        <v>18.296700000000001</v>
      </c>
      <c r="F4506" s="68">
        <v>18.270900000000001</v>
      </c>
    </row>
    <row r="4507" spans="1:6">
      <c r="A4507" s="57" t="s">
        <v>7086</v>
      </c>
      <c r="B4507" s="58">
        <f t="shared" si="212"/>
        <v>43194</v>
      </c>
      <c r="C4507" s="59">
        <f t="shared" si="213"/>
        <v>2018</v>
      </c>
      <c r="D4507" s="61">
        <v>18.224399999999999</v>
      </c>
      <c r="E4507" s="61">
        <v>18.2044</v>
      </c>
      <c r="F4507" s="61">
        <v>18.296700000000001</v>
      </c>
    </row>
    <row r="4508" spans="1:6">
      <c r="A4508" s="65" t="s">
        <v>7087</v>
      </c>
      <c r="B4508" s="66">
        <f t="shared" si="212"/>
        <v>43195</v>
      </c>
      <c r="C4508" s="67">
        <f t="shared" si="213"/>
        <v>2018</v>
      </c>
      <c r="D4508" s="68">
        <v>18.1081</v>
      </c>
      <c r="E4508" s="68">
        <v>18.224399999999999</v>
      </c>
      <c r="F4508" s="68">
        <v>18.2044</v>
      </c>
    </row>
    <row r="4509" spans="1:6">
      <c r="A4509" s="57" t="s">
        <v>7088</v>
      </c>
      <c r="B4509" s="58">
        <f t="shared" si="212"/>
        <v>43196</v>
      </c>
      <c r="C4509" s="59">
        <f t="shared" si="213"/>
        <v>2018</v>
      </c>
      <c r="D4509" s="61">
        <v>18.288799999999998</v>
      </c>
      <c r="E4509" s="61">
        <v>18.1081</v>
      </c>
      <c r="F4509" s="61">
        <v>18.224399999999999</v>
      </c>
    </row>
    <row r="4510" spans="1:6">
      <c r="A4510" s="65" t="s">
        <v>7089</v>
      </c>
      <c r="B4510" s="66">
        <f t="shared" si="212"/>
        <v>43197</v>
      </c>
      <c r="C4510" s="67">
        <f t="shared" si="213"/>
        <v>2018</v>
      </c>
      <c r="D4510" s="70" t="s">
        <v>362</v>
      </c>
      <c r="E4510" s="70" t="s">
        <v>362</v>
      </c>
      <c r="F4510" s="68">
        <v>18.1081</v>
      </c>
    </row>
    <row r="4511" spans="1:6">
      <c r="A4511" s="57" t="s">
        <v>7090</v>
      </c>
      <c r="B4511" s="58">
        <f t="shared" ref="B4511:B4564" si="214">DATE(RIGHT(A4511,4),LEFT(RIGHT(A4511,7),2),LEFT(A4511,2))</f>
        <v>43198</v>
      </c>
      <c r="C4511" s="59">
        <f t="shared" ref="C4511:C4564" si="215">YEAR(B4511)</f>
        <v>2018</v>
      </c>
      <c r="D4511" s="60" t="s">
        <v>362</v>
      </c>
      <c r="E4511" s="60" t="s">
        <v>362</v>
      </c>
      <c r="F4511" s="61">
        <v>18.1081</v>
      </c>
    </row>
    <row r="4512" spans="1:6">
      <c r="A4512" s="65" t="s">
        <v>7091</v>
      </c>
      <c r="B4512" s="66">
        <f t="shared" si="214"/>
        <v>43199</v>
      </c>
      <c r="C4512" s="67">
        <f t="shared" si="215"/>
        <v>2018</v>
      </c>
      <c r="D4512" s="68">
        <v>18.275300000000001</v>
      </c>
      <c r="E4512" s="68">
        <v>18.288799999999998</v>
      </c>
      <c r="F4512" s="68">
        <v>18.1081</v>
      </c>
    </row>
    <row r="4513" spans="1:6">
      <c r="A4513" s="57" t="s">
        <v>7092</v>
      </c>
      <c r="B4513" s="58">
        <f t="shared" si="214"/>
        <v>43200</v>
      </c>
      <c r="C4513" s="59">
        <f t="shared" si="215"/>
        <v>2018</v>
      </c>
      <c r="D4513" s="61">
        <v>18.2882</v>
      </c>
      <c r="E4513" s="61">
        <v>18.275300000000001</v>
      </c>
      <c r="F4513" s="61">
        <v>18.288799999999998</v>
      </c>
    </row>
    <row r="4514" spans="1:6">
      <c r="A4514" s="65" t="s">
        <v>7093</v>
      </c>
      <c r="B4514" s="66">
        <f t="shared" si="214"/>
        <v>43201</v>
      </c>
      <c r="C4514" s="67">
        <f t="shared" si="215"/>
        <v>2018</v>
      </c>
      <c r="D4514" s="68">
        <v>18.201799999999999</v>
      </c>
      <c r="E4514" s="68">
        <v>18.2882</v>
      </c>
      <c r="F4514" s="68">
        <v>18.275300000000001</v>
      </c>
    </row>
    <row r="4515" spans="1:6">
      <c r="A4515" s="57" t="s">
        <v>7094</v>
      </c>
      <c r="B4515" s="58">
        <f t="shared" si="214"/>
        <v>43202</v>
      </c>
      <c r="C4515" s="59">
        <f t="shared" si="215"/>
        <v>2018</v>
      </c>
      <c r="D4515" s="61">
        <v>18.135300000000001</v>
      </c>
      <c r="E4515" s="61">
        <v>18.201799999999999</v>
      </c>
      <c r="F4515" s="61">
        <v>18.2882</v>
      </c>
    </row>
    <row r="4516" spans="1:6">
      <c r="A4516" s="65" t="s">
        <v>7095</v>
      </c>
      <c r="B4516" s="66">
        <f t="shared" si="214"/>
        <v>43203</v>
      </c>
      <c r="C4516" s="67">
        <f t="shared" si="215"/>
        <v>2018</v>
      </c>
      <c r="D4516" s="68">
        <v>18.087</v>
      </c>
      <c r="E4516" s="68">
        <v>18.135300000000001</v>
      </c>
      <c r="F4516" s="68">
        <v>18.201799999999999</v>
      </c>
    </row>
    <row r="4517" spans="1:6">
      <c r="A4517" s="57" t="s">
        <v>7096</v>
      </c>
      <c r="B4517" s="58">
        <f t="shared" si="214"/>
        <v>43204</v>
      </c>
      <c r="C4517" s="59">
        <f t="shared" si="215"/>
        <v>2018</v>
      </c>
      <c r="D4517" s="60" t="s">
        <v>362</v>
      </c>
      <c r="E4517" s="60" t="s">
        <v>362</v>
      </c>
      <c r="F4517" s="61">
        <v>18.135300000000001</v>
      </c>
    </row>
    <row r="4518" spans="1:6">
      <c r="A4518" s="65" t="s">
        <v>7097</v>
      </c>
      <c r="B4518" s="66">
        <f t="shared" si="214"/>
        <v>43205</v>
      </c>
      <c r="C4518" s="67">
        <f t="shared" si="215"/>
        <v>2018</v>
      </c>
      <c r="D4518" s="70" t="s">
        <v>362</v>
      </c>
      <c r="E4518" s="70" t="s">
        <v>362</v>
      </c>
      <c r="F4518" s="68">
        <v>18.135300000000001</v>
      </c>
    </row>
    <row r="4519" spans="1:6">
      <c r="A4519" s="57" t="s">
        <v>7098</v>
      </c>
      <c r="B4519" s="58">
        <f t="shared" si="214"/>
        <v>43206</v>
      </c>
      <c r="C4519" s="59">
        <f t="shared" si="215"/>
        <v>2018</v>
      </c>
      <c r="D4519" s="61">
        <v>18.039400000000001</v>
      </c>
      <c r="E4519" s="61">
        <v>18.087</v>
      </c>
      <c r="F4519" s="61">
        <v>18.135300000000001</v>
      </c>
    </row>
    <row r="4520" spans="1:6">
      <c r="A4520" s="65" t="s">
        <v>7099</v>
      </c>
      <c r="B4520" s="66">
        <f t="shared" si="214"/>
        <v>43207</v>
      </c>
      <c r="C4520" s="67">
        <f t="shared" si="215"/>
        <v>2018</v>
      </c>
      <c r="D4520" s="68">
        <v>17.9787</v>
      </c>
      <c r="E4520" s="68">
        <v>18.039400000000001</v>
      </c>
      <c r="F4520" s="68">
        <v>18.087</v>
      </c>
    </row>
    <row r="4521" spans="1:6">
      <c r="A4521" s="57" t="s">
        <v>7100</v>
      </c>
      <c r="B4521" s="58">
        <f t="shared" si="214"/>
        <v>43208</v>
      </c>
      <c r="C4521" s="59">
        <f t="shared" si="215"/>
        <v>2018</v>
      </c>
      <c r="D4521" s="61">
        <v>18.033300000000001</v>
      </c>
      <c r="E4521" s="61">
        <v>17.9787</v>
      </c>
      <c r="F4521" s="61">
        <v>18.039400000000001</v>
      </c>
    </row>
    <row r="4522" spans="1:6">
      <c r="A4522" s="65" t="s">
        <v>7101</v>
      </c>
      <c r="B4522" s="66">
        <f t="shared" si="214"/>
        <v>43209</v>
      </c>
      <c r="C4522" s="67">
        <f t="shared" si="215"/>
        <v>2018</v>
      </c>
      <c r="D4522" s="68">
        <v>18.2819</v>
      </c>
      <c r="E4522" s="68">
        <v>18.033300000000001</v>
      </c>
      <c r="F4522" s="68">
        <v>17.9787</v>
      </c>
    </row>
    <row r="4523" spans="1:6">
      <c r="A4523" s="57" t="s">
        <v>7102</v>
      </c>
      <c r="B4523" s="58">
        <f t="shared" si="214"/>
        <v>43210</v>
      </c>
      <c r="C4523" s="59">
        <f t="shared" si="215"/>
        <v>2018</v>
      </c>
      <c r="D4523" s="61">
        <v>18.620999999999999</v>
      </c>
      <c r="E4523" s="61">
        <v>18.2819</v>
      </c>
      <c r="F4523" s="61">
        <v>18.033300000000001</v>
      </c>
    </row>
    <row r="4524" spans="1:6">
      <c r="A4524" s="65" t="s">
        <v>7103</v>
      </c>
      <c r="B4524" s="66">
        <f t="shared" si="214"/>
        <v>43211</v>
      </c>
      <c r="C4524" s="67">
        <f t="shared" si="215"/>
        <v>2018</v>
      </c>
      <c r="D4524" s="70" t="s">
        <v>362</v>
      </c>
      <c r="E4524" s="70" t="s">
        <v>362</v>
      </c>
      <c r="F4524" s="68">
        <v>18.2819</v>
      </c>
    </row>
    <row r="4525" spans="1:6">
      <c r="A4525" s="57" t="s">
        <v>7104</v>
      </c>
      <c r="B4525" s="58">
        <f t="shared" si="214"/>
        <v>43212</v>
      </c>
      <c r="C4525" s="59">
        <f t="shared" si="215"/>
        <v>2018</v>
      </c>
      <c r="D4525" s="60" t="s">
        <v>362</v>
      </c>
      <c r="E4525" s="60" t="s">
        <v>362</v>
      </c>
      <c r="F4525" s="61">
        <v>18.2819</v>
      </c>
    </row>
    <row r="4526" spans="1:6">
      <c r="A4526" s="65" t="s">
        <v>7105</v>
      </c>
      <c r="B4526" s="66">
        <f t="shared" si="214"/>
        <v>43213</v>
      </c>
      <c r="C4526" s="67">
        <f t="shared" si="215"/>
        <v>2018</v>
      </c>
      <c r="D4526" s="68">
        <v>18.8628</v>
      </c>
      <c r="E4526" s="68">
        <v>18.620999999999999</v>
      </c>
      <c r="F4526" s="68">
        <v>18.2819</v>
      </c>
    </row>
    <row r="4527" spans="1:6">
      <c r="A4527" s="57" t="s">
        <v>7106</v>
      </c>
      <c r="B4527" s="58">
        <f t="shared" si="214"/>
        <v>43214</v>
      </c>
      <c r="C4527" s="59">
        <f t="shared" si="215"/>
        <v>2018</v>
      </c>
      <c r="D4527" s="61">
        <v>18.8139</v>
      </c>
      <c r="E4527" s="61">
        <v>18.8628</v>
      </c>
      <c r="F4527" s="61">
        <v>18.620999999999999</v>
      </c>
    </row>
    <row r="4528" spans="1:6">
      <c r="A4528" s="65" t="s">
        <v>7107</v>
      </c>
      <c r="B4528" s="66">
        <f t="shared" si="214"/>
        <v>43215</v>
      </c>
      <c r="C4528" s="67">
        <f t="shared" si="215"/>
        <v>2018</v>
      </c>
      <c r="D4528" s="68">
        <v>19.053000000000001</v>
      </c>
      <c r="E4528" s="68">
        <v>18.8139</v>
      </c>
      <c r="F4528" s="68">
        <v>18.8628</v>
      </c>
    </row>
    <row r="4529" spans="1:6">
      <c r="A4529" s="57" t="s">
        <v>7108</v>
      </c>
      <c r="B4529" s="58">
        <f t="shared" si="214"/>
        <v>43216</v>
      </c>
      <c r="C4529" s="59">
        <f t="shared" si="215"/>
        <v>2018</v>
      </c>
      <c r="D4529" s="61">
        <v>18.8644</v>
      </c>
      <c r="E4529" s="61">
        <v>19.053000000000001</v>
      </c>
      <c r="F4529" s="61">
        <v>18.8139</v>
      </c>
    </row>
    <row r="4530" spans="1:6">
      <c r="A4530" s="65" t="s">
        <v>7109</v>
      </c>
      <c r="B4530" s="66">
        <f t="shared" si="214"/>
        <v>43217</v>
      </c>
      <c r="C4530" s="67">
        <f t="shared" si="215"/>
        <v>2018</v>
      </c>
      <c r="D4530" s="68">
        <v>18.684699999999999</v>
      </c>
      <c r="E4530" s="68">
        <v>18.8644</v>
      </c>
      <c r="F4530" s="68">
        <v>19.053000000000001</v>
      </c>
    </row>
    <row r="4531" spans="1:6">
      <c r="A4531" s="57" t="s">
        <v>7110</v>
      </c>
      <c r="B4531" s="58">
        <f t="shared" si="214"/>
        <v>43218</v>
      </c>
      <c r="C4531" s="59">
        <f t="shared" si="215"/>
        <v>2018</v>
      </c>
      <c r="D4531" s="60" t="s">
        <v>362</v>
      </c>
      <c r="E4531" s="60" t="s">
        <v>362</v>
      </c>
      <c r="F4531" s="61">
        <v>18.8644</v>
      </c>
    </row>
    <row r="4532" spans="1:6">
      <c r="A4532" s="65" t="s">
        <v>7111</v>
      </c>
      <c r="B4532" s="66">
        <f t="shared" si="214"/>
        <v>43219</v>
      </c>
      <c r="C4532" s="67">
        <f t="shared" si="215"/>
        <v>2018</v>
      </c>
      <c r="D4532" s="70" t="s">
        <v>362</v>
      </c>
      <c r="E4532" s="70" t="s">
        <v>362</v>
      </c>
      <c r="F4532" s="68">
        <v>18.8644</v>
      </c>
    </row>
    <row r="4533" spans="1:6">
      <c r="A4533" s="57" t="s">
        <v>7112</v>
      </c>
      <c r="B4533" s="58">
        <f t="shared" si="214"/>
        <v>43220</v>
      </c>
      <c r="C4533" s="59">
        <f t="shared" si="215"/>
        <v>2018</v>
      </c>
      <c r="D4533" s="61">
        <v>18.787800000000001</v>
      </c>
      <c r="E4533" s="61">
        <v>18.684699999999999</v>
      </c>
      <c r="F4533" s="61">
        <v>18.8644</v>
      </c>
    </row>
    <row r="4534" spans="1:6">
      <c r="A4534" s="65" t="s">
        <v>7113</v>
      </c>
      <c r="B4534" s="66">
        <f t="shared" si="214"/>
        <v>43221</v>
      </c>
      <c r="C4534" s="67">
        <f t="shared" si="215"/>
        <v>2018</v>
      </c>
      <c r="D4534" s="70" t="s">
        <v>362</v>
      </c>
      <c r="E4534" s="70" t="s">
        <v>362</v>
      </c>
      <c r="F4534" s="68">
        <v>18.684699999999999</v>
      </c>
    </row>
    <row r="4535" spans="1:6">
      <c r="A4535" s="57" t="s">
        <v>7114</v>
      </c>
      <c r="B4535" s="58">
        <f t="shared" si="214"/>
        <v>43222</v>
      </c>
      <c r="C4535" s="59">
        <f t="shared" si="215"/>
        <v>2018</v>
      </c>
      <c r="D4535" s="61">
        <v>19.0943</v>
      </c>
      <c r="E4535" s="61">
        <v>18.787800000000001</v>
      </c>
      <c r="F4535" s="61">
        <v>18.684699999999999</v>
      </c>
    </row>
    <row r="4536" spans="1:6">
      <c r="A4536" s="65" t="s">
        <v>7115</v>
      </c>
      <c r="B4536" s="66">
        <f t="shared" si="214"/>
        <v>43223</v>
      </c>
      <c r="C4536" s="67">
        <f t="shared" si="215"/>
        <v>2018</v>
      </c>
      <c r="D4536" s="68">
        <v>19.122299999999999</v>
      </c>
      <c r="E4536" s="68">
        <v>19.0943</v>
      </c>
      <c r="F4536" s="68">
        <v>18.787800000000001</v>
      </c>
    </row>
    <row r="4537" spans="1:6">
      <c r="A4537" s="57" t="s">
        <v>7116</v>
      </c>
      <c r="B4537" s="58">
        <f t="shared" si="214"/>
        <v>43224</v>
      </c>
      <c r="C4537" s="59">
        <f t="shared" si="215"/>
        <v>2018</v>
      </c>
      <c r="D4537" s="61">
        <v>19.201699999999999</v>
      </c>
      <c r="E4537" s="61">
        <v>19.122299999999999</v>
      </c>
      <c r="F4537" s="61">
        <v>19.0943</v>
      </c>
    </row>
    <row r="4538" spans="1:6">
      <c r="A4538" s="65" t="s">
        <v>7117</v>
      </c>
      <c r="B4538" s="66">
        <f t="shared" si="214"/>
        <v>43225</v>
      </c>
      <c r="C4538" s="67">
        <f t="shared" si="215"/>
        <v>2018</v>
      </c>
      <c r="D4538" s="70" t="s">
        <v>362</v>
      </c>
      <c r="E4538" s="70" t="s">
        <v>362</v>
      </c>
      <c r="F4538" s="68">
        <v>19.122299999999999</v>
      </c>
    </row>
    <row r="4539" spans="1:6">
      <c r="A4539" s="57" t="s">
        <v>7118</v>
      </c>
      <c r="B4539" s="58">
        <f t="shared" si="214"/>
        <v>43226</v>
      </c>
      <c r="C4539" s="59">
        <f t="shared" si="215"/>
        <v>2018</v>
      </c>
      <c r="D4539" s="60" t="s">
        <v>362</v>
      </c>
      <c r="E4539" s="60" t="s">
        <v>362</v>
      </c>
      <c r="F4539" s="61">
        <v>19.122299999999999</v>
      </c>
    </row>
    <row r="4540" spans="1:6">
      <c r="A4540" s="65" t="s">
        <v>7119</v>
      </c>
      <c r="B4540" s="66">
        <f t="shared" si="214"/>
        <v>43227</v>
      </c>
      <c r="C4540" s="67">
        <f t="shared" si="215"/>
        <v>2018</v>
      </c>
      <c r="D4540" s="68">
        <v>19.423200000000001</v>
      </c>
      <c r="E4540" s="68">
        <v>19.201699999999999</v>
      </c>
      <c r="F4540" s="68">
        <v>19.122299999999999</v>
      </c>
    </row>
    <row r="4541" spans="1:6">
      <c r="A4541" s="57" t="s">
        <v>7120</v>
      </c>
      <c r="B4541" s="58">
        <f t="shared" si="214"/>
        <v>43228</v>
      </c>
      <c r="C4541" s="59">
        <f t="shared" si="215"/>
        <v>2018</v>
      </c>
      <c r="D4541" s="61">
        <v>19.578099999999999</v>
      </c>
      <c r="E4541" s="61">
        <v>19.423200000000001</v>
      </c>
      <c r="F4541" s="61">
        <v>19.201699999999999</v>
      </c>
    </row>
    <row r="4542" spans="1:6">
      <c r="A4542" s="65" t="s">
        <v>7121</v>
      </c>
      <c r="B4542" s="66">
        <f t="shared" si="214"/>
        <v>43229</v>
      </c>
      <c r="C4542" s="67">
        <f t="shared" si="215"/>
        <v>2018</v>
      </c>
      <c r="D4542" s="68">
        <v>19.538699999999999</v>
      </c>
      <c r="E4542" s="68">
        <v>19.578099999999999</v>
      </c>
      <c r="F4542" s="68">
        <v>19.423200000000001</v>
      </c>
    </row>
    <row r="4543" spans="1:6">
      <c r="A4543" s="57" t="s">
        <v>7122</v>
      </c>
      <c r="B4543" s="58">
        <f t="shared" si="214"/>
        <v>43230</v>
      </c>
      <c r="C4543" s="59">
        <f t="shared" si="215"/>
        <v>2018</v>
      </c>
      <c r="D4543" s="61">
        <v>19.2989</v>
      </c>
      <c r="E4543" s="61">
        <v>19.538699999999999</v>
      </c>
      <c r="F4543" s="61">
        <v>19.578099999999999</v>
      </c>
    </row>
    <row r="4544" spans="1:6">
      <c r="A4544" s="65" t="s">
        <v>7123</v>
      </c>
      <c r="B4544" s="66">
        <f t="shared" si="214"/>
        <v>43231</v>
      </c>
      <c r="C4544" s="67">
        <f t="shared" si="215"/>
        <v>2018</v>
      </c>
      <c r="D4544" s="68">
        <v>19.353899999999999</v>
      </c>
      <c r="E4544" s="68">
        <v>19.2989</v>
      </c>
      <c r="F4544" s="68">
        <v>19.538699999999999</v>
      </c>
    </row>
    <row r="4545" spans="1:6">
      <c r="A4545" s="57" t="s">
        <v>7124</v>
      </c>
      <c r="B4545" s="58">
        <f t="shared" si="214"/>
        <v>43232</v>
      </c>
      <c r="C4545" s="59">
        <f t="shared" si="215"/>
        <v>2018</v>
      </c>
      <c r="D4545" s="60" t="s">
        <v>362</v>
      </c>
      <c r="E4545" s="60" t="s">
        <v>362</v>
      </c>
      <c r="F4545" s="61">
        <v>19.2989</v>
      </c>
    </row>
    <row r="4546" spans="1:6">
      <c r="A4546" s="65" t="s">
        <v>7125</v>
      </c>
      <c r="B4546" s="66">
        <f t="shared" si="214"/>
        <v>43233</v>
      </c>
      <c r="C4546" s="67">
        <f t="shared" si="215"/>
        <v>2018</v>
      </c>
      <c r="D4546" s="70" t="s">
        <v>362</v>
      </c>
      <c r="E4546" s="70" t="s">
        <v>362</v>
      </c>
      <c r="F4546" s="68">
        <v>19.2989</v>
      </c>
    </row>
    <row r="4547" spans="1:6">
      <c r="A4547" s="57" t="s">
        <v>7126</v>
      </c>
      <c r="B4547" s="58">
        <f t="shared" si="214"/>
        <v>43234</v>
      </c>
      <c r="C4547" s="59">
        <f t="shared" si="215"/>
        <v>2018</v>
      </c>
      <c r="D4547" s="61">
        <v>19.5214</v>
      </c>
      <c r="E4547" s="61">
        <v>19.353899999999999</v>
      </c>
      <c r="F4547" s="61">
        <v>19.2989</v>
      </c>
    </row>
    <row r="4548" spans="1:6">
      <c r="A4548" s="65" t="s">
        <v>7127</v>
      </c>
      <c r="B4548" s="66">
        <f t="shared" si="214"/>
        <v>43235</v>
      </c>
      <c r="C4548" s="67">
        <f t="shared" si="215"/>
        <v>2018</v>
      </c>
      <c r="D4548" s="68">
        <v>19.785399999999999</v>
      </c>
      <c r="E4548" s="68">
        <v>19.5214</v>
      </c>
      <c r="F4548" s="68">
        <v>19.353899999999999</v>
      </c>
    </row>
    <row r="4549" spans="1:6">
      <c r="A4549" s="57" t="s">
        <v>7128</v>
      </c>
      <c r="B4549" s="58">
        <f t="shared" si="214"/>
        <v>43236</v>
      </c>
      <c r="C4549" s="59">
        <f t="shared" si="215"/>
        <v>2018</v>
      </c>
      <c r="D4549" s="61">
        <v>19.709399999999999</v>
      </c>
      <c r="E4549" s="61">
        <v>19.785399999999999</v>
      </c>
      <c r="F4549" s="61">
        <v>19.5214</v>
      </c>
    </row>
    <row r="4550" spans="1:6">
      <c r="A4550" s="65" t="s">
        <v>7129</v>
      </c>
      <c r="B4550" s="66">
        <f t="shared" si="214"/>
        <v>43237</v>
      </c>
      <c r="C4550" s="67">
        <f t="shared" si="215"/>
        <v>2018</v>
      </c>
      <c r="D4550" s="68">
        <v>19.703299999999999</v>
      </c>
      <c r="E4550" s="68">
        <v>19.709399999999999</v>
      </c>
      <c r="F4550" s="68">
        <v>19.785399999999999</v>
      </c>
    </row>
    <row r="4551" spans="1:6">
      <c r="A4551" s="57" t="s">
        <v>7130</v>
      </c>
      <c r="B4551" s="58">
        <f t="shared" si="214"/>
        <v>43238</v>
      </c>
      <c r="C4551" s="59">
        <f t="shared" si="215"/>
        <v>2018</v>
      </c>
      <c r="D4551" s="61">
        <v>19.931899999999999</v>
      </c>
      <c r="E4551" s="61">
        <v>19.703299999999999</v>
      </c>
      <c r="F4551" s="61">
        <v>19.709399999999999</v>
      </c>
    </row>
    <row r="4552" spans="1:6">
      <c r="A4552" s="65" t="s">
        <v>7131</v>
      </c>
      <c r="B4552" s="66">
        <f t="shared" si="214"/>
        <v>43239</v>
      </c>
      <c r="C4552" s="67">
        <f t="shared" si="215"/>
        <v>2018</v>
      </c>
      <c r="D4552" s="70" t="s">
        <v>362</v>
      </c>
      <c r="E4552" s="70" t="s">
        <v>362</v>
      </c>
      <c r="F4552" s="68">
        <v>19.703299999999999</v>
      </c>
    </row>
    <row r="4553" spans="1:6">
      <c r="A4553" s="57" t="s">
        <v>7132</v>
      </c>
      <c r="B4553" s="58">
        <f t="shared" si="214"/>
        <v>43240</v>
      </c>
      <c r="C4553" s="59">
        <f t="shared" si="215"/>
        <v>2018</v>
      </c>
      <c r="D4553" s="60" t="s">
        <v>362</v>
      </c>
      <c r="E4553" s="60" t="s">
        <v>362</v>
      </c>
      <c r="F4553" s="61">
        <v>19.703299999999999</v>
      </c>
    </row>
    <row r="4554" spans="1:6">
      <c r="A4554" s="65" t="s">
        <v>7133</v>
      </c>
      <c r="B4554" s="66">
        <f t="shared" si="214"/>
        <v>43241</v>
      </c>
      <c r="C4554" s="67">
        <f t="shared" si="215"/>
        <v>2018</v>
      </c>
      <c r="D4554" s="68">
        <v>19.9054</v>
      </c>
      <c r="E4554" s="68">
        <v>19.931899999999999</v>
      </c>
      <c r="F4554" s="68">
        <v>19.703299999999999</v>
      </c>
    </row>
    <row r="4555" spans="1:6">
      <c r="A4555" s="57" t="s">
        <v>7134</v>
      </c>
      <c r="B4555" s="58">
        <f t="shared" si="214"/>
        <v>43242</v>
      </c>
      <c r="C4555" s="59">
        <f t="shared" si="215"/>
        <v>2018</v>
      </c>
      <c r="D4555" s="61">
        <v>19.752800000000001</v>
      </c>
      <c r="E4555" s="61">
        <v>19.9054</v>
      </c>
      <c r="F4555" s="61">
        <v>19.931899999999999</v>
      </c>
    </row>
    <row r="4556" spans="1:6">
      <c r="A4556" s="65" t="s">
        <v>7135</v>
      </c>
      <c r="B4556" s="66">
        <f t="shared" si="214"/>
        <v>43243</v>
      </c>
      <c r="C4556" s="67">
        <f t="shared" si="215"/>
        <v>2018</v>
      </c>
      <c r="D4556" s="68">
        <v>19.766100000000002</v>
      </c>
      <c r="E4556" s="68">
        <v>19.752800000000001</v>
      </c>
      <c r="F4556" s="68">
        <v>19.9054</v>
      </c>
    </row>
    <row r="4557" spans="1:6">
      <c r="A4557" s="57" t="s">
        <v>7136</v>
      </c>
      <c r="B4557" s="58">
        <f t="shared" si="214"/>
        <v>43244</v>
      </c>
      <c r="C4557" s="59">
        <f t="shared" si="215"/>
        <v>2018</v>
      </c>
      <c r="D4557" s="61">
        <v>19.704799999999999</v>
      </c>
      <c r="E4557" s="61">
        <v>19.766100000000002</v>
      </c>
      <c r="F4557" s="61">
        <v>19.752800000000001</v>
      </c>
    </row>
    <row r="4558" spans="1:6">
      <c r="A4558" s="65" t="s">
        <v>7137</v>
      </c>
      <c r="B4558" s="66">
        <f t="shared" si="214"/>
        <v>43245</v>
      </c>
      <c r="C4558" s="67">
        <f t="shared" si="215"/>
        <v>2018</v>
      </c>
      <c r="D4558" s="68">
        <v>19.5608</v>
      </c>
      <c r="E4558" s="68">
        <v>19.704799999999999</v>
      </c>
      <c r="F4558" s="68">
        <v>19.766100000000002</v>
      </c>
    </row>
    <row r="4559" spans="1:6">
      <c r="A4559" s="57" t="s">
        <v>7138</v>
      </c>
      <c r="B4559" s="58">
        <f t="shared" si="214"/>
        <v>43246</v>
      </c>
      <c r="C4559" s="59">
        <f t="shared" si="215"/>
        <v>2018</v>
      </c>
      <c r="D4559" s="60" t="s">
        <v>362</v>
      </c>
      <c r="E4559" s="60" t="s">
        <v>362</v>
      </c>
      <c r="F4559" s="61">
        <v>19.704799999999999</v>
      </c>
    </row>
    <row r="4560" spans="1:6">
      <c r="A4560" s="65" t="s">
        <v>7139</v>
      </c>
      <c r="B4560" s="66">
        <f t="shared" si="214"/>
        <v>43247</v>
      </c>
      <c r="C4560" s="67">
        <f t="shared" si="215"/>
        <v>2018</v>
      </c>
      <c r="D4560" s="70" t="s">
        <v>362</v>
      </c>
      <c r="E4560" s="70" t="s">
        <v>362</v>
      </c>
      <c r="F4560" s="68">
        <v>19.704799999999999</v>
      </c>
    </row>
    <row r="4561" spans="1:6">
      <c r="A4561" s="57" t="s">
        <v>7140</v>
      </c>
      <c r="B4561" s="58">
        <f t="shared" si="214"/>
        <v>43248</v>
      </c>
      <c r="C4561" s="59">
        <f t="shared" si="215"/>
        <v>2018</v>
      </c>
      <c r="D4561" s="61">
        <v>19.5915</v>
      </c>
      <c r="E4561" s="61">
        <v>19.5608</v>
      </c>
      <c r="F4561" s="61">
        <v>19.704799999999999</v>
      </c>
    </row>
    <row r="4562" spans="1:6">
      <c r="A4562" s="65" t="s">
        <v>7141</v>
      </c>
      <c r="B4562" s="66">
        <f t="shared" si="214"/>
        <v>43249</v>
      </c>
      <c r="C4562" s="67">
        <f t="shared" si="215"/>
        <v>2018</v>
      </c>
      <c r="D4562" s="68">
        <v>19.7499</v>
      </c>
      <c r="E4562" s="68">
        <v>19.5915</v>
      </c>
      <c r="F4562" s="68">
        <v>19.5608</v>
      </c>
    </row>
    <row r="4563" spans="1:6">
      <c r="A4563" s="57" t="s">
        <v>7142</v>
      </c>
      <c r="B4563" s="58">
        <f t="shared" si="214"/>
        <v>43250</v>
      </c>
      <c r="C4563" s="59">
        <f t="shared" si="215"/>
        <v>2018</v>
      </c>
      <c r="D4563" s="61">
        <v>19.732199999999999</v>
      </c>
      <c r="E4563" s="61">
        <v>19.7499</v>
      </c>
      <c r="F4563" s="61">
        <v>19.5915</v>
      </c>
    </row>
    <row r="4564" spans="1:6">
      <c r="A4564" s="65" t="s">
        <v>7143</v>
      </c>
      <c r="B4564" s="66">
        <f t="shared" si="214"/>
        <v>43251</v>
      </c>
      <c r="C4564" s="67">
        <f t="shared" si="215"/>
        <v>2018</v>
      </c>
      <c r="D4564" s="68">
        <v>19.975899999999999</v>
      </c>
      <c r="E4564" s="68">
        <v>19.732199999999999</v>
      </c>
      <c r="F4564" s="68">
        <v>19.7499</v>
      </c>
    </row>
  </sheetData>
  <hyperlinks>
    <hyperlink ref="I27" r:id="rId1" xr:uid="{F9D1B963-3BBC-AA45-AC7D-3A8879241F7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3C460-9B4E-B74D-9BBD-1598CE56832E}">
  <dimension ref="A1:D35"/>
  <sheetViews>
    <sheetView workbookViewId="0">
      <selection activeCell="J67" sqref="J67:J74"/>
    </sheetView>
  </sheetViews>
  <sheetFormatPr defaultColWidth="10.140625" defaultRowHeight="15"/>
  <cols>
    <col min="1" max="1" width="10.140625" style="74"/>
    <col min="2" max="2" width="12" style="74" customWidth="1"/>
    <col min="3" max="3" width="10.42578125" style="74" customWidth="1"/>
    <col min="4" max="16384" width="10.140625" style="74"/>
  </cols>
  <sheetData>
    <row r="1" spans="1:3">
      <c r="A1" s="73" t="s">
        <v>349</v>
      </c>
      <c r="B1" s="73" t="s">
        <v>7144</v>
      </c>
      <c r="C1" s="73" t="s">
        <v>7145</v>
      </c>
    </row>
    <row r="2" spans="1:3">
      <c r="A2" s="75">
        <v>1990</v>
      </c>
      <c r="B2" s="75">
        <v>130.69999999999999</v>
      </c>
      <c r="C2" s="76">
        <f t="shared" ref="C2:C28" si="0">B$24/B2</f>
        <v>1.7594032134659527</v>
      </c>
    </row>
    <row r="3" spans="1:3">
      <c r="A3" s="75">
        <v>1991</v>
      </c>
      <c r="B3" s="75">
        <v>136.19999999999999</v>
      </c>
      <c r="C3" s="76">
        <f t="shared" si="0"/>
        <v>1.6883553597650516</v>
      </c>
    </row>
    <row r="4" spans="1:3">
      <c r="A4" s="75">
        <v>1992</v>
      </c>
      <c r="B4" s="75">
        <v>140.30000000000001</v>
      </c>
      <c r="C4" s="76">
        <f t="shared" si="0"/>
        <v>1.639016393442623</v>
      </c>
    </row>
    <row r="5" spans="1:3">
      <c r="A5" s="75">
        <v>1993</v>
      </c>
      <c r="B5" s="75">
        <v>144.5</v>
      </c>
      <c r="C5" s="76">
        <f t="shared" si="0"/>
        <v>1.5913771626297579</v>
      </c>
    </row>
    <row r="6" spans="1:3">
      <c r="A6" s="75">
        <v>1994</v>
      </c>
      <c r="B6" s="75">
        <v>148.19999999999999</v>
      </c>
      <c r="C6" s="76">
        <f t="shared" si="0"/>
        <v>1.5516464237516872</v>
      </c>
    </row>
    <row r="7" spans="1:3">
      <c r="A7" s="75">
        <v>1995</v>
      </c>
      <c r="B7" s="75">
        <v>152.4</v>
      </c>
      <c r="C7" s="76">
        <f t="shared" si="0"/>
        <v>1.5088845144356955</v>
      </c>
    </row>
    <row r="8" spans="1:3">
      <c r="A8" s="75">
        <v>1996</v>
      </c>
      <c r="B8" s="75">
        <v>156.9</v>
      </c>
      <c r="C8" s="76">
        <f t="shared" si="0"/>
        <v>1.465608667941364</v>
      </c>
    </row>
    <row r="9" spans="1:3">
      <c r="A9" s="75">
        <v>1997</v>
      </c>
      <c r="B9" s="75">
        <v>160.5</v>
      </c>
      <c r="C9" s="76">
        <f t="shared" si="0"/>
        <v>1.432735202492212</v>
      </c>
    </row>
    <row r="10" spans="1:3">
      <c r="A10" s="75">
        <v>1998</v>
      </c>
      <c r="B10" s="77">
        <v>163</v>
      </c>
      <c r="C10" s="76">
        <f t="shared" si="0"/>
        <v>1.410760736196319</v>
      </c>
    </row>
    <row r="11" spans="1:3">
      <c r="A11" s="75">
        <v>1999</v>
      </c>
      <c r="B11" s="75">
        <v>166.6</v>
      </c>
      <c r="C11" s="76">
        <f t="shared" si="0"/>
        <v>1.3802761104441779</v>
      </c>
    </row>
    <row r="12" spans="1:3">
      <c r="A12" s="75">
        <v>2000</v>
      </c>
      <c r="B12" s="75">
        <v>172.2</v>
      </c>
      <c r="C12" s="76">
        <f t="shared" si="0"/>
        <v>1.3353890824622534</v>
      </c>
    </row>
    <row r="13" spans="1:3">
      <c r="A13" s="75">
        <v>2001</v>
      </c>
      <c r="B13" s="75">
        <v>177.1</v>
      </c>
      <c r="C13" s="76">
        <f t="shared" si="0"/>
        <v>1.2984415584415585</v>
      </c>
    </row>
    <row r="14" spans="1:3">
      <c r="A14" s="75">
        <v>2002</v>
      </c>
      <c r="B14" s="75">
        <v>179.9</v>
      </c>
      <c r="C14" s="76">
        <f t="shared" si="0"/>
        <v>1.2782323513062812</v>
      </c>
    </row>
    <row r="15" spans="1:3">
      <c r="A15" s="75">
        <v>2003</v>
      </c>
      <c r="B15" s="77">
        <v>184</v>
      </c>
      <c r="C15" s="76">
        <f t="shared" si="0"/>
        <v>1.2497500000000001</v>
      </c>
    </row>
    <row r="16" spans="1:3">
      <c r="A16" s="75">
        <v>2004</v>
      </c>
      <c r="B16" s="75">
        <v>188.9</v>
      </c>
      <c r="C16" s="76">
        <f t="shared" si="0"/>
        <v>1.2173319216516676</v>
      </c>
    </row>
    <row r="17" spans="1:4">
      <c r="A17" s="75">
        <v>2005</v>
      </c>
      <c r="B17" s="75">
        <v>195.3</v>
      </c>
      <c r="C17" s="76">
        <f t="shared" si="0"/>
        <v>1.1774398361495135</v>
      </c>
    </row>
    <row r="18" spans="1:4">
      <c r="A18" s="75">
        <v>2006</v>
      </c>
      <c r="B18" s="75">
        <v>201.6</v>
      </c>
      <c r="C18" s="76">
        <f t="shared" si="0"/>
        <v>1.1406448412698413</v>
      </c>
    </row>
    <row r="19" spans="1:4">
      <c r="A19" s="75">
        <v>2007</v>
      </c>
      <c r="B19" s="75">
        <v>207.34200000000001</v>
      </c>
      <c r="C19" s="76">
        <f t="shared" si="0"/>
        <v>1.1090565346143086</v>
      </c>
    </row>
    <row r="20" spans="1:4">
      <c r="A20" s="75">
        <v>2008</v>
      </c>
      <c r="B20" s="75">
        <v>215.303</v>
      </c>
      <c r="C20" s="76">
        <f t="shared" si="0"/>
        <v>1.0680482854395899</v>
      </c>
    </row>
    <row r="21" spans="1:4">
      <c r="A21" s="75">
        <v>2009</v>
      </c>
      <c r="B21" s="75">
        <v>214.53700000000001</v>
      </c>
      <c r="C21" s="76">
        <f t="shared" si="0"/>
        <v>1.0718617301444506</v>
      </c>
    </row>
    <row r="22" spans="1:4">
      <c r="A22" s="75">
        <v>2010</v>
      </c>
      <c r="B22" s="75">
        <v>218.05600000000001</v>
      </c>
      <c r="C22" s="76">
        <f t="shared" si="0"/>
        <v>1.0545639652199434</v>
      </c>
    </row>
    <row r="23" spans="1:4">
      <c r="A23" s="75">
        <v>2011</v>
      </c>
      <c r="B23" s="75">
        <v>224.93899999999999</v>
      </c>
      <c r="C23" s="76">
        <f t="shared" si="0"/>
        <v>1.0222949332930262</v>
      </c>
    </row>
    <row r="24" spans="1:4">
      <c r="A24" s="75">
        <v>2012</v>
      </c>
      <c r="B24" s="75">
        <v>229.95400000000001</v>
      </c>
      <c r="C24" s="76">
        <f t="shared" si="0"/>
        <v>1</v>
      </c>
    </row>
    <row r="25" spans="1:4">
      <c r="A25" s="75">
        <v>2013</v>
      </c>
      <c r="B25" s="75">
        <v>232.95699999999999</v>
      </c>
      <c r="C25" s="76">
        <f t="shared" si="0"/>
        <v>0.98710920899565158</v>
      </c>
    </row>
    <row r="26" spans="1:4">
      <c r="A26" s="75">
        <v>2014</v>
      </c>
      <c r="B26" s="75">
        <v>236.73599999999999</v>
      </c>
      <c r="C26" s="76">
        <f t="shared" si="0"/>
        <v>0.97135205460935392</v>
      </c>
    </row>
    <row r="27" spans="1:4">
      <c r="A27" s="75">
        <v>2015</v>
      </c>
      <c r="B27" s="75">
        <v>237.017</v>
      </c>
      <c r="C27" s="76">
        <f t="shared" si="0"/>
        <v>0.97020044975676856</v>
      </c>
    </row>
    <row r="28" spans="1:4">
      <c r="A28" s="75">
        <v>2016</v>
      </c>
      <c r="B28" s="75">
        <v>241.23699999999999</v>
      </c>
      <c r="C28" s="76">
        <f t="shared" si="0"/>
        <v>0.95322856775701903</v>
      </c>
    </row>
    <row r="29" spans="1:4">
      <c r="A29" s="74">
        <v>2017</v>
      </c>
      <c r="C29" s="78">
        <f>AVERAGE(C28,C30)</f>
        <v>0.93361428387850953</v>
      </c>
    </row>
    <row r="30" spans="1:4">
      <c r="A30" s="74">
        <v>2018</v>
      </c>
      <c r="C30" s="79">
        <v>0.91400000000000003</v>
      </c>
      <c r="D30" s="79" t="s">
        <v>7146</v>
      </c>
    </row>
    <row r="31" spans="1:4">
      <c r="A31" s="74">
        <v>2019</v>
      </c>
      <c r="C31" s="79">
        <v>0.89800000000000002</v>
      </c>
      <c r="D31" s="79" t="s">
        <v>7147</v>
      </c>
    </row>
    <row r="32" spans="1:4">
      <c r="A32" s="74">
        <v>2020</v>
      </c>
      <c r="C32" s="79">
        <v>0.88700000000000001</v>
      </c>
      <c r="D32" s="79" t="s">
        <v>7148</v>
      </c>
    </row>
    <row r="33" spans="1:4">
      <c r="A33" s="74">
        <v>2021</v>
      </c>
      <c r="C33" s="79">
        <v>0.83099999999999996</v>
      </c>
      <c r="D33" s="79" t="s">
        <v>7149</v>
      </c>
    </row>
    <row r="34" spans="1:4">
      <c r="A34" s="74">
        <v>2022</v>
      </c>
      <c r="C34" s="74" cm="1">
        <f t="array" ref="C34">TREND($C$29:$C$33,$A$29:$A$33,A34)</f>
        <v>0.82305428644860257</v>
      </c>
      <c r="D34" s="80" t="s">
        <v>7150</v>
      </c>
    </row>
    <row r="35" spans="1:4">
      <c r="A35" s="74">
        <v>2023</v>
      </c>
      <c r="C35" s="74" cm="1">
        <f t="array" ref="C35">TREND($C$29:$C$33,$A$29:$A$33,A35)</f>
        <v>0.79983142967289922</v>
      </c>
      <c r="D35" s="79" t="s">
        <v>7151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3E816-7C10-5348-A48F-F1D87E442B31}">
  <dimension ref="B2:M28"/>
  <sheetViews>
    <sheetView workbookViewId="0">
      <selection activeCell="C13" sqref="C13"/>
    </sheetView>
  </sheetViews>
  <sheetFormatPr defaultColWidth="10.85546875" defaultRowHeight="15"/>
  <cols>
    <col min="1" max="1" width="10.85546875" style="81"/>
    <col min="2" max="2" width="15.42578125" style="81" customWidth="1"/>
    <col min="3" max="3" width="17.140625" style="81" customWidth="1"/>
    <col min="4" max="4" width="20.42578125" style="81" customWidth="1"/>
    <col min="5" max="5" width="2.28515625" style="81" customWidth="1"/>
    <col min="6" max="6" width="17.140625" style="81" customWidth="1"/>
    <col min="7" max="7" width="20.42578125" style="81" customWidth="1"/>
    <col min="8" max="8" width="7.7109375" style="81" customWidth="1"/>
    <col min="9" max="9" width="17.140625" style="81" customWidth="1"/>
    <col min="10" max="10" width="20.42578125" style="81" customWidth="1"/>
    <col min="11" max="11" width="3" style="81" customWidth="1"/>
    <col min="12" max="12" width="17.140625" style="81" customWidth="1"/>
    <col min="13" max="13" width="20.42578125" style="81" customWidth="1"/>
    <col min="14" max="16384" width="10.85546875" style="81"/>
  </cols>
  <sheetData>
    <row r="2" spans="2:13">
      <c r="B2" s="81" t="s">
        <v>7152</v>
      </c>
      <c r="F2" s="82" t="s">
        <v>7153</v>
      </c>
      <c r="I2" s="82" t="s">
        <v>7154</v>
      </c>
      <c r="L2" s="81" t="s">
        <v>7155</v>
      </c>
    </row>
    <row r="3" spans="2:13" ht="45.75" customHeight="1">
      <c r="B3" s="83" t="s">
        <v>7156</v>
      </c>
      <c r="C3" s="84" t="s">
        <v>7157</v>
      </c>
      <c r="D3" s="84" t="s">
        <v>7158</v>
      </c>
      <c r="F3" s="84" t="s">
        <v>7159</v>
      </c>
      <c r="G3" s="84" t="s">
        <v>7160</v>
      </c>
      <c r="I3" s="84" t="s">
        <v>7161</v>
      </c>
      <c r="J3" s="84" t="s">
        <v>7162</v>
      </c>
      <c r="L3" s="84" t="s">
        <v>7163</v>
      </c>
      <c r="M3" s="84" t="s">
        <v>7164</v>
      </c>
    </row>
    <row r="4" spans="2:13">
      <c r="B4" s="85" t="s">
        <v>337</v>
      </c>
      <c r="C4" s="86">
        <f>'Updated costs 2023'!F53</f>
        <v>32714.84</v>
      </c>
      <c r="D4" s="87">
        <f>C4/$C$12/'MXN to USD'!$C$23*'USD 2012'!$C$35</f>
        <v>596.16964710583511</v>
      </c>
      <c r="F4" s="86">
        <f>('Updated costs 2023'!A42+'Updated costs 2023'!A45+'Updated costs 2023'!A48*($C$13-2))/$C$13</f>
        <v>1242.136</v>
      </c>
      <c r="G4" s="87">
        <f>F4/$C$12/'MXN to USD'!$C$23*'USD 2012'!$C$35</f>
        <v>22.635714580216611</v>
      </c>
      <c r="I4" s="86">
        <f>(C4-'Updated costs 2023'!A42-'Updated costs 2023'!A45-'Updated costs 2023'!A48)/$C$13+F4</f>
        <v>3996.0610000000001</v>
      </c>
      <c r="J4" s="87">
        <f>I4/$C$12/'MXN to USD'!$C$23*'USD 2012'!$C$35</f>
        <v>72.821089028202209</v>
      </c>
      <c r="L4" s="86">
        <f>'Updated costs 2023'!G50+'Updated costs 2023'!F51</f>
        <v>4452.84</v>
      </c>
      <c r="M4" s="87">
        <f>L4/$C$12/'MXN to USD'!$C$23*'USD 2012'!$C$35</f>
        <v>81.145072126861905</v>
      </c>
    </row>
    <row r="5" spans="2:13">
      <c r="B5" s="85" t="s">
        <v>339</v>
      </c>
      <c r="C5" s="86">
        <f>'Updated costs 2023'!L54</f>
        <v>58647.44</v>
      </c>
      <c r="D5" s="87">
        <f>C5/$C$12/'MXN to USD'!$C$23*'USD 2012'!$C$35</f>
        <v>1068.745059075962</v>
      </c>
      <c r="F5" s="86">
        <f>('Updated costs 2023'!J43+'Updated costs 2023'!J46+'Updated costs 2023'!J49*($C$13-2))/$C$13</f>
        <v>2605.6800000000003</v>
      </c>
      <c r="G5" s="87">
        <f>F5/$C$12/'MXN to USD'!$C$23*'USD 2012'!$C$35</f>
        <v>47.483873559238944</v>
      </c>
      <c r="I5" s="86">
        <f>(C5-F5)/$C$13+F5</f>
        <v>8209.8559999999998</v>
      </c>
      <c r="J5" s="87">
        <f>I5/$C$12/'MXN to USD'!$C$23*'USD 2012'!$C$35</f>
        <v>149.60999211091124</v>
      </c>
      <c r="L5" s="86">
        <f>'Updated costs 2023'!P51+'Updated costs 2023'!O52</f>
        <v>4452.84</v>
      </c>
      <c r="M5" s="87">
        <f>L5/$C$12/'MXN to USD'!$C$23*'USD 2012'!$C$35</f>
        <v>81.145072126861905</v>
      </c>
    </row>
    <row r="6" spans="2:13">
      <c r="B6" s="85" t="s">
        <v>30</v>
      </c>
      <c r="C6" s="86">
        <f>'Updated costs 2023'!C81</f>
        <v>44382.98</v>
      </c>
      <c r="D6" s="87">
        <f>C6/$C$12/'MXN to USD'!$C$23*'USD 2012'!$C$35</f>
        <v>808.80070096950919</v>
      </c>
      <c r="F6" s="86">
        <f>('Updated costs 2023'!A67+'Updated costs 2023'!A71+'Updated costs 2023'!A75*($C$13-2))/$C$13</f>
        <v>7153.5</v>
      </c>
      <c r="G6" s="87">
        <f>F6/$C$12/'MXN to USD'!$C$23*'USD 2012'!$C$35</f>
        <v>130.35978689095199</v>
      </c>
      <c r="I6" s="86">
        <f>(C6-F6)/$C$13+F6</f>
        <v>10876.448</v>
      </c>
      <c r="J6" s="87">
        <f>I6/$C$12/'MXN to USD'!$C$23*'USD 2012'!$C$35</f>
        <v>198.20387829880775</v>
      </c>
      <c r="L6" s="86">
        <f>'Updated costs 2023'!G78+'Updated costs 2023'!F79</f>
        <v>4452.84</v>
      </c>
      <c r="M6" s="87">
        <f>L6/$C$12/'MXN to USD'!$C$23*'USD 2012'!$C$35</f>
        <v>81.145072126861905</v>
      </c>
    </row>
    <row r="7" spans="2:13">
      <c r="B7" s="85" t="s">
        <v>342</v>
      </c>
      <c r="C7" s="86">
        <f>'Updated costs 2023'!L77</f>
        <v>76880</v>
      </c>
      <c r="D7" s="87">
        <f>C7/$C$12/'MXN to USD'!$C$23*'USD 2012'!$C$35</f>
        <v>1401.0009668241264</v>
      </c>
      <c r="F7" s="86">
        <f>('Updated costs 2023'!J68+'Updated costs 2023'!J71+'Updated costs 2023'!J74*($C$13-2))/$C$13</f>
        <v>6696</v>
      </c>
      <c r="G7" s="87">
        <f>F7/$C$12/'MXN to USD'!$C$23*'USD 2012'!$C$35</f>
        <v>122.02266485242392</v>
      </c>
      <c r="I7" s="86">
        <f>(C7-F7)/$C$13+F7</f>
        <v>13714.4</v>
      </c>
      <c r="J7" s="87">
        <f>I7/$C$12/'MXN to USD'!$C$23*'USD 2012'!$C$35</f>
        <v>249.92049504959417</v>
      </c>
      <c r="L7" s="86">
        <f>'Updated costs 2023'!F79</f>
        <v>3909.68</v>
      </c>
      <c r="M7" s="87">
        <f>L7/$C$12/'MXN to USD'!$C$23*'USD 2012'!$C$35</f>
        <v>71.246949271240254</v>
      </c>
    </row>
    <row r="8" spans="2:13">
      <c r="B8" s="88" t="s">
        <v>7165</v>
      </c>
      <c r="C8" s="89"/>
      <c r="D8" s="90"/>
      <c r="F8" s="89"/>
      <c r="G8" s="90"/>
      <c r="I8" s="86"/>
      <c r="J8" s="87"/>
      <c r="L8" s="89"/>
      <c r="M8" s="90"/>
    </row>
    <row r="9" spans="2:13">
      <c r="B9" s="91"/>
      <c r="C9" s="92"/>
      <c r="D9" s="92"/>
      <c r="E9" s="93"/>
      <c r="F9" s="94">
        <f>SUMPRODUCT(F4:F7,$D$15:$D$18)</f>
        <v>5734.9783628407431</v>
      </c>
      <c r="G9" s="95">
        <f>F9/$C$12/'MXN to USD'!$C$23*'USD 2012'!$C$35</f>
        <v>104.50975846846161</v>
      </c>
      <c r="I9" s="94">
        <f>SUMPRODUCT(I4:I7,$D$15:$D$18)</f>
        <v>9983.6561669618241</v>
      </c>
      <c r="J9" s="95">
        <f>I9/$C$12/'MXN to USD'!$C$23*'USD 2012'!$C$35</f>
        <v>181.93433848014007</v>
      </c>
      <c r="L9" s="94">
        <f>SUMPRODUCT(L4:L7,$D$15:$D$18)</f>
        <v>4447.4084000000012</v>
      </c>
      <c r="M9" s="95">
        <f>L9/$C$12/'MXN to USD'!$C$23*'USD 2012'!$C$35</f>
        <v>81.046090898305721</v>
      </c>
    </row>
    <row r="10" spans="2:13" s="93" customFormat="1">
      <c r="B10" s="91"/>
      <c r="C10" s="92"/>
      <c r="D10" s="92"/>
      <c r="F10" s="92"/>
      <c r="G10" s="92"/>
      <c r="H10" s="96"/>
      <c r="I10" s="97"/>
      <c r="J10" s="92"/>
    </row>
    <row r="11" spans="2:13">
      <c r="B11" s="98" t="s">
        <v>7166</v>
      </c>
      <c r="C11" s="98"/>
    </row>
    <row r="12" spans="2:13">
      <c r="B12" s="81" t="s">
        <v>7167</v>
      </c>
      <c r="C12" s="81">
        <v>2.47105</v>
      </c>
      <c r="D12" s="81" t="s">
        <v>7168</v>
      </c>
    </row>
    <row r="13" spans="2:13">
      <c r="B13" s="99" t="s">
        <v>7169</v>
      </c>
      <c r="C13" s="100">
        <v>10</v>
      </c>
    </row>
    <row r="14" spans="2:13">
      <c r="C14" s="82" t="s">
        <v>7170</v>
      </c>
    </row>
    <row r="15" spans="2:13">
      <c r="B15" s="85" t="str">
        <f>'Deforestation by type'!F7</f>
        <v>Árido/semiárido</v>
      </c>
      <c r="C15" s="81">
        <f>'Deforestation by type'!G7</f>
        <v>5602.3600000000006</v>
      </c>
      <c r="D15" s="101">
        <f>'Deforestation by type'!H7</f>
        <v>2.6978002927806461E-2</v>
      </c>
    </row>
    <row r="16" spans="2:13">
      <c r="B16" s="85" t="str">
        <f>'Deforestation by type'!F8</f>
        <v>Templado frío</v>
      </c>
      <c r="C16" s="81">
        <f>'Deforestation by type'!G8</f>
        <v>57282</v>
      </c>
      <c r="D16" s="101">
        <f>'Deforestation by type'!H8</f>
        <v>0.27583981816780956</v>
      </c>
    </row>
    <row r="17" spans="2:4">
      <c r="B17" s="85" t="str">
        <f>'Deforestation by type'!F9</f>
        <v>Tropical</v>
      </c>
      <c r="C17" s="81">
        <f>'Deforestation by type'!G9</f>
        <v>142703</v>
      </c>
      <c r="D17" s="101">
        <f>'Deforestation by type'!H9</f>
        <v>0.68718217890438404</v>
      </c>
    </row>
    <row r="18" spans="2:4">
      <c r="B18" s="85" t="str">
        <f>'Deforestation by type'!F10</f>
        <v>Humedal</v>
      </c>
      <c r="C18" s="81">
        <f>'Deforestation by type'!G10</f>
        <v>2076.64</v>
      </c>
      <c r="D18" s="101">
        <f>'Deforestation by type'!H10</f>
        <v>0.01</v>
      </c>
    </row>
    <row r="19" spans="2:4">
      <c r="C19" s="81">
        <f>SUM(C15:C18)</f>
        <v>207664</v>
      </c>
    </row>
    <row r="21" spans="2:4">
      <c r="B21" s="81" t="s">
        <v>7171</v>
      </c>
    </row>
    <row r="22" spans="2:4" ht="32.1">
      <c r="B22" s="83" t="s">
        <v>7156</v>
      </c>
      <c r="C22" s="84" t="s">
        <v>7172</v>
      </c>
      <c r="D22" s="84" t="s">
        <v>7173</v>
      </c>
    </row>
    <row r="23" spans="2:4">
      <c r="B23" s="85" t="s">
        <v>337</v>
      </c>
      <c r="C23" s="85">
        <v>1163.2</v>
      </c>
      <c r="D23" s="87">
        <f>C23/$C$12/'MXN to USD'!$C$14*'USD 2012'!$C$26</f>
        <v>34.383787219704487</v>
      </c>
    </row>
    <row r="24" spans="2:4">
      <c r="B24" s="85" t="s">
        <v>339</v>
      </c>
      <c r="C24" s="86">
        <v>2239.6</v>
      </c>
      <c r="D24" s="87">
        <f>C24/$C$12/'MXN to USD'!$C$14*'USD 2012'!$C$26</f>
        <v>66.201796644816156</v>
      </c>
    </row>
    <row r="25" spans="2:4">
      <c r="B25" s="85" t="s">
        <v>30</v>
      </c>
      <c r="C25" s="85">
        <v>5863.98</v>
      </c>
      <c r="D25" s="87">
        <f>C25/$C$12/'MXN to USD'!$C$14*'USD 2012'!$C$26</f>
        <v>173.33720820203121</v>
      </c>
    </row>
    <row r="26" spans="2:4">
      <c r="B26" s="85" t="s">
        <v>342</v>
      </c>
      <c r="C26" s="85">
        <v>5090</v>
      </c>
      <c r="D26" s="87">
        <f>C26/$C$12/'MXN to USD'!$C$14*'USD 2012'!$C$26</f>
        <v>150.45862873821855</v>
      </c>
    </row>
    <row r="27" spans="2:4">
      <c r="B27" s="85" t="s">
        <v>309</v>
      </c>
      <c r="C27" s="85">
        <v>8968.25</v>
      </c>
      <c r="D27" s="87">
        <f>C27/$C$12/'MXN to USD'!$C$14*'USD 2012'!$C$26</f>
        <v>265.09834915157734</v>
      </c>
    </row>
    <row r="28" spans="2:4">
      <c r="B28" s="102" t="s">
        <v>7174</v>
      </c>
      <c r="C28" s="103">
        <f>AVERAGE(C23:C27)</f>
        <v>4665.0059999999994</v>
      </c>
      <c r="D28" s="103">
        <f>C28/$C$12/'MXN to USD'!$C$14*'USD 2012'!$C$26</f>
        <v>137.89595399126952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3"/>
  </sheetPr>
  <dimension ref="A1:B7"/>
  <sheetViews>
    <sheetView workbookViewId="0">
      <selection activeCell="B8" sqref="B8"/>
    </sheetView>
  </sheetViews>
  <sheetFormatPr defaultColWidth="8.85546875" defaultRowHeight="15"/>
  <cols>
    <col min="1" max="1" width="28" customWidth="1"/>
    <col min="2" max="2" width="10.28515625" customWidth="1"/>
  </cols>
  <sheetData>
    <row r="1" spans="1:2">
      <c r="B1" t="s">
        <v>7175</v>
      </c>
    </row>
    <row r="2" spans="1:2">
      <c r="A2" s="1" t="s">
        <v>7176</v>
      </c>
      <c r="B2" s="6">
        <f>Calculations!G9</f>
        <v>104.50975846846161</v>
      </c>
    </row>
    <row r="3" spans="1:2">
      <c r="A3" s="1" t="s">
        <v>7177</v>
      </c>
      <c r="B3" s="3">
        <f>Calculations!J9</f>
        <v>181.93433848014007</v>
      </c>
    </row>
    <row r="4" spans="1:2">
      <c r="A4" s="1" t="s">
        <v>7178</v>
      </c>
      <c r="B4" s="3">
        <f>Calculations!G9</f>
        <v>104.50975846846161</v>
      </c>
    </row>
    <row r="5" spans="1:2">
      <c r="A5" s="1" t="s">
        <v>7179</v>
      </c>
      <c r="B5" s="3">
        <f>Calculations!M9</f>
        <v>81.046090898305721</v>
      </c>
    </row>
    <row r="6" spans="1:2">
      <c r="A6" s="1" t="s">
        <v>7180</v>
      </c>
      <c r="B6" s="3">
        <f>Calculations!J7</f>
        <v>249.92049504959417</v>
      </c>
    </row>
    <row r="7" spans="1:2">
      <c r="A7" s="1" t="s">
        <v>7181</v>
      </c>
      <c r="B7" s="5">
        <f>Calculations!J6</f>
        <v>198.20387829880775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4A464A-DC6D-47E4-AFB4-8C8F739C91FE}"/>
</file>

<file path=customXml/itemProps2.xml><?xml version="1.0" encoding="utf-8"?>
<ds:datastoreItem xmlns:ds="http://schemas.openxmlformats.org/officeDocument/2006/customXml" ds:itemID="{4BD81994-C689-45B1-88A4-21B11E6E4BD2}"/>
</file>

<file path=customXml/itemProps3.xml><?xml version="1.0" encoding="utf-8"?>
<ds:datastoreItem xmlns:ds="http://schemas.openxmlformats.org/officeDocument/2006/customXml" ds:itemID="{7CE43BDC-3CED-4CE3-9CE4-23D882A2B1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Rachel Goldstein</cp:lastModifiedBy>
  <cp:revision/>
  <dcterms:created xsi:type="dcterms:W3CDTF">2017-01-27T08:55:59Z</dcterms:created>
  <dcterms:modified xsi:type="dcterms:W3CDTF">2025-02-27T14:39:17Z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