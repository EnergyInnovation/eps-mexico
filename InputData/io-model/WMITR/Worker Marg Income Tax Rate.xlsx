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ghan\Dropbox (Energy Innovation)\EPS Versions\eps-1.5.0-us-wipL\InputData\indst\WMITR\"/>
    </mc:Choice>
  </mc:AlternateContent>
  <xr:revisionPtr revIDLastSave="126" documentId="11_5D3CDC222100BEE762BE85B664AA361E9EA1AC7E" xr6:coauthVersionLast="47" xr6:coauthVersionMax="47" xr10:uidLastSave="{86E733F2-E4EE-4B9D-B0DA-79970A75C6D1}"/>
  <bookViews>
    <workbookView xWindow="120" yWindow="105" windowWidth="25875" windowHeight="11055" activeTab="3" xr2:uid="{00000000-000D-0000-FFFF-FFFF00000000}"/>
  </bookViews>
  <sheets>
    <sheet name="About" sheetId="1" r:id="rId1"/>
    <sheet name="Employee Compensation" sheetId="3" r:id="rId2"/>
    <sheet name="Calculations" sheetId="4" r:id="rId3"/>
    <sheet name="WMITR" sheetId="2" r:id="rId4"/>
  </sheets>
  <externalReferences>
    <externalReference r:id="rId5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4" l="1"/>
  <c r="B4" i="4"/>
  <c r="B3" i="4"/>
  <c r="B5" i="4" s="1"/>
  <c r="B17" i="4"/>
  <c r="B10" i="4"/>
  <c r="B12" i="4"/>
  <c r="B15" i="4" l="1"/>
  <c r="B18" i="4" s="1"/>
  <c r="B2" i="2" s="1"/>
</calcChain>
</file>

<file path=xl/sharedStrings.xml><?xml version="1.0" encoding="utf-8"?>
<sst xmlns="http://schemas.openxmlformats.org/spreadsheetml/2006/main" count="79" uniqueCount="45">
  <si>
    <t>WMITR Worker Marginal Income Tax Rate</t>
  </si>
  <si>
    <t>Source:</t>
  </si>
  <si>
    <t>Income Tax Revenue</t>
  </si>
  <si>
    <t> </t>
  </si>
  <si>
    <t>Most Industries</t>
  </si>
  <si>
    <t>World Bank</t>
  </si>
  <si>
    <t>Trade in employment (TiM) 2023 edition</t>
  </si>
  <si>
    <t>Measure: Compensation of employees</t>
  </si>
  <si>
    <t xml:space="preserve">Mexico - Tax revenue(% of GDP), GDP </t>
  </si>
  <si>
    <t>Time period: 2020</t>
  </si>
  <si>
    <t>https://data.worldbank.org/indicator/GC.TAX.TOTL.GD.ZS?locations=MX</t>
  </si>
  <si>
    <t>Combined unit of measure: US dollar, Millions</t>
  </si>
  <si>
    <t>Tax Foundation</t>
  </si>
  <si>
    <t>Taxes in Mexico</t>
  </si>
  <si>
    <t>https://taxfoundation.org/country/mexico/</t>
  </si>
  <si>
    <t>Sources of Revenue in Mexico: How Does Mexico Raise Revenue?</t>
  </si>
  <si>
    <t>Value added</t>
  </si>
  <si>
    <t>OECD</t>
  </si>
  <si>
    <t>Select most recent year available, country, Total economic activity,  USD as unit of measurement, and measure compensation of employees</t>
  </si>
  <si>
    <t>Notes:</t>
  </si>
  <si>
    <t>2020 to 2012 USD</t>
  </si>
  <si>
    <t>Peso per dollar</t>
  </si>
  <si>
    <t>see cpi.xlsx</t>
  </si>
  <si>
    <t>https://www.macrotrends.net/2575/us-dollar-yuan-exchange-rate-historical-chart</t>
  </si>
  <si>
    <t>Counterpart area</t>
  </si>
  <si>
    <t>World</t>
  </si>
  <si>
    <t>Reference area</t>
  </si>
  <si>
    <t>Mexico</t>
  </si>
  <si>
    <t xml:space="preserve">© Terms &amp; conditions </t>
  </si>
  <si>
    <t>Value</t>
  </si>
  <si>
    <t>Source</t>
  </si>
  <si>
    <t>Tax revenue - % of GDP 2020</t>
  </si>
  <si>
    <t>GDP Mexico - 2020 ($ US millions)</t>
  </si>
  <si>
    <t>https://data.worldbank.org/indicator/NY.GDP.MKTP.CD?locations=MX&amp;most_recent_value_desc=false</t>
  </si>
  <si>
    <t>Total Tax Revenue -  2020 ($ US millions)</t>
  </si>
  <si>
    <t>Percent of Individual Tax that make up revenue</t>
  </si>
  <si>
    <t>Individual Taxes (millions)</t>
  </si>
  <si>
    <t>Income Tax Revenue (2012 USD millions)</t>
  </si>
  <si>
    <t>Total Employee Compensation (2012 USD million)</t>
  </si>
  <si>
    <t>Share of income taxed</t>
  </si>
  <si>
    <t>United States ratio of effective (average) marginal tax rate: average tax rate</t>
  </si>
  <si>
    <t>U.S. EPS model and OECD: https://www.oecd.org/tax/tax-policy/taxing-wages-united-states.pdf</t>
  </si>
  <si>
    <t>Estimated average marginal tax rate</t>
  </si>
  <si>
    <t>Marginal Income Tax Rate (dimensionless)</t>
  </si>
  <si>
    <t>Workers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</si>
</sst>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u/>
      <sz val="11"/>
      <color rgb="FF0000FF"/>
      <name val="Calibri"/>
      <family val="2"/>
    </font>
    <font>
      <sz val="11"/>
      <color rgb="FF000000"/>
      <name val="Aptos Narrow"/>
      <family val="2"/>
    </font>
    <font>
      <sz val="10"/>
      <name val="Arial"/>
      <family val="2"/>
    </font>
    <font>
      <b/>
      <sz val="11"/>
      <name val="Calibri"/>
    </font>
    <font>
      <sz val="11"/>
      <name val="Calibri"/>
    </font>
    <font>
      <b/>
      <sz val="11"/>
      <color rgb="FFFFFFFF"/>
      <name val="Calibri"/>
    </font>
    <font>
      <sz val="11"/>
      <color rgb="FFFFFFFF"/>
      <name val="Calibri"/>
    </font>
    <font>
      <b/>
      <sz val="11"/>
      <color rgb="FF000000"/>
      <name val="Calibri"/>
    </font>
    <font>
      <sz val="11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549AB"/>
        <bgColor rgb="FF000000"/>
      </patternFill>
    </fill>
    <fill>
      <patternFill patternType="solid">
        <fgColor rgb="FFE2F2FB"/>
        <bgColor rgb="FF000000"/>
      </patternFill>
    </fill>
    <fill>
      <patternFill patternType="solid">
        <fgColor rgb="FFF1F1F1"/>
        <bgColor rgb="FF000000"/>
      </patternFill>
    </fill>
  </fills>
  <borders count="13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1">
    <xf numFmtId="0" fontId="0" fillId="0" borderId="0" xfId="0"/>
    <xf numFmtId="0" fontId="2" fillId="0" borderId="0" xfId="1"/>
    <xf numFmtId="0" fontId="0" fillId="0" borderId="0" xfId="0" applyAlignment="1">
      <alignment horizontal="right" wrapText="1"/>
    </xf>
    <xf numFmtId="0" fontId="3" fillId="0" borderId="0" xfId="0" applyFont="1" applyFill="1" applyBorder="1" applyAlignment="1"/>
    <xf numFmtId="0" fontId="3" fillId="0" borderId="0" xfId="0" applyFont="1" applyFill="1" applyAlignment="1"/>
    <xf numFmtId="0" fontId="4" fillId="0" borderId="0" xfId="0" applyFont="1" applyFill="1" applyBorder="1" applyAlignment="1"/>
    <xf numFmtId="0" fontId="3" fillId="2" borderId="0" xfId="0" applyFont="1" applyFill="1" applyBorder="1" applyAlignment="1"/>
    <xf numFmtId="0" fontId="4" fillId="0" borderId="0" xfId="0" applyFont="1" applyFill="1" applyAlignment="1"/>
    <xf numFmtId="0" fontId="2" fillId="0" borderId="0" xfId="1" applyFill="1" applyBorder="1" applyAlignment="1"/>
    <xf numFmtId="0" fontId="5" fillId="0" borderId="0" xfId="0" applyFont="1" applyFill="1" applyAlignment="1"/>
    <xf numFmtId="0" fontId="2" fillId="0" borderId="1" xfId="1" applyFill="1" applyBorder="1" applyAlignment="1"/>
    <xf numFmtId="0" fontId="3" fillId="2" borderId="0" xfId="0" applyFont="1" applyFill="1" applyAlignment="1"/>
    <xf numFmtId="0" fontId="4" fillId="2" borderId="0" xfId="0" applyFont="1" applyFill="1" applyBorder="1" applyAlignment="1"/>
    <xf numFmtId="0" fontId="5" fillId="0" borderId="0" xfId="0" applyFont="1" applyFill="1" applyBorder="1" applyAlignment="1"/>
    <xf numFmtId="0" fontId="4" fillId="0" borderId="2" xfId="0" applyFont="1" applyFill="1" applyBorder="1" applyAlignment="1"/>
    <xf numFmtId="10" fontId="4" fillId="0" borderId="3" xfId="0" applyNumberFormat="1" applyFont="1" applyFill="1" applyBorder="1" applyAlignment="1"/>
    <xf numFmtId="0" fontId="2" fillId="0" borderId="4" xfId="1" applyFill="1" applyBorder="1" applyAlignment="1"/>
    <xf numFmtId="0" fontId="4" fillId="0" borderId="5" xfId="0" applyFont="1" applyFill="1" applyBorder="1" applyAlignment="1"/>
    <xf numFmtId="0" fontId="4" fillId="0" borderId="1" xfId="0" applyFont="1" applyFill="1" applyBorder="1" applyAlignment="1"/>
    <xf numFmtId="3" fontId="4" fillId="0" borderId="0" xfId="0" applyNumberFormat="1" applyFont="1" applyFill="1" applyBorder="1" applyAlignment="1"/>
    <xf numFmtId="10" fontId="4" fillId="0" borderId="0" xfId="0" applyNumberFormat="1" applyFont="1" applyFill="1" applyBorder="1" applyAlignment="1"/>
    <xf numFmtId="0" fontId="4" fillId="0" borderId="6" xfId="0" applyFont="1" applyFill="1" applyBorder="1" applyAlignment="1"/>
    <xf numFmtId="3" fontId="4" fillId="0" borderId="7" xfId="0" applyNumberFormat="1" applyFont="1" applyFill="1" applyBorder="1" applyAlignment="1"/>
    <xf numFmtId="0" fontId="4" fillId="0" borderId="8" xfId="0" applyFont="1" applyFill="1" applyBorder="1" applyAlignment="1"/>
    <xf numFmtId="0" fontId="7" fillId="0" borderId="0" xfId="0" applyFont="1" applyFill="1" applyBorder="1" applyAlignment="1"/>
    <xf numFmtId="0" fontId="7" fillId="0" borderId="2" xfId="0" applyFont="1" applyFill="1" applyBorder="1" applyAlignment="1"/>
    <xf numFmtId="3" fontId="7" fillId="0" borderId="3" xfId="0" applyNumberFormat="1" applyFont="1" applyFill="1" applyBorder="1" applyAlignment="1"/>
    <xf numFmtId="0" fontId="7" fillId="0" borderId="4" xfId="0" applyFont="1" applyFill="1" applyBorder="1" applyAlignment="1"/>
    <xf numFmtId="0" fontId="7" fillId="0" borderId="5" xfId="0" applyFont="1" applyFill="1" applyBorder="1" applyAlignment="1"/>
    <xf numFmtId="0" fontId="7" fillId="0" borderId="1" xfId="0" applyFont="1" applyFill="1" applyBorder="1" applyAlignment="1"/>
    <xf numFmtId="3" fontId="7" fillId="0" borderId="0" xfId="0" applyNumberFormat="1" applyFont="1" applyFill="1" applyBorder="1" applyAlignment="1"/>
    <xf numFmtId="9" fontId="7" fillId="0" borderId="0" xfId="0" applyNumberFormat="1" applyFont="1" applyFill="1" applyBorder="1" applyAlignment="1"/>
    <xf numFmtId="0" fontId="7" fillId="0" borderId="6" xfId="0" applyFont="1" applyFill="1" applyBorder="1" applyAlignment="1"/>
    <xf numFmtId="10" fontId="4" fillId="0" borderId="7" xfId="0" applyNumberFormat="1" applyFont="1" applyFill="1" applyBorder="1" applyAlignment="1"/>
    <xf numFmtId="10" fontId="0" fillId="0" borderId="0" xfId="0" applyNumberFormat="1"/>
    <xf numFmtId="0" fontId="1" fillId="3" borderId="0" xfId="0" applyFont="1" applyFill="1"/>
    <xf numFmtId="164" fontId="0" fillId="0" borderId="0" xfId="0" applyNumberFormat="1"/>
    <xf numFmtId="0" fontId="0" fillId="0" borderId="0" xfId="0" applyFill="1"/>
    <xf numFmtId="0" fontId="0" fillId="0" borderId="0" xfId="0" applyFill="1" applyAlignment="1">
      <alignment horizontal="right"/>
    </xf>
    <xf numFmtId="0" fontId="6" fillId="0" borderId="0" xfId="0" applyFont="1" applyFill="1"/>
    <xf numFmtId="0" fontId="0" fillId="0" borderId="0" xfId="0" applyFill="1" applyAlignment="1">
      <alignment horizontal="left"/>
    </xf>
    <xf numFmtId="0" fontId="8" fillId="0" borderId="0" xfId="0" applyFont="1" applyFill="1" applyBorder="1" applyAlignment="1">
      <alignment readingOrder="1"/>
    </xf>
    <xf numFmtId="0" fontId="9" fillId="0" borderId="0" xfId="0" applyFont="1" applyFill="1" applyBorder="1" applyAlignment="1">
      <alignment readingOrder="1"/>
    </xf>
    <xf numFmtId="0" fontId="10" fillId="4" borderId="9" xfId="0" applyFont="1" applyFill="1" applyBorder="1" applyAlignment="1">
      <alignment wrapText="1" readingOrder="1"/>
    </xf>
    <xf numFmtId="0" fontId="10" fillId="4" borderId="10" xfId="0" applyFont="1" applyFill="1" applyBorder="1" applyAlignment="1">
      <alignment wrapText="1" readingOrder="1"/>
    </xf>
    <xf numFmtId="0" fontId="11" fillId="4" borderId="10" xfId="0" applyFont="1" applyFill="1" applyBorder="1" applyAlignment="1">
      <alignment wrapText="1" readingOrder="1"/>
    </xf>
    <xf numFmtId="0" fontId="12" fillId="5" borderId="11" xfId="0" applyFont="1" applyFill="1" applyBorder="1" applyAlignment="1">
      <alignment wrapText="1" readingOrder="1"/>
    </xf>
    <xf numFmtId="0" fontId="9" fillId="6" borderId="12" xfId="0" applyFont="1" applyFill="1" applyBorder="1" applyAlignment="1">
      <alignment wrapText="1" readingOrder="1"/>
    </xf>
    <xf numFmtId="0" fontId="13" fillId="5" borderId="11" xfId="0" applyFont="1" applyFill="1" applyBorder="1" applyAlignment="1">
      <alignment wrapText="1" readingOrder="1"/>
    </xf>
    <xf numFmtId="4" fontId="9" fillId="0" borderId="12" xfId="0" applyNumberFormat="1" applyFont="1" applyFill="1" applyBorder="1" applyAlignment="1">
      <alignment wrapText="1" readingOrder="1"/>
    </xf>
    <xf numFmtId="0" fontId="2" fillId="0" borderId="0" xfId="1" applyFill="1" applyBorder="1" applyAlignment="1">
      <alignment readingOrder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s/MexicoEPS/Shared%20Documents/Updated%20Mexico%20EPS%20input%20data%20files/InputData/io-model/BVAbIC/BAU%20Value%20Added%20by%20ISIC%20Cod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out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ata-explorer.oecd.org/vis?lc=en&amp;df%5bds%5d=dsDisseminateFinalDMZ&amp;df%5bid%5d=DSD_TIM_2023%40DF_TIM_2023&amp;df%5bag%5d=OECD.STI.PIE&amp;dq=LABR.OECD%2BMEX._T..USD.A&amp;pd=2020%2C2020&amp;to%5bTIME_PERIOD%5d=false&amp;vw=tb" TargetMode="External"/><Relationship Id="rId2" Type="http://schemas.openxmlformats.org/officeDocument/2006/relationships/hyperlink" Target="https://taxfoundation.org/country/mexico/" TargetMode="External"/><Relationship Id="rId1" Type="http://schemas.openxmlformats.org/officeDocument/2006/relationships/hyperlink" Target="https://data.worldbank.org/indicator/GC.TAX.TOTL.GD.ZS?locations=MX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data-explorer.oecd.org/vis?lc=en&amp;df%5bds%5d=dsDisseminateFinalDMZ&amp;df%5bid%5d=DSD_TIM_2023%40DF_TIM_2023&amp;df%5bag%5d=OECD.STI.PIE&amp;dq=LABR.OECD%2BMEX._T..USD.A&amp;pd=2020%2C2020&amp;to%5bTIME_PERIOD%5d=false&amp;vw=tb" TargetMode="External"/><Relationship Id="rId1" Type="http://schemas.openxmlformats.org/officeDocument/2006/relationships/hyperlink" Target="https://www.oecd.org/en/about/terms-conditions.html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data.worldbank.org/indicator/NY.GDP.MKTP.CD?locations=MX&amp;most_recent_value_desc=false" TargetMode="External"/><Relationship Id="rId2" Type="http://schemas.openxmlformats.org/officeDocument/2006/relationships/hyperlink" Target="https://taxfoundation.org/country/mexico/" TargetMode="External"/><Relationship Id="rId1" Type="http://schemas.openxmlformats.org/officeDocument/2006/relationships/hyperlink" Target="https://data.worldbank.org/indicator/GC.TAX.TOTL.GD.ZS?locations=M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6"/>
  <sheetViews>
    <sheetView topLeftCell="A16" workbookViewId="0">
      <selection activeCell="B27" sqref="B27"/>
    </sheetView>
  </sheetViews>
  <sheetFormatPr defaultRowHeight="14.25"/>
  <cols>
    <col min="1" max="1" width="18.28515625" customWidth="1"/>
    <col min="2" max="2" width="27.140625" customWidth="1"/>
  </cols>
  <sheetData>
    <row r="1" spans="1:10" ht="15">
      <c r="A1" s="3" t="s">
        <v>0</v>
      </c>
      <c r="B1" s="4"/>
      <c r="C1" s="5"/>
      <c r="D1" s="5"/>
      <c r="E1" s="5"/>
    </row>
    <row r="2" spans="1:10" ht="15">
      <c r="A2" s="5"/>
      <c r="B2" s="5"/>
      <c r="C2" s="5"/>
      <c r="D2" s="5"/>
      <c r="E2" s="5"/>
    </row>
    <row r="3" spans="1:10" ht="15">
      <c r="A3" s="3" t="s">
        <v>1</v>
      </c>
      <c r="B3" s="6" t="s">
        <v>2</v>
      </c>
      <c r="C3" s="6" t="s">
        <v>3</v>
      </c>
      <c r="D3" s="6" t="s">
        <v>3</v>
      </c>
      <c r="E3" s="6" t="s">
        <v>3</v>
      </c>
      <c r="J3" s="35" t="s">
        <v>4</v>
      </c>
    </row>
    <row r="4" spans="1:10" ht="15">
      <c r="A4" s="5"/>
      <c r="B4" s="5" t="s">
        <v>5</v>
      </c>
      <c r="C4" s="5"/>
      <c r="D4" s="5"/>
      <c r="E4" s="5"/>
      <c r="J4" s="41" t="s">
        <v>6</v>
      </c>
    </row>
    <row r="5" spans="1:10" ht="15">
      <c r="A5" s="3"/>
      <c r="B5" s="5">
        <v>2019</v>
      </c>
      <c r="C5" s="5"/>
      <c r="D5" s="5"/>
      <c r="E5" s="5"/>
      <c r="J5" s="42" t="s">
        <v>7</v>
      </c>
    </row>
    <row r="6" spans="1:10" ht="15">
      <c r="A6" s="5"/>
      <c r="B6" s="5" t="s">
        <v>8</v>
      </c>
      <c r="C6" s="7"/>
      <c r="D6" s="7"/>
      <c r="E6" s="5"/>
      <c r="J6" s="42" t="s">
        <v>9</v>
      </c>
    </row>
    <row r="7" spans="1:10" ht="15">
      <c r="A7" s="5"/>
      <c r="B7" s="8" t="s">
        <v>10</v>
      </c>
      <c r="C7" s="9"/>
      <c r="D7" s="9"/>
      <c r="E7" s="9"/>
      <c r="J7" s="42" t="s">
        <v>11</v>
      </c>
    </row>
    <row r="8" spans="1:10" ht="15">
      <c r="A8" s="5"/>
      <c r="B8" s="5"/>
      <c r="C8" s="5"/>
      <c r="D8" s="5"/>
      <c r="E8" s="5"/>
    </row>
    <row r="9" spans="1:10" ht="15">
      <c r="A9" s="5"/>
      <c r="B9" s="5" t="s">
        <v>12</v>
      </c>
      <c r="C9" s="5"/>
      <c r="D9" s="5"/>
      <c r="E9" s="5"/>
    </row>
    <row r="10" spans="1:10" ht="15">
      <c r="A10" s="5"/>
      <c r="B10" s="5">
        <v>2019</v>
      </c>
      <c r="C10" s="5"/>
      <c r="D10" s="5"/>
      <c r="E10" s="5"/>
    </row>
    <row r="11" spans="1:10" ht="15">
      <c r="A11" s="5"/>
      <c r="B11" s="5" t="s">
        <v>13</v>
      </c>
      <c r="C11" s="5"/>
      <c r="D11" s="5"/>
      <c r="E11" s="5"/>
    </row>
    <row r="12" spans="1:10" ht="15">
      <c r="A12" s="5"/>
      <c r="B12" s="10" t="s">
        <v>14</v>
      </c>
      <c r="C12" s="5"/>
      <c r="D12" s="5"/>
      <c r="E12" s="5"/>
    </row>
    <row r="13" spans="1:10" ht="15">
      <c r="A13" s="5"/>
      <c r="B13" s="5" t="s">
        <v>15</v>
      </c>
      <c r="C13" s="7"/>
      <c r="D13" s="7"/>
      <c r="E13" s="7"/>
    </row>
    <row r="14" spans="1:10" ht="15">
      <c r="A14" s="5"/>
      <c r="B14" s="5"/>
      <c r="C14" s="5"/>
      <c r="D14" s="5"/>
      <c r="E14" s="5"/>
    </row>
    <row r="15" spans="1:10" ht="15">
      <c r="A15" s="5"/>
      <c r="B15" s="5"/>
      <c r="C15" s="5"/>
      <c r="D15" s="5"/>
      <c r="E15" s="5"/>
    </row>
    <row r="16" spans="1:10" ht="15">
      <c r="A16" s="5"/>
      <c r="B16" s="6" t="s">
        <v>16</v>
      </c>
      <c r="C16" s="11"/>
      <c r="D16" s="12" t="s">
        <v>3</v>
      </c>
      <c r="E16" s="12" t="s">
        <v>3</v>
      </c>
    </row>
    <row r="17" spans="1:7" ht="15">
      <c r="A17" s="5"/>
      <c r="B17" t="s">
        <v>17</v>
      </c>
      <c r="C17" s="5"/>
      <c r="D17" s="5"/>
      <c r="E17" s="5"/>
      <c r="G17" s="41"/>
    </row>
    <row r="18" spans="1:7" ht="15">
      <c r="A18" s="5"/>
      <c r="B18" s="8" t="s">
        <v>6</v>
      </c>
      <c r="C18" s="5"/>
      <c r="D18" s="5"/>
      <c r="E18" s="5"/>
      <c r="G18" s="42"/>
    </row>
    <row r="19" spans="1:7" ht="15">
      <c r="A19" s="5"/>
      <c r="B19" s="42" t="s">
        <v>7</v>
      </c>
      <c r="C19" s="7"/>
      <c r="D19" s="7"/>
      <c r="E19" s="7"/>
      <c r="G19" s="42"/>
    </row>
    <row r="20" spans="1:7" ht="15">
      <c r="A20" s="5"/>
      <c r="B20" s="42" t="s">
        <v>9</v>
      </c>
      <c r="C20" s="9"/>
      <c r="D20" s="9"/>
      <c r="E20" s="9"/>
      <c r="G20" s="42"/>
    </row>
    <row r="21" spans="1:7" ht="15">
      <c r="A21" s="5"/>
      <c r="B21" s="42" t="s">
        <v>11</v>
      </c>
      <c r="C21" s="5"/>
      <c r="D21" s="5"/>
      <c r="E21" s="5"/>
    </row>
    <row r="22" spans="1:7" customFormat="1" ht="15">
      <c r="A22" s="5"/>
      <c r="B22" t="s">
        <v>18</v>
      </c>
      <c r="C22" s="5"/>
      <c r="D22" s="5"/>
      <c r="E22" s="5"/>
    </row>
    <row r="23" spans="1:7" customFormat="1" ht="15">
      <c r="A23" s="5"/>
      <c r="C23" s="5"/>
      <c r="D23" s="5"/>
      <c r="E23" s="5"/>
    </row>
    <row r="24" spans="1:7" s="42" customFormat="1" ht="15"/>
    <row r="25" spans="1:7" s="42" customFormat="1" ht="15"/>
    <row r="26" spans="1:7" s="42" customFormat="1" ht="15"/>
    <row r="27" spans="1:7" customFormat="1" ht="15">
      <c r="A27" s="5"/>
      <c r="B27" s="5"/>
      <c r="C27" s="5"/>
      <c r="D27" s="5"/>
      <c r="E27" s="5"/>
    </row>
    <row r="28" spans="1:7" customFormat="1" ht="15">
      <c r="A28" s="3" t="s">
        <v>19</v>
      </c>
      <c r="B28" s="5"/>
      <c r="C28" s="36"/>
      <c r="D28" s="5"/>
      <c r="E28" s="5"/>
    </row>
    <row r="29" spans="1:7" customFormat="1" ht="15">
      <c r="A29" s="5" t="s">
        <v>20</v>
      </c>
      <c r="B29" s="36">
        <v>0.88711067149387013</v>
      </c>
      <c r="C29" s="5"/>
      <c r="D29" s="5"/>
      <c r="E29" s="5"/>
    </row>
    <row r="30" spans="1:7" customFormat="1" ht="15">
      <c r="A30" s="5"/>
      <c r="B30" s="5"/>
      <c r="C30" s="8"/>
      <c r="D30" s="9"/>
      <c r="E30" s="9"/>
    </row>
    <row r="31" spans="1:7" customFormat="1" ht="15">
      <c r="A31" s="3" t="s">
        <v>21</v>
      </c>
      <c r="B31" s="5"/>
      <c r="C31" s="5" t="s">
        <v>22</v>
      </c>
      <c r="D31" s="5"/>
      <c r="E31" s="5"/>
    </row>
    <row r="32" spans="1:7" customFormat="1" ht="15">
      <c r="A32" s="5">
        <v>2012</v>
      </c>
      <c r="B32" s="5">
        <v>19.95</v>
      </c>
      <c r="C32" s="5"/>
      <c r="D32" s="5"/>
      <c r="E32" s="5"/>
    </row>
    <row r="33" spans="3:5" customFormat="1" ht="15">
      <c r="C33" s="5"/>
      <c r="D33" s="5"/>
      <c r="E33" s="5"/>
    </row>
    <row r="34" spans="3:5" customFormat="1" ht="15">
      <c r="C34" s="5" t="s">
        <v>23</v>
      </c>
      <c r="D34" s="7"/>
      <c r="E34" s="7"/>
    </row>
    <row r="35" spans="3:5" customFormat="1" ht="15"/>
    <row r="36" spans="3:5" customFormat="1" ht="15"/>
  </sheetData>
  <hyperlinks>
    <hyperlink ref="B7" r:id="rId1" xr:uid="{8A0F0CE5-0BE2-487A-97D0-20F5BE6BE8FD}"/>
    <hyperlink ref="B12" r:id="rId2" xr:uid="{2FD142E4-6E99-46A8-A5E6-296A955A43C0}"/>
    <hyperlink ref="B18" r:id="rId3" xr:uid="{0C55FBF3-65E2-4642-A875-F3DB0A90A7E8}"/>
  </hyperlinks>
  <pageMargins left="0.7" right="0.7" top="0.75" bottom="0.75" header="0.3" footer="0.3"/>
  <pageSetup orientation="portrait" horizontalDpi="1200" verticalDpi="1200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E8291-937B-4F44-8511-6E1543869991}">
  <dimension ref="A1:AT12"/>
  <sheetViews>
    <sheetView workbookViewId="0">
      <selection activeCell="D11" sqref="D11"/>
    </sheetView>
  </sheetViews>
  <sheetFormatPr defaultRowHeight="15"/>
  <cols>
    <col min="1" max="2" width="9.140625" style="37"/>
    <col min="3" max="3" width="20.85546875" style="37" customWidth="1"/>
    <col min="4" max="16384" width="9.140625" style="37"/>
  </cols>
  <sheetData>
    <row r="1" spans="1:46">
      <c r="A1" s="41" t="s">
        <v>6</v>
      </c>
      <c r="B1" s="5"/>
      <c r="C1" s="5"/>
      <c r="D1" s="5"/>
      <c r="E1" s="38"/>
      <c r="G1" s="38"/>
      <c r="H1" s="38"/>
      <c r="I1" s="38"/>
      <c r="J1" s="38"/>
      <c r="K1" s="38"/>
      <c r="L1" s="38"/>
      <c r="M1" s="38"/>
      <c r="N1" s="38"/>
      <c r="Q1" s="38"/>
      <c r="R1" s="38"/>
      <c r="S1" s="38"/>
      <c r="T1" s="38"/>
      <c r="U1" s="38"/>
      <c r="V1" s="38"/>
      <c r="W1" s="38"/>
      <c r="Y1" s="38"/>
      <c r="Z1" s="38"/>
      <c r="AA1" s="38"/>
      <c r="AB1" s="38"/>
      <c r="AC1" s="38"/>
      <c r="AD1" s="38"/>
      <c r="AE1" s="38"/>
      <c r="AF1" s="38"/>
      <c r="AG1" s="38"/>
      <c r="AH1" s="38"/>
      <c r="AI1" s="38"/>
      <c r="AJ1" s="38"/>
      <c r="AK1" s="38"/>
      <c r="AL1" s="38"/>
      <c r="AM1" s="38"/>
      <c r="AN1" s="38"/>
      <c r="AO1" s="38"/>
      <c r="AP1" s="38"/>
      <c r="AQ1" s="38"/>
      <c r="AR1" s="38"/>
      <c r="AT1" s="38"/>
    </row>
    <row r="2" spans="1:46">
      <c r="A2" s="42" t="s">
        <v>7</v>
      </c>
      <c r="B2" s="5"/>
      <c r="C2" s="5"/>
      <c r="D2" s="5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  <c r="AN2" s="39"/>
      <c r="AO2" s="39"/>
      <c r="AP2" s="39"/>
      <c r="AQ2" s="39"/>
      <c r="AR2" s="39"/>
      <c r="AS2" s="39"/>
      <c r="AT2" s="39"/>
    </row>
    <row r="3" spans="1:46">
      <c r="A3" s="42" t="s">
        <v>9</v>
      </c>
      <c r="B3" s="5"/>
      <c r="C3" s="5"/>
      <c r="D3" s="5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  <c r="AO3" s="39"/>
      <c r="AP3" s="39"/>
      <c r="AQ3" s="39"/>
      <c r="AR3" s="39"/>
      <c r="AS3" s="39"/>
      <c r="AT3" s="39"/>
    </row>
    <row r="4" spans="1:46">
      <c r="A4" s="42" t="s">
        <v>11</v>
      </c>
      <c r="B4" s="5"/>
      <c r="C4" s="5"/>
      <c r="D4" s="5"/>
    </row>
    <row r="5" spans="1:46">
      <c r="A5" s="5"/>
      <c r="B5" s="5"/>
      <c r="C5" s="5"/>
      <c r="D5" s="5"/>
      <c r="E5" s="38"/>
      <c r="O5" s="38"/>
      <c r="P5" s="38"/>
      <c r="X5" s="40"/>
      <c r="Y5" s="38"/>
    </row>
    <row r="6" spans="1:46">
      <c r="A6" s="43" t="s">
        <v>24</v>
      </c>
      <c r="B6" s="44"/>
      <c r="C6" s="45" t="s">
        <v>25</v>
      </c>
      <c r="D6" s="5"/>
      <c r="O6" s="38"/>
      <c r="P6" s="38"/>
      <c r="X6" s="40"/>
    </row>
    <row r="7" spans="1:46" ht="30.75">
      <c r="A7" s="46" t="s">
        <v>26</v>
      </c>
      <c r="B7" s="47" t="s">
        <v>3</v>
      </c>
      <c r="C7" s="47" t="s">
        <v>3</v>
      </c>
      <c r="D7" s="5"/>
      <c r="K7" s="38"/>
      <c r="N7" s="38"/>
      <c r="Q7" s="38"/>
      <c r="AA7" s="38"/>
    </row>
    <row r="8" spans="1:46">
      <c r="A8" s="48" t="s">
        <v>17</v>
      </c>
      <c r="B8" s="47" t="s">
        <v>3</v>
      </c>
      <c r="C8" s="49">
        <v>26384888.600000001</v>
      </c>
      <c r="D8" s="5"/>
      <c r="E8" s="38"/>
      <c r="F8" s="38"/>
      <c r="G8" s="38"/>
      <c r="H8" s="38"/>
      <c r="I8" s="38"/>
      <c r="J8" s="38"/>
    </row>
    <row r="9" spans="1:46">
      <c r="A9" s="48" t="s">
        <v>27</v>
      </c>
      <c r="B9" s="47" t="s">
        <v>3</v>
      </c>
      <c r="C9" s="49">
        <v>309363.3</v>
      </c>
      <c r="D9" s="5"/>
    </row>
    <row r="10" spans="1:46">
      <c r="A10" s="5"/>
      <c r="B10" s="5"/>
      <c r="C10" s="5"/>
      <c r="D10" s="5"/>
    </row>
    <row r="11" spans="1:46">
      <c r="A11" s="50" t="s">
        <v>28</v>
      </c>
      <c r="B11" s="5"/>
      <c r="C11" s="5"/>
      <c r="D11" s="8" t="s">
        <v>6</v>
      </c>
    </row>
    <row r="12" spans="1:46">
      <c r="A12" s="5"/>
      <c r="B12" s="5"/>
      <c r="C12" s="5"/>
      <c r="D12" s="5"/>
    </row>
  </sheetData>
  <mergeCells count="1">
    <mergeCell ref="A6:B6"/>
  </mergeCells>
  <hyperlinks>
    <hyperlink ref="A11" r:id="rId1" xr:uid="{EC16F2AF-6D14-4756-9B7F-6013F79E21BE}"/>
    <hyperlink ref="D11" r:id="rId2" xr:uid="{78833A1C-7F58-43B3-8211-1976CFE0CEA3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E8A3F-AE52-415F-9A67-4E8EEAC6AAFE}">
  <dimension ref="A1:D24"/>
  <sheetViews>
    <sheetView workbookViewId="0">
      <selection activeCell="B18" sqref="B18"/>
    </sheetView>
  </sheetViews>
  <sheetFormatPr defaultRowHeight="15"/>
  <cols>
    <col min="1" max="1" width="70.7109375" customWidth="1"/>
    <col min="2" max="2" width="14" customWidth="1"/>
    <col min="10" max="10" width="12.140625" bestFit="1" customWidth="1"/>
  </cols>
  <sheetData>
    <row r="1" spans="1:4">
      <c r="A1" s="5"/>
      <c r="B1" s="5"/>
      <c r="C1" s="5"/>
    </row>
    <row r="2" spans="1:4">
      <c r="A2" s="5"/>
      <c r="B2" s="5" t="s">
        <v>29</v>
      </c>
      <c r="C2" s="5" t="s">
        <v>30</v>
      </c>
    </row>
    <row r="3" spans="1:4">
      <c r="A3" s="14" t="s">
        <v>31</v>
      </c>
      <c r="B3" s="15">
        <f>13.9/100</f>
        <v>0.13900000000000001</v>
      </c>
      <c r="C3" s="16" t="s">
        <v>10</v>
      </c>
    </row>
    <row r="4" spans="1:4">
      <c r="A4" s="17" t="s">
        <v>32</v>
      </c>
      <c r="B4" s="5">
        <f>1121064767261.88/10^6</f>
        <v>1121064.76726188</v>
      </c>
      <c r="C4" s="10" t="s">
        <v>33</v>
      </c>
      <c r="D4" s="1"/>
    </row>
    <row r="5" spans="1:4">
      <c r="A5" s="17" t="s">
        <v>34</v>
      </c>
      <c r="B5" s="19">
        <f>B4*B3</f>
        <v>155828.00264940134</v>
      </c>
      <c r="C5" s="18" t="s">
        <v>3</v>
      </c>
    </row>
    <row r="6" spans="1:4">
      <c r="A6" s="17" t="s">
        <v>35</v>
      </c>
      <c r="B6" s="20">
        <v>0.21</v>
      </c>
      <c r="C6" s="10" t="s">
        <v>14</v>
      </c>
    </row>
    <row r="7" spans="1:4">
      <c r="A7" s="21" t="s">
        <v>36</v>
      </c>
      <c r="B7" s="22">
        <f>B5*B6</f>
        <v>32723.880556374283</v>
      </c>
      <c r="C7" s="23" t="s">
        <v>3</v>
      </c>
    </row>
    <row r="8" spans="1:4">
      <c r="A8" s="5"/>
      <c r="B8" s="5"/>
      <c r="C8" s="5"/>
    </row>
    <row r="9" spans="1:4">
      <c r="A9" s="24"/>
      <c r="B9" s="24"/>
      <c r="C9" s="24"/>
    </row>
    <row r="10" spans="1:4">
      <c r="A10" s="25" t="s">
        <v>37</v>
      </c>
      <c r="B10" s="26">
        <f>B7*About!B29</f>
        <v>29029.703654250392</v>
      </c>
      <c r="C10" s="27" t="s">
        <v>3</v>
      </c>
    </row>
    <row r="11" spans="1:4">
      <c r="A11" s="28" t="s">
        <v>3</v>
      </c>
      <c r="B11" s="24"/>
      <c r="C11" s="29" t="s">
        <v>3</v>
      </c>
    </row>
    <row r="12" spans="1:4">
      <c r="A12" s="28" t="s">
        <v>38</v>
      </c>
      <c r="B12" s="30">
        <f>'Employee Compensation'!C9</f>
        <v>309363.3</v>
      </c>
      <c r="C12" s="29" t="s">
        <v>3</v>
      </c>
    </row>
    <row r="13" spans="1:4">
      <c r="A13" s="28" t="s">
        <v>3</v>
      </c>
      <c r="B13" s="24"/>
      <c r="C13" s="29" t="s">
        <v>3</v>
      </c>
    </row>
    <row r="14" spans="1:4">
      <c r="A14" s="17" t="s">
        <v>3</v>
      </c>
      <c r="B14" s="5"/>
      <c r="C14" s="18" t="s">
        <v>3</v>
      </c>
    </row>
    <row r="15" spans="1:4">
      <c r="A15" s="28" t="s">
        <v>39</v>
      </c>
      <c r="B15" s="31">
        <f>B10/(B12)</f>
        <v>9.3836934291334467E-2</v>
      </c>
      <c r="C15" s="29" t="s">
        <v>3</v>
      </c>
    </row>
    <row r="16" spans="1:4">
      <c r="A16" s="17" t="s">
        <v>3</v>
      </c>
      <c r="B16" s="5"/>
      <c r="C16" s="18" t="s">
        <v>3</v>
      </c>
    </row>
    <row r="17" spans="1:3">
      <c r="A17" s="28" t="s">
        <v>40</v>
      </c>
      <c r="B17" s="5">
        <f>30/24</f>
        <v>1.25</v>
      </c>
      <c r="C17" s="18" t="s">
        <v>41</v>
      </c>
    </row>
    <row r="18" spans="1:3">
      <c r="A18" s="32" t="s">
        <v>42</v>
      </c>
      <c r="B18" s="33">
        <f>B15*B17</f>
        <v>0.11729616786416808</v>
      </c>
      <c r="C18" s="23" t="s">
        <v>3</v>
      </c>
    </row>
    <row r="19" spans="1:3">
      <c r="A19" s="5"/>
      <c r="B19" s="5"/>
      <c r="C19" s="5"/>
    </row>
    <row r="20" spans="1:3">
      <c r="A20" s="5"/>
      <c r="B20" s="5"/>
      <c r="C20" s="5"/>
    </row>
    <row r="21" spans="1:3">
      <c r="A21" s="5"/>
      <c r="B21" s="5"/>
      <c r="C21" s="5"/>
    </row>
    <row r="22" spans="1:3">
      <c r="A22" s="5"/>
      <c r="B22" s="5"/>
      <c r="C22" s="13"/>
    </row>
    <row r="23" spans="1:3">
      <c r="A23" s="5"/>
      <c r="B23" s="5"/>
      <c r="C23" s="5"/>
    </row>
    <row r="24" spans="1:3">
      <c r="A24" s="5"/>
      <c r="B24" s="5"/>
      <c r="C24" s="5"/>
    </row>
  </sheetData>
  <hyperlinks>
    <hyperlink ref="C3" r:id="rId1" xr:uid="{7947F487-A962-4DE7-840B-C639C089C1E8}"/>
    <hyperlink ref="C6" r:id="rId2" xr:uid="{15AA9CA9-EB51-4137-AF5F-DD27525719D2}"/>
    <hyperlink ref="C4" r:id="rId3" xr:uid="{CBEE28E2-3EB4-43D9-AD94-89B21AAA19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2"/>
  <sheetViews>
    <sheetView tabSelected="1" workbookViewId="0">
      <selection activeCell="D7" sqref="D7"/>
    </sheetView>
  </sheetViews>
  <sheetFormatPr defaultRowHeight="14.25"/>
  <cols>
    <col min="2" max="2" width="26.28515625" customWidth="1"/>
  </cols>
  <sheetData>
    <row r="1" spans="1:2" ht="28.5">
      <c r="B1" s="2" t="s">
        <v>43</v>
      </c>
    </row>
    <row r="2" spans="1:2">
      <c r="A2" t="s">
        <v>44</v>
      </c>
      <c r="B2" s="34">
        <f>Calculations!B18</f>
        <v>0.11729616786416808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9DAB439B36DB4795F39C4E722C7BC4" ma:contentTypeVersion="4" ma:contentTypeDescription="Create a new document." ma:contentTypeScope="" ma:versionID="44674c89fa9bc5e97a878a6680c46188">
  <xsd:schema xmlns:xsd="http://www.w3.org/2001/XMLSchema" xmlns:xs="http://www.w3.org/2001/XMLSchema" xmlns:p="http://schemas.microsoft.com/office/2006/metadata/properties" xmlns:ns2="79748b23-d81a-423e-9112-21109dc864e6" targetNamespace="http://schemas.microsoft.com/office/2006/metadata/properties" ma:root="true" ma:fieldsID="447839a363ea5a12024b5bf1ab53ed90" ns2:_="">
    <xsd:import namespace="79748b23-d81a-423e-9112-21109dc864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48b23-d81a-423e-9112-21109dc864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74E7ED2-25FB-471A-BC94-DE6A7944E36F}"/>
</file>

<file path=customXml/itemProps2.xml><?xml version="1.0" encoding="utf-8"?>
<ds:datastoreItem xmlns:ds="http://schemas.openxmlformats.org/officeDocument/2006/customXml" ds:itemID="{416F06C2-C087-4F9D-8A20-363898D3F3B0}"/>
</file>

<file path=customXml/itemProps3.xml><?xml version="1.0" encoding="utf-8"?>
<ds:datastoreItem xmlns:ds="http://schemas.openxmlformats.org/officeDocument/2006/customXml" ds:itemID="{3C90BB16-13A7-4F49-8AA0-ED926081FDA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EnergyInnovation.org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Rachel Goldstein</cp:lastModifiedBy>
  <cp:revision/>
  <dcterms:created xsi:type="dcterms:W3CDTF">2015-06-29T20:53:52Z</dcterms:created>
  <dcterms:modified xsi:type="dcterms:W3CDTF">2025-03-07T19:02:38Z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0x0101009A9DAB439B36DB4795F39C4E722C7BC4</vt:lpwstr>
  </property>
</Properties>
</file>