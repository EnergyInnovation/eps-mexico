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io-model\BGDP\"/>
    </mc:Choice>
  </mc:AlternateContent>
  <xr:revisionPtr revIDLastSave="0" documentId="13_ncr:1_{EF8980EE-C492-4D21-94DA-D296506377A9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bout" sheetId="1" r:id="rId1"/>
    <sheet name="OECD Data MEX" sheetId="6" r:id="rId2"/>
    <sheet name="world bank data" sheetId="7" r:id="rId3"/>
    <sheet name="BGDP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2" l="1"/>
  <c r="B45" i="2"/>
  <c r="B46" i="2"/>
  <c r="B47" i="2"/>
  <c r="B48" i="2"/>
  <c r="B49" i="2"/>
  <c r="B50" i="2"/>
  <c r="B51" i="2"/>
  <c r="B52" i="2"/>
  <c r="B4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3" i="2"/>
  <c r="B2" i="2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5" i="6"/>
  <c r="C8" i="7" l="1"/>
  <c r="C9" i="7"/>
  <c r="C10" i="7"/>
  <c r="C11" i="7"/>
  <c r="C7" i="7"/>
  <c r="A16" i="1"/>
</calcChain>
</file>

<file path=xl/sharedStrings.xml><?xml version="1.0" encoding="utf-8"?>
<sst xmlns="http://schemas.openxmlformats.org/spreadsheetml/2006/main" count="29" uniqueCount="27">
  <si>
    <t>BGDP BAU Gross Domestic Product</t>
  </si>
  <si>
    <t>Source:</t>
  </si>
  <si>
    <t>OECD</t>
  </si>
  <si>
    <t>https://www.oecd.org/en/data/indicators/real-gdp-long-term-forecast.html</t>
  </si>
  <si>
    <t>Real GDP long-term forecast</t>
  </si>
  <si>
    <t>Notes</t>
  </si>
  <si>
    <t>In the U.S. model, input data are converted to 2012 USD (then converted to the</t>
  </si>
  <si>
    <t>output currency year in web-app/OCCF).  Therefore, we use these conversion factors:</t>
  </si>
  <si>
    <t>2012 dollars per 2015 dollar</t>
  </si>
  <si>
    <t>dollars per million dollars</t>
  </si>
  <si>
    <t>Volume, US dollars at 2015 Purchasing Power Parities</t>
  </si>
  <si>
    <t>Category</t>
  </si>
  <si>
    <t>Mexico</t>
  </si>
  <si>
    <t>Unit: 2012 USD</t>
  </si>
  <si>
    <t>GDP</t>
  </si>
  <si>
    <t>Country Name</t>
  </si>
  <si>
    <t>Country Code</t>
  </si>
  <si>
    <t>Indicator Name</t>
  </si>
  <si>
    <t>Indicator Code</t>
  </si>
  <si>
    <t>MEX</t>
  </si>
  <si>
    <t>GDP (constant 2015 US$)</t>
  </si>
  <si>
    <t>NY.GDP.MKTP.KD</t>
  </si>
  <si>
    <t>World Bank Group</t>
  </si>
  <si>
    <t>https://data.worldbank.org/indicator/NY.GDP.MKTP.KD?locations=MX</t>
  </si>
  <si>
    <t>GDP (constant 2015 US$) - Mexico</t>
  </si>
  <si>
    <t>The world bank long-term forecast gives GDPs in millions of 2015 USD</t>
  </si>
  <si>
    <t>2012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</si>
</sst>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11" fontId="5" fillId="0" borderId="0" xfId="0" applyNumberFormat="1" applyFont="1"/>
    <xf numFmtId="11" fontId="0" fillId="0" borderId="0" xfId="0" applyNumberFormat="1"/>
    <xf numFmtId="0" fontId="0" fillId="0" borderId="0" xfId="0" applyNumberFormat="1"/>
    <xf numFmtId="9" fontId="0" fillId="0" borderId="0" xfId="2" applyFont="1"/>
    <xf numFmtId="0" fontId="0" fillId="2" borderId="0" xfId="0" applyNumberFormat="1" applyFill="1"/>
    <xf numFmtId="0" fontId="0" fillId="2" borderId="0" xfId="0" applyFill="1"/>
    <xf numFmtId="11" fontId="0" fillId="2" borderId="0" xfId="0" applyNumberFormat="1" applyFill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oecd.org/en/data/indicators/real-gdp-long-term-forecast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workbookViewId="0">
      <selection activeCell="F16" sqref="F16"/>
    </sheetView>
  </sheetViews>
  <sheetFormatPr defaultRowHeight="15" x14ac:dyDescent="0.25"/>
  <cols>
    <col min="2" max="2" width="77.5703125" customWidth="1"/>
  </cols>
  <sheetData>
    <row r="1" spans="1:4" x14ac:dyDescent="0.25">
      <c r="A1" s="1" t="s">
        <v>0</v>
      </c>
    </row>
    <row r="3" spans="1:4" x14ac:dyDescent="0.25">
      <c r="A3" s="1" t="s">
        <v>1</v>
      </c>
      <c r="B3" t="s">
        <v>22</v>
      </c>
      <c r="D3" t="s">
        <v>2</v>
      </c>
    </row>
    <row r="4" spans="1:4" x14ac:dyDescent="0.25">
      <c r="B4" s="2">
        <v>2024</v>
      </c>
      <c r="D4" s="2">
        <v>2023</v>
      </c>
    </row>
    <row r="5" spans="1:4" x14ac:dyDescent="0.25">
      <c r="B5" s="3" t="s">
        <v>23</v>
      </c>
      <c r="D5" s="3" t="s">
        <v>3</v>
      </c>
    </row>
    <row r="6" spans="1:4" x14ac:dyDescent="0.25">
      <c r="B6" t="s">
        <v>24</v>
      </c>
      <c r="D6" t="s">
        <v>4</v>
      </c>
    </row>
    <row r="9" spans="1:4" x14ac:dyDescent="0.25">
      <c r="A9" s="1" t="s">
        <v>5</v>
      </c>
    </row>
    <row r="10" spans="1:4" x14ac:dyDescent="0.25">
      <c r="A10" t="s">
        <v>25</v>
      </c>
    </row>
    <row r="12" spans="1:4" x14ac:dyDescent="0.25">
      <c r="A12" t="s">
        <v>6</v>
      </c>
    </row>
    <row r="13" spans="1:4" x14ac:dyDescent="0.25">
      <c r="A13" t="s">
        <v>7</v>
      </c>
    </row>
    <row r="15" spans="1:4" x14ac:dyDescent="0.25">
      <c r="A15">
        <v>0.9686815713640794</v>
      </c>
      <c r="B15" t="s">
        <v>8</v>
      </c>
    </row>
    <row r="16" spans="1:4" x14ac:dyDescent="0.25">
      <c r="A16">
        <f>10^6</f>
        <v>1000000</v>
      </c>
      <c r="B16" t="s">
        <v>9</v>
      </c>
    </row>
  </sheetData>
  <hyperlinks>
    <hyperlink ref="D5" r:id="rId1" xr:uid="{AEA3AB9E-B33F-4D38-8574-2CC72EBFA90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9B33-3B88-4EAB-9BC5-98CC93E0EEDA}">
  <dimension ref="A1:G48"/>
  <sheetViews>
    <sheetView workbookViewId="0">
      <selection activeCell="C47" sqref="C47"/>
    </sheetView>
  </sheetViews>
  <sheetFormatPr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5" width="13.28515625" customWidth="1"/>
    <col min="7" max="7" width="17.140625" customWidth="1"/>
  </cols>
  <sheetData>
    <row r="1" spans="1:7" x14ac:dyDescent="0.25">
      <c r="A1" s="9" t="s">
        <v>4</v>
      </c>
      <c r="B1" s="9"/>
      <c r="F1" s="4"/>
      <c r="G1" s="4"/>
    </row>
    <row r="2" spans="1:7" x14ac:dyDescent="0.25">
      <c r="A2" s="9" t="s">
        <v>10</v>
      </c>
      <c r="B2" s="9"/>
    </row>
    <row r="3" spans="1:7" x14ac:dyDescent="0.25">
      <c r="A3" s="9" t="s">
        <v>11</v>
      </c>
      <c r="B3" s="9" t="s">
        <v>12</v>
      </c>
      <c r="G3" s="5"/>
    </row>
    <row r="4" spans="1:7" x14ac:dyDescent="0.25">
      <c r="A4" s="9">
        <v>2020</v>
      </c>
      <c r="B4" s="10">
        <v>2220000000000</v>
      </c>
    </row>
    <row r="5" spans="1:7" x14ac:dyDescent="0.25">
      <c r="A5" s="9">
        <v>2021</v>
      </c>
      <c r="B5" s="10">
        <v>2350000000000</v>
      </c>
      <c r="C5" s="13">
        <f>B5/$B$4</f>
        <v>1.0585585585585586</v>
      </c>
    </row>
    <row r="6" spans="1:7" x14ac:dyDescent="0.25">
      <c r="A6" s="9">
        <v>2022</v>
      </c>
      <c r="B6" s="10">
        <v>2450000000000</v>
      </c>
      <c r="C6" s="13">
        <f t="shared" ref="C6:C44" si="0">B6/$B$4</f>
        <v>1.1036036036036037</v>
      </c>
    </row>
    <row r="7" spans="1:7" x14ac:dyDescent="0.25">
      <c r="A7" s="9">
        <v>2023</v>
      </c>
      <c r="B7" s="10">
        <v>2530000000000</v>
      </c>
      <c r="C7" s="13">
        <f t="shared" si="0"/>
        <v>1.1396396396396395</v>
      </c>
    </row>
    <row r="8" spans="1:7" x14ac:dyDescent="0.25">
      <c r="A8" s="9">
        <v>2024</v>
      </c>
      <c r="B8" s="10">
        <v>2590000000000</v>
      </c>
      <c r="C8" s="13">
        <f t="shared" si="0"/>
        <v>1.1666666666666667</v>
      </c>
    </row>
    <row r="9" spans="1:7" x14ac:dyDescent="0.25">
      <c r="A9" s="9">
        <v>2025</v>
      </c>
      <c r="B9" s="10">
        <v>2650000000000</v>
      </c>
      <c r="C9" s="13">
        <f t="shared" si="0"/>
        <v>1.1936936936936937</v>
      </c>
    </row>
    <row r="10" spans="1:7" x14ac:dyDescent="0.25">
      <c r="A10" s="9">
        <v>2026</v>
      </c>
      <c r="B10" s="10">
        <v>2710000000000</v>
      </c>
      <c r="C10" s="13">
        <f t="shared" si="0"/>
        <v>1.2207207207207207</v>
      </c>
    </row>
    <row r="11" spans="1:7" x14ac:dyDescent="0.25">
      <c r="A11" s="9">
        <v>2027</v>
      </c>
      <c r="B11" s="10">
        <v>2790000000000</v>
      </c>
      <c r="C11" s="13">
        <f t="shared" si="0"/>
        <v>1.2567567567567568</v>
      </c>
    </row>
    <row r="12" spans="1:7" x14ac:dyDescent="0.25">
      <c r="A12" s="9">
        <v>2028</v>
      </c>
      <c r="B12" s="10">
        <v>2860000000000</v>
      </c>
      <c r="C12" s="13">
        <f t="shared" si="0"/>
        <v>1.2882882882882882</v>
      </c>
    </row>
    <row r="13" spans="1:7" x14ac:dyDescent="0.25">
      <c r="A13" s="9">
        <v>2029</v>
      </c>
      <c r="B13" s="10">
        <v>2940000000000</v>
      </c>
      <c r="C13" s="13">
        <f t="shared" si="0"/>
        <v>1.3243243243243243</v>
      </c>
    </row>
    <row r="14" spans="1:7" x14ac:dyDescent="0.25">
      <c r="A14" s="9">
        <v>2030</v>
      </c>
      <c r="B14" s="10">
        <v>3030000000000</v>
      </c>
      <c r="C14" s="13">
        <f t="shared" si="0"/>
        <v>1.3648648648648649</v>
      </c>
    </row>
    <row r="15" spans="1:7" x14ac:dyDescent="0.25">
      <c r="A15" s="9">
        <v>2031</v>
      </c>
      <c r="B15" s="10">
        <v>3120000000000</v>
      </c>
      <c r="C15" s="13">
        <f t="shared" si="0"/>
        <v>1.4054054054054055</v>
      </c>
    </row>
    <row r="16" spans="1:7" x14ac:dyDescent="0.25">
      <c r="A16" s="9">
        <v>2032</v>
      </c>
      <c r="B16" s="10">
        <v>3210000000000</v>
      </c>
      <c r="C16" s="13">
        <f t="shared" si="0"/>
        <v>1.4459459459459461</v>
      </c>
    </row>
    <row r="17" spans="1:3" x14ac:dyDescent="0.25">
      <c r="A17" s="9">
        <v>2033</v>
      </c>
      <c r="B17" s="10">
        <v>3300000000000</v>
      </c>
      <c r="C17" s="13">
        <f t="shared" si="0"/>
        <v>1.4864864864864864</v>
      </c>
    </row>
    <row r="18" spans="1:3" x14ac:dyDescent="0.25">
      <c r="A18" s="9">
        <v>2034</v>
      </c>
      <c r="B18" s="10">
        <v>3400000000000</v>
      </c>
      <c r="C18" s="13">
        <f t="shared" si="0"/>
        <v>1.5315315315315314</v>
      </c>
    </row>
    <row r="19" spans="1:3" x14ac:dyDescent="0.25">
      <c r="A19" s="9">
        <v>2035</v>
      </c>
      <c r="B19" s="10">
        <v>3510000000000</v>
      </c>
      <c r="C19" s="13">
        <f t="shared" si="0"/>
        <v>1.5810810810810811</v>
      </c>
    </row>
    <row r="20" spans="1:3" x14ac:dyDescent="0.25">
      <c r="A20" s="9">
        <v>2036</v>
      </c>
      <c r="B20" s="10">
        <v>3610000000000</v>
      </c>
      <c r="C20" s="13">
        <f t="shared" si="0"/>
        <v>1.6261261261261262</v>
      </c>
    </row>
    <row r="21" spans="1:3" x14ac:dyDescent="0.25">
      <c r="A21" s="9">
        <v>2037</v>
      </c>
      <c r="B21" s="10">
        <v>3720000000000</v>
      </c>
      <c r="C21" s="13">
        <f t="shared" si="0"/>
        <v>1.6756756756756757</v>
      </c>
    </row>
    <row r="22" spans="1:3" x14ac:dyDescent="0.25">
      <c r="A22" s="9">
        <v>2038</v>
      </c>
      <c r="B22" s="10">
        <v>3840000000000</v>
      </c>
      <c r="C22" s="13">
        <f t="shared" si="0"/>
        <v>1.7297297297297298</v>
      </c>
    </row>
    <row r="23" spans="1:3" x14ac:dyDescent="0.25">
      <c r="A23" s="9">
        <v>2039</v>
      </c>
      <c r="B23" s="10">
        <v>3950000000000</v>
      </c>
      <c r="C23" s="13">
        <f t="shared" si="0"/>
        <v>1.7792792792792793</v>
      </c>
    </row>
    <row r="24" spans="1:3" x14ac:dyDescent="0.25">
      <c r="A24" s="9">
        <v>2040</v>
      </c>
      <c r="B24" s="10">
        <v>4070000000000</v>
      </c>
      <c r="C24" s="13">
        <f t="shared" si="0"/>
        <v>1.8333333333333333</v>
      </c>
    </row>
    <row r="25" spans="1:3" x14ac:dyDescent="0.25">
      <c r="A25" s="9">
        <v>2041</v>
      </c>
      <c r="B25" s="10">
        <v>4190000000000</v>
      </c>
      <c r="C25" s="13">
        <f t="shared" si="0"/>
        <v>1.8873873873873874</v>
      </c>
    </row>
    <row r="26" spans="1:3" x14ac:dyDescent="0.25">
      <c r="A26" s="9">
        <v>2042</v>
      </c>
      <c r="B26" s="10">
        <v>4310000000000</v>
      </c>
      <c r="C26" s="13">
        <f t="shared" si="0"/>
        <v>1.9414414414414414</v>
      </c>
    </row>
    <row r="27" spans="1:3" x14ac:dyDescent="0.25">
      <c r="A27" s="9">
        <v>2043</v>
      </c>
      <c r="B27" s="10">
        <v>4440000000000</v>
      </c>
      <c r="C27" s="13">
        <f t="shared" si="0"/>
        <v>2</v>
      </c>
    </row>
    <row r="28" spans="1:3" x14ac:dyDescent="0.25">
      <c r="A28" s="9">
        <v>2044</v>
      </c>
      <c r="B28" s="10">
        <v>4570000000000</v>
      </c>
      <c r="C28" s="13">
        <f t="shared" si="0"/>
        <v>2.0585585585585586</v>
      </c>
    </row>
    <row r="29" spans="1:3" x14ac:dyDescent="0.25">
      <c r="A29" s="9">
        <v>2045</v>
      </c>
      <c r="B29" s="10">
        <v>4700000000000</v>
      </c>
      <c r="C29" s="13">
        <f t="shared" si="0"/>
        <v>2.1171171171171173</v>
      </c>
    </row>
    <row r="30" spans="1:3" x14ac:dyDescent="0.25">
      <c r="A30" s="9">
        <v>2046</v>
      </c>
      <c r="B30" s="10">
        <v>4830000000000</v>
      </c>
      <c r="C30" s="13">
        <f t="shared" si="0"/>
        <v>2.1756756756756759</v>
      </c>
    </row>
    <row r="31" spans="1:3" x14ac:dyDescent="0.25">
      <c r="A31" s="9">
        <v>2047</v>
      </c>
      <c r="B31" s="10">
        <v>4960000000000</v>
      </c>
      <c r="C31" s="13">
        <f t="shared" si="0"/>
        <v>2.2342342342342341</v>
      </c>
    </row>
    <row r="32" spans="1:3" x14ac:dyDescent="0.25">
      <c r="A32" s="9">
        <v>2048</v>
      </c>
      <c r="B32" s="10">
        <v>5100000000000</v>
      </c>
      <c r="C32" s="13">
        <f t="shared" si="0"/>
        <v>2.2972972972972974</v>
      </c>
    </row>
    <row r="33" spans="1:3" x14ac:dyDescent="0.25">
      <c r="A33" s="9">
        <v>2049</v>
      </c>
      <c r="B33" s="10">
        <v>5230000000000</v>
      </c>
      <c r="C33" s="13">
        <f t="shared" si="0"/>
        <v>2.355855855855856</v>
      </c>
    </row>
    <row r="34" spans="1:3" x14ac:dyDescent="0.25">
      <c r="A34" s="9">
        <v>2050</v>
      </c>
      <c r="B34" s="10">
        <v>5370000000000</v>
      </c>
      <c r="C34" s="13">
        <f t="shared" si="0"/>
        <v>2.4189189189189189</v>
      </c>
    </row>
    <row r="35" spans="1:3" x14ac:dyDescent="0.25">
      <c r="A35" s="9">
        <v>2051</v>
      </c>
      <c r="B35" s="10">
        <v>5510000000000</v>
      </c>
      <c r="C35" s="13">
        <f t="shared" si="0"/>
        <v>2.4819819819819822</v>
      </c>
    </row>
    <row r="36" spans="1:3" x14ac:dyDescent="0.25">
      <c r="A36" s="9">
        <v>2052</v>
      </c>
      <c r="B36" s="10">
        <v>5650000000000</v>
      </c>
      <c r="C36" s="13">
        <f t="shared" si="0"/>
        <v>2.545045045045045</v>
      </c>
    </row>
    <row r="37" spans="1:3" x14ac:dyDescent="0.25">
      <c r="A37" s="9">
        <v>2053</v>
      </c>
      <c r="B37" s="10">
        <v>5790000000000</v>
      </c>
      <c r="C37" s="13">
        <f t="shared" si="0"/>
        <v>2.6081081081081079</v>
      </c>
    </row>
    <row r="38" spans="1:3" x14ac:dyDescent="0.25">
      <c r="A38" s="9">
        <v>2054</v>
      </c>
      <c r="B38" s="10">
        <v>5930000000000</v>
      </c>
      <c r="C38" s="13">
        <f t="shared" si="0"/>
        <v>2.6711711711711712</v>
      </c>
    </row>
    <row r="39" spans="1:3" x14ac:dyDescent="0.25">
      <c r="A39" s="9">
        <v>2055</v>
      </c>
      <c r="B39" s="10">
        <v>6060000000000</v>
      </c>
      <c r="C39" s="13">
        <f t="shared" si="0"/>
        <v>2.7297297297297298</v>
      </c>
    </row>
    <row r="40" spans="1:3" x14ac:dyDescent="0.25">
      <c r="A40" s="9">
        <v>2056</v>
      </c>
      <c r="B40" s="10">
        <v>6200000000000</v>
      </c>
      <c r="C40" s="13">
        <f t="shared" si="0"/>
        <v>2.7927927927927927</v>
      </c>
    </row>
    <row r="41" spans="1:3" x14ac:dyDescent="0.25">
      <c r="A41" s="9">
        <v>2057</v>
      </c>
      <c r="B41" s="10">
        <v>6340000000000</v>
      </c>
      <c r="C41" s="13">
        <f t="shared" si="0"/>
        <v>2.855855855855856</v>
      </c>
    </row>
    <row r="42" spans="1:3" x14ac:dyDescent="0.25">
      <c r="A42" s="9">
        <v>2058</v>
      </c>
      <c r="B42" s="10">
        <v>6480000000000</v>
      </c>
      <c r="C42" s="13">
        <f t="shared" si="0"/>
        <v>2.9189189189189189</v>
      </c>
    </row>
    <row r="43" spans="1:3" x14ac:dyDescent="0.25">
      <c r="A43" s="9">
        <v>2059</v>
      </c>
      <c r="B43" s="10">
        <v>6620000000000</v>
      </c>
      <c r="C43" s="13">
        <f t="shared" si="0"/>
        <v>2.9819819819819822</v>
      </c>
    </row>
    <row r="44" spans="1:3" x14ac:dyDescent="0.25">
      <c r="A44" s="9">
        <v>2060</v>
      </c>
      <c r="B44" s="10">
        <v>6760000000000</v>
      </c>
      <c r="C44" s="13">
        <f t="shared" si="0"/>
        <v>3.045045045045045</v>
      </c>
    </row>
    <row r="45" spans="1:3" x14ac:dyDescent="0.25">
      <c r="A45" s="8"/>
    </row>
    <row r="46" spans="1:3" x14ac:dyDescent="0.25">
      <c r="A46" s="8"/>
    </row>
    <row r="47" spans="1:3" x14ac:dyDescent="0.25">
      <c r="A47" s="8"/>
    </row>
    <row r="48" spans="1:3" x14ac:dyDescent="0.25">
      <c r="A4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BB5A-D768-4087-8392-4CD779301F86}">
  <dimension ref="A3:C11"/>
  <sheetViews>
    <sheetView workbookViewId="0">
      <selection activeCell="D7" sqref="D7"/>
    </sheetView>
  </sheetViews>
  <sheetFormatPr defaultRowHeight="15" x14ac:dyDescent="0.25"/>
  <cols>
    <col min="1" max="1" width="14.7109375" bestFit="1" customWidth="1"/>
    <col min="2" max="2" width="22.7109375" bestFit="1" customWidth="1"/>
    <col min="3" max="3" width="12" bestFit="1" customWidth="1"/>
  </cols>
  <sheetData>
    <row r="3" spans="1:3" x14ac:dyDescent="0.25">
      <c r="A3" t="s">
        <v>15</v>
      </c>
      <c r="B3" t="s">
        <v>12</v>
      </c>
    </row>
    <row r="4" spans="1:3" x14ac:dyDescent="0.25">
      <c r="A4" t="s">
        <v>16</v>
      </c>
      <c r="B4" t="s">
        <v>19</v>
      </c>
    </row>
    <row r="5" spans="1:3" x14ac:dyDescent="0.25">
      <c r="A5" t="s">
        <v>17</v>
      </c>
      <c r="B5" t="s">
        <v>20</v>
      </c>
    </row>
    <row r="6" spans="1:3" x14ac:dyDescent="0.25">
      <c r="A6" t="s">
        <v>18</v>
      </c>
      <c r="B6" t="s">
        <v>21</v>
      </c>
      <c r="C6" t="s">
        <v>26</v>
      </c>
    </row>
    <row r="7" spans="1:3" x14ac:dyDescent="0.25">
      <c r="A7" s="14">
        <v>2020</v>
      </c>
      <c r="B7" s="15">
        <v>1170944075446.259</v>
      </c>
      <c r="C7" s="15">
        <f>B7*About!$A$15</f>
        <v>1134271946982.7415</v>
      </c>
    </row>
    <row r="8" spans="1:3" x14ac:dyDescent="0.25">
      <c r="A8" s="12">
        <v>2021</v>
      </c>
      <c r="B8">
        <v>1241768434200.3643</v>
      </c>
      <c r="C8">
        <f>B8*About!$A$15</f>
        <v>1202878198111.5212</v>
      </c>
    </row>
    <row r="9" spans="1:3" x14ac:dyDescent="0.25">
      <c r="A9" s="12">
        <v>2022</v>
      </c>
      <c r="B9">
        <v>1287835026749.8125</v>
      </c>
      <c r="C9">
        <f>B9*About!$A$15</f>
        <v>1247502057369.7097</v>
      </c>
    </row>
    <row r="10" spans="1:3" x14ac:dyDescent="0.25">
      <c r="A10" s="12">
        <v>2023</v>
      </c>
      <c r="B10">
        <v>1331023107619.6343</v>
      </c>
      <c r="C10">
        <f>B10*About!$A$15</f>
        <v>1289337555410.8875</v>
      </c>
    </row>
    <row r="11" spans="1:3" x14ac:dyDescent="0.25">
      <c r="A11" s="12">
        <v>2024</v>
      </c>
      <c r="B11">
        <v>1350022500028.8057</v>
      </c>
      <c r="C11">
        <f>B11*About!$A$15</f>
        <v>1307741916704.7664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D52"/>
  <sheetViews>
    <sheetView tabSelected="1" workbookViewId="0">
      <selection activeCell="F8" sqref="F8"/>
    </sheetView>
  </sheetViews>
  <sheetFormatPr defaultRowHeight="15" x14ac:dyDescent="0.25"/>
  <cols>
    <col min="1" max="1" width="17.7109375" customWidth="1"/>
    <col min="2" max="2" width="15.140625" customWidth="1"/>
    <col min="4" max="4" width="12" bestFit="1" customWidth="1"/>
  </cols>
  <sheetData>
    <row r="1" spans="1:4" x14ac:dyDescent="0.25">
      <c r="A1" s="7" t="s">
        <v>13</v>
      </c>
      <c r="B1" s="6" t="s">
        <v>14</v>
      </c>
      <c r="D1" s="1"/>
    </row>
    <row r="2" spans="1:4" x14ac:dyDescent="0.25">
      <c r="A2">
        <v>2020</v>
      </c>
      <c r="B2" s="11">
        <f>'world bank data'!C7</f>
        <v>1134271946982.7415</v>
      </c>
    </row>
    <row r="3" spans="1:4" x14ac:dyDescent="0.25">
      <c r="A3">
        <v>2021</v>
      </c>
      <c r="B3" s="11">
        <f>$B$2*'OECD Data MEX'!C5</f>
        <v>1200693277211.4607</v>
      </c>
    </row>
    <row r="4" spans="1:4" x14ac:dyDescent="0.25">
      <c r="A4">
        <v>2022</v>
      </c>
      <c r="B4" s="11">
        <f>$B$2*'OECD Data MEX'!C6</f>
        <v>1251786608156.6292</v>
      </c>
    </row>
    <row r="5" spans="1:4" x14ac:dyDescent="0.25">
      <c r="A5">
        <v>2023</v>
      </c>
      <c r="B5" s="11">
        <f>$B$2*'OECD Data MEX'!C7</f>
        <v>1292661272912.7639</v>
      </c>
    </row>
    <row r="6" spans="1:4" x14ac:dyDescent="0.25">
      <c r="A6">
        <v>2024</v>
      </c>
      <c r="B6" s="11">
        <f>$B$2*'OECD Data MEX'!C8</f>
        <v>1323317271479.8652</v>
      </c>
    </row>
    <row r="7" spans="1:4" x14ac:dyDescent="0.25">
      <c r="A7">
        <v>2025</v>
      </c>
      <c r="B7" s="11">
        <f>$B$2*'OECD Data MEX'!C9</f>
        <v>1353973270046.9661</v>
      </c>
    </row>
    <row r="8" spans="1:4" x14ac:dyDescent="0.25">
      <c r="A8">
        <v>2026</v>
      </c>
      <c r="B8" s="11">
        <f>$B$2*'OECD Data MEX'!C10</f>
        <v>1384629268614.0671</v>
      </c>
    </row>
    <row r="9" spans="1:4" x14ac:dyDescent="0.25">
      <c r="A9">
        <v>2027</v>
      </c>
      <c r="B9" s="11">
        <f>$B$2*'OECD Data MEX'!C11</f>
        <v>1425503933370.2021</v>
      </c>
    </row>
    <row r="10" spans="1:4" x14ac:dyDescent="0.25">
      <c r="A10">
        <v>2028</v>
      </c>
      <c r="B10" s="11">
        <f>$B$2*'OECD Data MEX'!C12</f>
        <v>1461269265031.8201</v>
      </c>
    </row>
    <row r="11" spans="1:4" x14ac:dyDescent="0.25">
      <c r="A11">
        <v>2029</v>
      </c>
      <c r="B11" s="11">
        <f>$B$2*'OECD Data MEX'!C13</f>
        <v>1502143929787.9548</v>
      </c>
    </row>
    <row r="12" spans="1:4" x14ac:dyDescent="0.25">
      <c r="A12">
        <v>2030</v>
      </c>
      <c r="B12" s="11">
        <f>$B$2*'OECD Data MEX'!C14</f>
        <v>1548127927638.6067</v>
      </c>
    </row>
    <row r="13" spans="1:4" x14ac:dyDescent="0.25">
      <c r="A13">
        <v>2031</v>
      </c>
      <c r="B13" s="11">
        <f>$B$2*'OECD Data MEX'!C15</f>
        <v>1594111925489.2583</v>
      </c>
    </row>
    <row r="14" spans="1:4" x14ac:dyDescent="0.25">
      <c r="A14">
        <v>2032</v>
      </c>
      <c r="B14" s="11">
        <f>$B$2*'OECD Data MEX'!C16</f>
        <v>1640095923339.9102</v>
      </c>
    </row>
    <row r="15" spans="1:4" x14ac:dyDescent="0.25">
      <c r="A15">
        <v>2033</v>
      </c>
      <c r="B15" s="11">
        <f>$B$2*'OECD Data MEX'!C17</f>
        <v>1686079921190.5615</v>
      </c>
    </row>
    <row r="16" spans="1:4" x14ac:dyDescent="0.25">
      <c r="A16">
        <v>2034</v>
      </c>
      <c r="B16" s="11">
        <f>$B$2*'OECD Data MEX'!C18</f>
        <v>1737173252135.73</v>
      </c>
    </row>
    <row r="17" spans="1:2" x14ac:dyDescent="0.25">
      <c r="A17">
        <v>2035</v>
      </c>
      <c r="B17" s="11">
        <f>$B$2*'OECD Data MEX'!C19</f>
        <v>1793375916175.4155</v>
      </c>
    </row>
    <row r="18" spans="1:2" x14ac:dyDescent="0.25">
      <c r="A18">
        <v>2036</v>
      </c>
      <c r="B18" s="11">
        <f>$B$2*'OECD Data MEX'!C20</f>
        <v>1844469247120.5842</v>
      </c>
    </row>
    <row r="19" spans="1:2" x14ac:dyDescent="0.25">
      <c r="A19">
        <v>2037</v>
      </c>
      <c r="B19" s="11">
        <f>$B$2*'OECD Data MEX'!C21</f>
        <v>1900671911160.2695</v>
      </c>
    </row>
    <row r="20" spans="1:2" x14ac:dyDescent="0.25">
      <c r="A20">
        <v>2038</v>
      </c>
      <c r="B20" s="11">
        <f>$B$2*'OECD Data MEX'!C22</f>
        <v>1961983908294.4719</v>
      </c>
    </row>
    <row r="21" spans="1:2" x14ac:dyDescent="0.25">
      <c r="A21">
        <v>2039</v>
      </c>
      <c r="B21" s="11">
        <f>$B$2*'OECD Data MEX'!C23</f>
        <v>2018186572334.1572</v>
      </c>
    </row>
    <row r="22" spans="1:2" x14ac:dyDescent="0.25">
      <c r="A22">
        <v>2040</v>
      </c>
      <c r="B22" s="11">
        <f>$B$2*'OECD Data MEX'!C24</f>
        <v>2079498569468.3591</v>
      </c>
    </row>
    <row r="23" spans="1:2" x14ac:dyDescent="0.25">
      <c r="A23">
        <v>2041</v>
      </c>
      <c r="B23" s="11">
        <f>$B$2*'OECD Data MEX'!C25</f>
        <v>2140810566602.5615</v>
      </c>
    </row>
    <row r="24" spans="1:2" x14ac:dyDescent="0.25">
      <c r="A24">
        <v>2042</v>
      </c>
      <c r="B24" s="11">
        <f>$B$2*'OECD Data MEX'!C26</f>
        <v>2202122563736.7637</v>
      </c>
    </row>
    <row r="25" spans="1:2" x14ac:dyDescent="0.25">
      <c r="A25">
        <v>2043</v>
      </c>
      <c r="B25" s="11">
        <f>$B$2*'OECD Data MEX'!C27</f>
        <v>2268543893965.4829</v>
      </c>
    </row>
    <row r="26" spans="1:2" x14ac:dyDescent="0.25">
      <c r="A26">
        <v>2044</v>
      </c>
      <c r="B26" s="11">
        <f>$B$2*'OECD Data MEX'!C28</f>
        <v>2334965224194.2021</v>
      </c>
    </row>
    <row r="27" spans="1:2" x14ac:dyDescent="0.25">
      <c r="A27">
        <v>2045</v>
      </c>
      <c r="B27" s="11">
        <f>$B$2*'OECD Data MEX'!C29</f>
        <v>2401386554422.9214</v>
      </c>
    </row>
    <row r="28" spans="1:2" x14ac:dyDescent="0.25">
      <c r="A28">
        <v>2046</v>
      </c>
      <c r="B28" s="11">
        <f>$B$2*'OECD Data MEX'!C30</f>
        <v>2467807884651.6406</v>
      </c>
    </row>
    <row r="29" spans="1:2" x14ac:dyDescent="0.25">
      <c r="A29">
        <v>2047</v>
      </c>
      <c r="B29" s="11">
        <f>$B$2*'OECD Data MEX'!C31</f>
        <v>2534229214880.3589</v>
      </c>
    </row>
    <row r="30" spans="1:2" x14ac:dyDescent="0.25">
      <c r="A30">
        <v>2048</v>
      </c>
      <c r="B30" s="11">
        <f>$B$2*'OECD Data MEX'!C32</f>
        <v>2605759878203.5952</v>
      </c>
    </row>
    <row r="31" spans="1:2" x14ac:dyDescent="0.25">
      <c r="A31">
        <v>2049</v>
      </c>
      <c r="B31" s="11">
        <f>$B$2*'OECD Data MEX'!C33</f>
        <v>2672181208432.3145</v>
      </c>
    </row>
    <row r="32" spans="1:2" x14ac:dyDescent="0.25">
      <c r="A32">
        <v>2050</v>
      </c>
      <c r="B32" s="11">
        <f>$B$2*'OECD Data MEX'!C34</f>
        <v>2743711871755.5503</v>
      </c>
    </row>
    <row r="33" spans="1:3" x14ac:dyDescent="0.25">
      <c r="A33">
        <v>2051</v>
      </c>
      <c r="B33" s="11">
        <f>$B$2*'OECD Data MEX'!C35</f>
        <v>2815242535078.7866</v>
      </c>
    </row>
    <row r="34" spans="1:3" x14ac:dyDescent="0.25">
      <c r="A34">
        <v>2052</v>
      </c>
      <c r="B34" s="11">
        <f>$B$2*'OECD Data MEX'!C36</f>
        <v>2886773198402.022</v>
      </c>
    </row>
    <row r="35" spans="1:3" x14ac:dyDescent="0.25">
      <c r="A35">
        <v>2053</v>
      </c>
      <c r="B35" s="11">
        <f>$B$2*'OECD Data MEX'!C37</f>
        <v>2958303861725.2578</v>
      </c>
    </row>
    <row r="36" spans="1:3" x14ac:dyDescent="0.25">
      <c r="A36">
        <v>2054</v>
      </c>
      <c r="B36" s="11">
        <f>$B$2*'OECD Data MEX'!C38</f>
        <v>3029834525048.4941</v>
      </c>
    </row>
    <row r="37" spans="1:3" x14ac:dyDescent="0.25">
      <c r="A37">
        <v>2055</v>
      </c>
      <c r="B37" s="11">
        <f>$B$2*'OECD Data MEX'!C39</f>
        <v>3096255855277.2134</v>
      </c>
    </row>
    <row r="38" spans="1:3" x14ac:dyDescent="0.25">
      <c r="A38">
        <v>2056</v>
      </c>
      <c r="B38" s="11">
        <f>$B$2*'OECD Data MEX'!C40</f>
        <v>3167786518600.4492</v>
      </c>
    </row>
    <row r="39" spans="1:3" x14ac:dyDescent="0.25">
      <c r="A39">
        <v>2057</v>
      </c>
      <c r="B39" s="11">
        <f>$B$2*'OECD Data MEX'!C41</f>
        <v>3239317181923.6851</v>
      </c>
    </row>
    <row r="40" spans="1:3" x14ac:dyDescent="0.25">
      <c r="A40">
        <v>2058</v>
      </c>
      <c r="B40" s="11">
        <f>$B$2*'OECD Data MEX'!C42</f>
        <v>3310847845246.9209</v>
      </c>
    </row>
    <row r="41" spans="1:3" x14ac:dyDescent="0.25">
      <c r="A41">
        <v>2059</v>
      </c>
      <c r="B41" s="11">
        <f>$B$2*'OECD Data MEX'!C43</f>
        <v>3382378508570.1572</v>
      </c>
    </row>
    <row r="42" spans="1:3" x14ac:dyDescent="0.25">
      <c r="A42">
        <v>2060</v>
      </c>
      <c r="B42" s="11">
        <f>$B$2*'OECD Data MEX'!C44</f>
        <v>3453909171893.3931</v>
      </c>
      <c r="C42" s="11"/>
    </row>
    <row r="43" spans="1:3" x14ac:dyDescent="0.25">
      <c r="A43">
        <v>2061</v>
      </c>
      <c r="B43" s="16">
        <f>_xlfn.FORECAST.LINEAR(A43,$B$32:$B$42,$A$32:$A$42)</f>
        <v>3523581895909.5313</v>
      </c>
    </row>
    <row r="44" spans="1:3" x14ac:dyDescent="0.25">
      <c r="A44">
        <v>2062</v>
      </c>
      <c r="B44" s="16">
        <f t="shared" ref="B44:B52" si="0">_xlfn.FORECAST.LINEAR(A44,$B$32:$B$42,$A$32:$A$42)</f>
        <v>3594415831992.5938</v>
      </c>
    </row>
    <row r="45" spans="1:3" x14ac:dyDescent="0.25">
      <c r="A45">
        <v>2063</v>
      </c>
      <c r="B45" s="16">
        <f t="shared" si="0"/>
        <v>3665249768075.6875</v>
      </c>
    </row>
    <row r="46" spans="1:3" x14ac:dyDescent="0.25">
      <c r="A46">
        <v>2064</v>
      </c>
      <c r="B46" s="16">
        <f t="shared" si="0"/>
        <v>3736083704158.75</v>
      </c>
    </row>
    <row r="47" spans="1:3" x14ac:dyDescent="0.25">
      <c r="A47">
        <v>2065</v>
      </c>
      <c r="B47" s="16">
        <f t="shared" si="0"/>
        <v>3806917640241.8438</v>
      </c>
    </row>
    <row r="48" spans="1:3" x14ac:dyDescent="0.25">
      <c r="A48">
        <v>2066</v>
      </c>
      <c r="B48" s="16">
        <f t="shared" si="0"/>
        <v>3877751576324.9063</v>
      </c>
    </row>
    <row r="49" spans="1:2" x14ac:dyDescent="0.25">
      <c r="A49">
        <v>2067</v>
      </c>
      <c r="B49" s="16">
        <f t="shared" si="0"/>
        <v>3948585512407.9688</v>
      </c>
    </row>
    <row r="50" spans="1:2" x14ac:dyDescent="0.25">
      <c r="A50">
        <v>2068</v>
      </c>
      <c r="B50" s="16">
        <f t="shared" si="0"/>
        <v>4019419448491.0625</v>
      </c>
    </row>
    <row r="51" spans="1:2" x14ac:dyDescent="0.25">
      <c r="A51">
        <v>2069</v>
      </c>
      <c r="B51" s="16">
        <f t="shared" si="0"/>
        <v>4090253384574.125</v>
      </c>
    </row>
    <row r="52" spans="1:2" x14ac:dyDescent="0.25">
      <c r="A52">
        <v>2070</v>
      </c>
      <c r="B52" s="16">
        <f t="shared" si="0"/>
        <v>4161087320657.1875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AFCA2-0CE9-422F-9C1B-DEF4BBE45C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6D3E8B-8F8E-4368-804E-DD1D5AFAB5A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A328D08-A500-4F74-8EC4-7A4A835200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OECD Data MEX</vt:lpstr>
      <vt:lpstr>world bank data</vt:lpstr>
      <vt:lpstr>BGDP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2019-12-02T22:49:06Z</dcterms:created>
  <dcterms:modified xsi:type="dcterms:W3CDTF">2026-02-09T23:38:49Z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