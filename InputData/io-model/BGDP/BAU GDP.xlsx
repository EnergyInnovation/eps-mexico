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io-model\BGDP\"/>
    </mc:Choice>
  </mc:AlternateContent>
  <xr:revisionPtr revIDLastSave="0" documentId="13_ncr:1_{4DE03504-E93D-4FB9-94DA-02C444102EDF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bout" sheetId="1" r:id="rId1"/>
    <sheet name="OECD Data MEX" sheetId="6" r:id="rId2"/>
    <sheet name="BGDP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2" l="1"/>
  <c r="B45" i="2"/>
  <c r="B46" i="2"/>
  <c r="B47" i="2"/>
  <c r="B48" i="2"/>
  <c r="B49" i="2"/>
  <c r="B50" i="2"/>
  <c r="B51" i="2"/>
  <c r="B52" i="2"/>
  <c r="B4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2" i="2"/>
  <c r="A16" i="1"/>
</calcChain>
</file>

<file path=xl/sharedStrings.xml><?xml version="1.0" encoding="utf-8"?>
<sst xmlns="http://schemas.openxmlformats.org/spreadsheetml/2006/main" count="17" uniqueCount="16">
  <si>
    <t>BGDP BAU Gross Domestic Product</t>
  </si>
  <si>
    <t>Source:</t>
  </si>
  <si>
    <t>OECD</t>
  </si>
  <si>
    <t>https://www.oecd.org/en/data/indicators/real-gdp-long-term-forecast.html</t>
  </si>
  <si>
    <t>Real GDP long-term forecast</t>
  </si>
  <si>
    <t>Notes</t>
  </si>
  <si>
    <t>The OECD long-term forecast gives GDPs in millions of 2015 USD with Purchasing Power Parity.</t>
  </si>
  <si>
    <t>In the U.S. model, input data are converted to 2012 USD (then converted to the</t>
  </si>
  <si>
    <t>output currency year in web-app/OCCF).  Therefore, we use these conversion factors:</t>
  </si>
  <si>
    <t>2012 dollars per 2015 dollar</t>
  </si>
  <si>
    <t>dollars per million dollars</t>
  </si>
  <si>
    <t>Volume, US dollars at 2015 Purchasing Power Parities</t>
  </si>
  <si>
    <t>Category</t>
  </si>
  <si>
    <t>Mexico</t>
  </si>
  <si>
    <t>Unit: 2012 USD</t>
  </si>
  <si>
    <t>GDP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</si>
</sst>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11" fontId="5" fillId="0" borderId="0" xfId="0" applyNumberFormat="1" applyFont="1"/>
    <xf numFmtId="1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oecd.org/en/data/indicators/real-gdp-long-term-forecast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A16" sqref="A16"/>
    </sheetView>
  </sheetViews>
  <sheetFormatPr defaultRowHeight="15" x14ac:dyDescent="0.25"/>
  <cols>
    <col min="2" max="2" width="77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s="2">
        <v>2023</v>
      </c>
    </row>
    <row r="5" spans="1:2" x14ac:dyDescent="0.25">
      <c r="B5" s="3" t="s">
        <v>3</v>
      </c>
    </row>
    <row r="6" spans="1:2" x14ac:dyDescent="0.25">
      <c r="B6" t="s">
        <v>4</v>
      </c>
    </row>
    <row r="9" spans="1:2" x14ac:dyDescent="0.25">
      <c r="A9" s="1" t="s">
        <v>5</v>
      </c>
    </row>
    <row r="10" spans="1:2" x14ac:dyDescent="0.25">
      <c r="A10" t="s">
        <v>6</v>
      </c>
    </row>
    <row r="12" spans="1:2" x14ac:dyDescent="0.25">
      <c r="A12" t="s">
        <v>7</v>
      </c>
    </row>
    <row r="13" spans="1:2" x14ac:dyDescent="0.25">
      <c r="A13" t="s">
        <v>8</v>
      </c>
    </row>
    <row r="15" spans="1:2" x14ac:dyDescent="0.25">
      <c r="A15">
        <v>0.9686815713640794</v>
      </c>
      <c r="B15" t="s">
        <v>9</v>
      </c>
    </row>
    <row r="16" spans="1:2" x14ac:dyDescent="0.25">
      <c r="A16">
        <f>10^6</f>
        <v>1000000</v>
      </c>
      <c r="B16" t="s">
        <v>10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9B33-3B88-4EAB-9BC5-98CC93E0EEDA}">
  <dimension ref="A1:G48"/>
  <sheetViews>
    <sheetView workbookViewId="0">
      <selection activeCell="B4" sqref="B4"/>
    </sheetView>
  </sheetViews>
  <sheetFormatPr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5" width="13.28515625" customWidth="1"/>
    <col min="7" max="7" width="17.140625" customWidth="1"/>
  </cols>
  <sheetData>
    <row r="1" spans="1:7" x14ac:dyDescent="0.25">
      <c r="A1" s="9" t="s">
        <v>4</v>
      </c>
      <c r="B1" s="9"/>
      <c r="F1" s="4"/>
      <c r="G1" s="4"/>
    </row>
    <row r="2" spans="1:7" x14ac:dyDescent="0.25">
      <c r="A2" s="9" t="s">
        <v>11</v>
      </c>
      <c r="B2" s="9"/>
    </row>
    <row r="3" spans="1:7" x14ac:dyDescent="0.25">
      <c r="A3" s="9" t="s">
        <v>12</v>
      </c>
      <c r="B3" s="9" t="s">
        <v>13</v>
      </c>
      <c r="G3" s="5"/>
    </row>
    <row r="4" spans="1:7" x14ac:dyDescent="0.25">
      <c r="A4" s="9">
        <v>2020</v>
      </c>
      <c r="B4" s="10">
        <v>2220000000000</v>
      </c>
    </row>
    <row r="5" spans="1:7" x14ac:dyDescent="0.25">
      <c r="A5" s="9">
        <v>2021</v>
      </c>
      <c r="B5" s="10">
        <v>2350000000000</v>
      </c>
    </row>
    <row r="6" spans="1:7" x14ac:dyDescent="0.25">
      <c r="A6" s="9">
        <v>2022</v>
      </c>
      <c r="B6" s="10">
        <v>2450000000000</v>
      </c>
    </row>
    <row r="7" spans="1:7" x14ac:dyDescent="0.25">
      <c r="A7" s="9">
        <v>2023</v>
      </c>
      <c r="B7" s="10">
        <v>2530000000000</v>
      </c>
    </row>
    <row r="8" spans="1:7" x14ac:dyDescent="0.25">
      <c r="A8" s="9">
        <v>2024</v>
      </c>
      <c r="B8" s="10">
        <v>2590000000000</v>
      </c>
    </row>
    <row r="9" spans="1:7" x14ac:dyDescent="0.25">
      <c r="A9" s="9">
        <v>2025</v>
      </c>
      <c r="B9" s="10">
        <v>2650000000000</v>
      </c>
    </row>
    <row r="10" spans="1:7" x14ac:dyDescent="0.25">
      <c r="A10" s="9">
        <v>2026</v>
      </c>
      <c r="B10" s="10">
        <v>2710000000000</v>
      </c>
    </row>
    <row r="11" spans="1:7" x14ac:dyDescent="0.25">
      <c r="A11" s="9">
        <v>2027</v>
      </c>
      <c r="B11" s="10">
        <v>2790000000000</v>
      </c>
    </row>
    <row r="12" spans="1:7" x14ac:dyDescent="0.25">
      <c r="A12" s="9">
        <v>2028</v>
      </c>
      <c r="B12" s="10">
        <v>2860000000000</v>
      </c>
    </row>
    <row r="13" spans="1:7" x14ac:dyDescent="0.25">
      <c r="A13" s="9">
        <v>2029</v>
      </c>
      <c r="B13" s="10">
        <v>2940000000000</v>
      </c>
    </row>
    <row r="14" spans="1:7" x14ac:dyDescent="0.25">
      <c r="A14" s="9">
        <v>2030</v>
      </c>
      <c r="B14" s="10">
        <v>3030000000000</v>
      </c>
    </row>
    <row r="15" spans="1:7" x14ac:dyDescent="0.25">
      <c r="A15" s="9">
        <v>2031</v>
      </c>
      <c r="B15" s="10">
        <v>3120000000000</v>
      </c>
    </row>
    <row r="16" spans="1:7" x14ac:dyDescent="0.25">
      <c r="A16" s="9">
        <v>2032</v>
      </c>
      <c r="B16" s="10">
        <v>3210000000000</v>
      </c>
    </row>
    <row r="17" spans="1:2" x14ac:dyDescent="0.25">
      <c r="A17" s="9">
        <v>2033</v>
      </c>
      <c r="B17" s="10">
        <v>3300000000000</v>
      </c>
    </row>
    <row r="18" spans="1:2" x14ac:dyDescent="0.25">
      <c r="A18" s="9">
        <v>2034</v>
      </c>
      <c r="B18" s="10">
        <v>3400000000000</v>
      </c>
    </row>
    <row r="19" spans="1:2" x14ac:dyDescent="0.25">
      <c r="A19" s="9">
        <v>2035</v>
      </c>
      <c r="B19" s="10">
        <v>3510000000000</v>
      </c>
    </row>
    <row r="20" spans="1:2" x14ac:dyDescent="0.25">
      <c r="A20" s="9">
        <v>2036</v>
      </c>
      <c r="B20" s="10">
        <v>3610000000000</v>
      </c>
    </row>
    <row r="21" spans="1:2" x14ac:dyDescent="0.25">
      <c r="A21" s="9">
        <v>2037</v>
      </c>
      <c r="B21" s="10">
        <v>3720000000000</v>
      </c>
    </row>
    <row r="22" spans="1:2" x14ac:dyDescent="0.25">
      <c r="A22" s="9">
        <v>2038</v>
      </c>
      <c r="B22" s="10">
        <v>3840000000000</v>
      </c>
    </row>
    <row r="23" spans="1:2" x14ac:dyDescent="0.25">
      <c r="A23" s="9">
        <v>2039</v>
      </c>
      <c r="B23" s="10">
        <v>3950000000000</v>
      </c>
    </row>
    <row r="24" spans="1:2" x14ac:dyDescent="0.25">
      <c r="A24" s="9">
        <v>2040</v>
      </c>
      <c r="B24" s="10">
        <v>4070000000000</v>
      </c>
    </row>
    <row r="25" spans="1:2" x14ac:dyDescent="0.25">
      <c r="A25" s="9">
        <v>2041</v>
      </c>
      <c r="B25" s="10">
        <v>4190000000000</v>
      </c>
    </row>
    <row r="26" spans="1:2" x14ac:dyDescent="0.25">
      <c r="A26" s="9">
        <v>2042</v>
      </c>
      <c r="B26" s="10">
        <v>4310000000000</v>
      </c>
    </row>
    <row r="27" spans="1:2" x14ac:dyDescent="0.25">
      <c r="A27" s="9">
        <v>2043</v>
      </c>
      <c r="B27" s="10">
        <v>4440000000000</v>
      </c>
    </row>
    <row r="28" spans="1:2" x14ac:dyDescent="0.25">
      <c r="A28" s="9">
        <v>2044</v>
      </c>
      <c r="B28" s="10">
        <v>4570000000000</v>
      </c>
    </row>
    <row r="29" spans="1:2" x14ac:dyDescent="0.25">
      <c r="A29" s="9">
        <v>2045</v>
      </c>
      <c r="B29" s="10">
        <v>4700000000000</v>
      </c>
    </row>
    <row r="30" spans="1:2" x14ac:dyDescent="0.25">
      <c r="A30" s="9">
        <v>2046</v>
      </c>
      <c r="B30" s="10">
        <v>4830000000000</v>
      </c>
    </row>
    <row r="31" spans="1:2" x14ac:dyDescent="0.25">
      <c r="A31" s="9">
        <v>2047</v>
      </c>
      <c r="B31" s="10">
        <v>4960000000000</v>
      </c>
    </row>
    <row r="32" spans="1:2" x14ac:dyDescent="0.25">
      <c r="A32" s="9">
        <v>2048</v>
      </c>
      <c r="B32" s="10">
        <v>5100000000000</v>
      </c>
    </row>
    <row r="33" spans="1:2" x14ac:dyDescent="0.25">
      <c r="A33" s="9">
        <v>2049</v>
      </c>
      <c r="B33" s="10">
        <v>5230000000000</v>
      </c>
    </row>
    <row r="34" spans="1:2" x14ac:dyDescent="0.25">
      <c r="A34" s="9">
        <v>2050</v>
      </c>
      <c r="B34" s="10">
        <v>5370000000000</v>
      </c>
    </row>
    <row r="35" spans="1:2" x14ac:dyDescent="0.25">
      <c r="A35" s="9">
        <v>2051</v>
      </c>
      <c r="B35" s="10">
        <v>5510000000000</v>
      </c>
    </row>
    <row r="36" spans="1:2" x14ac:dyDescent="0.25">
      <c r="A36" s="9">
        <v>2052</v>
      </c>
      <c r="B36" s="10">
        <v>5650000000000</v>
      </c>
    </row>
    <row r="37" spans="1:2" x14ac:dyDescent="0.25">
      <c r="A37" s="9">
        <v>2053</v>
      </c>
      <c r="B37" s="10">
        <v>5790000000000</v>
      </c>
    </row>
    <row r="38" spans="1:2" x14ac:dyDescent="0.25">
      <c r="A38" s="9">
        <v>2054</v>
      </c>
      <c r="B38" s="10">
        <v>5930000000000</v>
      </c>
    </row>
    <row r="39" spans="1:2" x14ac:dyDescent="0.25">
      <c r="A39" s="9">
        <v>2055</v>
      </c>
      <c r="B39" s="10">
        <v>6060000000000</v>
      </c>
    </row>
    <row r="40" spans="1:2" x14ac:dyDescent="0.25">
      <c r="A40" s="9">
        <v>2056</v>
      </c>
      <c r="B40" s="10">
        <v>6200000000000</v>
      </c>
    </row>
    <row r="41" spans="1:2" x14ac:dyDescent="0.25">
      <c r="A41" s="9">
        <v>2057</v>
      </c>
      <c r="B41" s="10">
        <v>6340000000000</v>
      </c>
    </row>
    <row r="42" spans="1:2" x14ac:dyDescent="0.25">
      <c r="A42" s="9">
        <v>2058</v>
      </c>
      <c r="B42" s="10">
        <v>6480000000000</v>
      </c>
    </row>
    <row r="43" spans="1:2" x14ac:dyDescent="0.25">
      <c r="A43" s="9">
        <v>2059</v>
      </c>
      <c r="B43" s="10">
        <v>6620000000000</v>
      </c>
    </row>
    <row r="44" spans="1:2" x14ac:dyDescent="0.25">
      <c r="A44" s="9">
        <v>2060</v>
      </c>
      <c r="B44" s="10">
        <v>6760000000000</v>
      </c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D52"/>
  <sheetViews>
    <sheetView tabSelected="1" workbookViewId="0">
      <selection activeCell="B1" sqref="B1"/>
    </sheetView>
  </sheetViews>
  <sheetFormatPr defaultRowHeight="15" x14ac:dyDescent="0.25"/>
  <cols>
    <col min="1" max="1" width="17.7109375" customWidth="1"/>
    <col min="2" max="2" width="15.140625" customWidth="1"/>
    <col min="4" max="4" width="12" bestFit="1" customWidth="1"/>
  </cols>
  <sheetData>
    <row r="1" spans="1:4" x14ac:dyDescent="0.25">
      <c r="A1" s="7" t="s">
        <v>14</v>
      </c>
      <c r="B1" s="6" t="s">
        <v>15</v>
      </c>
      <c r="D1" s="1"/>
    </row>
    <row r="2" spans="1:4" x14ac:dyDescent="0.25">
      <c r="A2">
        <v>2020</v>
      </c>
      <c r="B2" s="11">
        <f>'OECD Data MEX'!B4*About!$A$15</f>
        <v>2150473088428.2563</v>
      </c>
    </row>
    <row r="3" spans="1:4" x14ac:dyDescent="0.25">
      <c r="A3">
        <v>2021</v>
      </c>
      <c r="B3" s="11">
        <f>'OECD Data MEX'!B5*About!$A$15</f>
        <v>2276401692705.5864</v>
      </c>
    </row>
    <row r="4" spans="1:4" x14ac:dyDescent="0.25">
      <c r="A4">
        <v>2022</v>
      </c>
      <c r="B4" s="11">
        <f>'OECD Data MEX'!B6*About!$A$15</f>
        <v>2373269849841.9946</v>
      </c>
    </row>
    <row r="5" spans="1:4" x14ac:dyDescent="0.25">
      <c r="A5">
        <v>2023</v>
      </c>
      <c r="B5" s="11">
        <f>'OECD Data MEX'!B7*About!$A$15</f>
        <v>2450764375551.1211</v>
      </c>
    </row>
    <row r="6" spans="1:4" x14ac:dyDescent="0.25">
      <c r="A6">
        <v>2024</v>
      </c>
      <c r="B6" s="11">
        <f>'OECD Data MEX'!B8*About!$A$15</f>
        <v>2508885269832.9658</v>
      </c>
    </row>
    <row r="7" spans="1:4" x14ac:dyDescent="0.25">
      <c r="A7">
        <v>2025</v>
      </c>
      <c r="B7" s="11">
        <f>'OECD Data MEX'!B9*About!$A$15</f>
        <v>2567006164114.8105</v>
      </c>
    </row>
    <row r="8" spans="1:4" x14ac:dyDescent="0.25">
      <c r="A8">
        <v>2026</v>
      </c>
      <c r="B8" s="11">
        <f>'OECD Data MEX'!B10*About!$A$15</f>
        <v>2625127058396.6553</v>
      </c>
    </row>
    <row r="9" spans="1:4" x14ac:dyDescent="0.25">
      <c r="A9">
        <v>2027</v>
      </c>
      <c r="B9" s="11">
        <f>'OECD Data MEX'!B11*About!$A$15</f>
        <v>2702621584105.7817</v>
      </c>
    </row>
    <row r="10" spans="1:4" x14ac:dyDescent="0.25">
      <c r="A10">
        <v>2028</v>
      </c>
      <c r="B10" s="11">
        <f>'OECD Data MEX'!B12*About!$A$15</f>
        <v>2770429294101.2671</v>
      </c>
    </row>
    <row r="11" spans="1:4" x14ac:dyDescent="0.25">
      <c r="A11">
        <v>2029</v>
      </c>
      <c r="B11" s="11">
        <f>'OECD Data MEX'!B13*About!$A$15</f>
        <v>2847923819810.3936</v>
      </c>
    </row>
    <row r="12" spans="1:4" x14ac:dyDescent="0.25">
      <c r="A12">
        <v>2030</v>
      </c>
      <c r="B12" s="11">
        <f>'OECD Data MEX'!B14*About!$A$15</f>
        <v>2935105161233.1606</v>
      </c>
    </row>
    <row r="13" spans="1:4" x14ac:dyDescent="0.25">
      <c r="A13">
        <v>2031</v>
      </c>
      <c r="B13" s="11">
        <f>'OECD Data MEX'!B15*About!$A$15</f>
        <v>3022286502655.9277</v>
      </c>
    </row>
    <row r="14" spans="1:4" x14ac:dyDescent="0.25">
      <c r="A14">
        <v>2032</v>
      </c>
      <c r="B14" s="11">
        <f>'OECD Data MEX'!B16*About!$A$15</f>
        <v>3109467844078.6948</v>
      </c>
    </row>
    <row r="15" spans="1:4" x14ac:dyDescent="0.25">
      <c r="A15">
        <v>2033</v>
      </c>
      <c r="B15" s="11">
        <f>'OECD Data MEX'!B17*About!$A$15</f>
        <v>3196649185501.4619</v>
      </c>
    </row>
    <row r="16" spans="1:4" x14ac:dyDescent="0.25">
      <c r="A16">
        <v>2034</v>
      </c>
      <c r="B16" s="11">
        <f>'OECD Data MEX'!B18*About!$A$15</f>
        <v>3293517342637.8701</v>
      </c>
    </row>
    <row r="17" spans="1:2" x14ac:dyDescent="0.25">
      <c r="A17">
        <v>2035</v>
      </c>
      <c r="B17" s="11">
        <f>'OECD Data MEX'!B19*About!$A$15</f>
        <v>3400072315487.9185</v>
      </c>
    </row>
    <row r="18" spans="1:2" x14ac:dyDescent="0.25">
      <c r="A18">
        <v>2036</v>
      </c>
      <c r="B18" s="11">
        <f>'OECD Data MEX'!B20*About!$A$15</f>
        <v>3496940472624.3267</v>
      </c>
    </row>
    <row r="19" spans="1:2" x14ac:dyDescent="0.25">
      <c r="A19">
        <v>2037</v>
      </c>
      <c r="B19" s="11">
        <f>'OECD Data MEX'!B21*About!$A$15</f>
        <v>3603495445474.3755</v>
      </c>
    </row>
    <row r="20" spans="1:2" x14ac:dyDescent="0.25">
      <c r="A20">
        <v>2038</v>
      </c>
      <c r="B20" s="11">
        <f>'OECD Data MEX'!B22*About!$A$15</f>
        <v>3719737234038.0649</v>
      </c>
    </row>
    <row r="21" spans="1:2" x14ac:dyDescent="0.25">
      <c r="A21">
        <v>2039</v>
      </c>
      <c r="B21" s="11">
        <f>'OECD Data MEX'!B23*About!$A$15</f>
        <v>3826292206888.1138</v>
      </c>
    </row>
    <row r="22" spans="1:2" x14ac:dyDescent="0.25">
      <c r="A22">
        <v>2040</v>
      </c>
      <c r="B22" s="11">
        <f>'OECD Data MEX'!B24*About!$A$15</f>
        <v>3942533995451.8032</v>
      </c>
    </row>
    <row r="23" spans="1:2" x14ac:dyDescent="0.25">
      <c r="A23">
        <v>2041</v>
      </c>
      <c r="B23" s="11">
        <f>'OECD Data MEX'!B25*About!$A$15</f>
        <v>4058775784015.4927</v>
      </c>
    </row>
    <row r="24" spans="1:2" x14ac:dyDescent="0.25">
      <c r="A24">
        <v>2042</v>
      </c>
      <c r="B24" s="11">
        <f>'OECD Data MEX'!B26*About!$A$15</f>
        <v>4175017572579.1821</v>
      </c>
    </row>
    <row r="25" spans="1:2" x14ac:dyDescent="0.25">
      <c r="A25">
        <v>2043</v>
      </c>
      <c r="B25" s="11">
        <f>'OECD Data MEX'!B27*About!$A$15</f>
        <v>4300946176856.5127</v>
      </c>
    </row>
    <row r="26" spans="1:2" x14ac:dyDescent="0.25">
      <c r="A26">
        <v>2044</v>
      </c>
      <c r="B26" s="11">
        <f>'OECD Data MEX'!B28*About!$A$15</f>
        <v>4426874781133.8428</v>
      </c>
    </row>
    <row r="27" spans="1:2" x14ac:dyDescent="0.25">
      <c r="A27">
        <v>2045</v>
      </c>
      <c r="B27" s="11">
        <f>'OECD Data MEX'!B29*About!$A$15</f>
        <v>4552803385411.1729</v>
      </c>
    </row>
    <row r="28" spans="1:2" x14ac:dyDescent="0.25">
      <c r="A28">
        <v>2046</v>
      </c>
      <c r="B28" s="11">
        <f>'OECD Data MEX'!B30*About!$A$15</f>
        <v>4678731989688.5039</v>
      </c>
    </row>
    <row r="29" spans="1:2" x14ac:dyDescent="0.25">
      <c r="A29">
        <v>2047</v>
      </c>
      <c r="B29" s="11">
        <f>'OECD Data MEX'!B31*About!$A$15</f>
        <v>4804660593965.834</v>
      </c>
    </row>
    <row r="30" spans="1:2" x14ac:dyDescent="0.25">
      <c r="A30">
        <v>2048</v>
      </c>
      <c r="B30" s="11">
        <f>'OECD Data MEX'!B32*About!$A$15</f>
        <v>4940276013956.8047</v>
      </c>
    </row>
    <row r="31" spans="1:2" x14ac:dyDescent="0.25">
      <c r="A31">
        <v>2049</v>
      </c>
      <c r="B31" s="11">
        <f>'OECD Data MEX'!B33*About!$A$15</f>
        <v>5066204618234.1348</v>
      </c>
    </row>
    <row r="32" spans="1:2" x14ac:dyDescent="0.25">
      <c r="A32">
        <v>2050</v>
      </c>
      <c r="B32" s="11">
        <f>'OECD Data MEX'!B34*About!$A$15</f>
        <v>5201820038225.1064</v>
      </c>
    </row>
    <row r="33" spans="1:3" x14ac:dyDescent="0.25">
      <c r="A33">
        <v>2051</v>
      </c>
      <c r="B33" s="11">
        <f>'OECD Data MEX'!B35*About!$A$15</f>
        <v>5337435458216.0771</v>
      </c>
    </row>
    <row r="34" spans="1:3" x14ac:dyDescent="0.25">
      <c r="A34">
        <v>2052</v>
      </c>
      <c r="B34" s="11">
        <f>'OECD Data MEX'!B36*About!$A$15</f>
        <v>5473050878207.0488</v>
      </c>
    </row>
    <row r="35" spans="1:3" x14ac:dyDescent="0.25">
      <c r="A35">
        <v>2053</v>
      </c>
      <c r="B35" s="11">
        <f>'OECD Data MEX'!B37*About!$A$15</f>
        <v>5608666298198.0195</v>
      </c>
    </row>
    <row r="36" spans="1:3" x14ac:dyDescent="0.25">
      <c r="A36">
        <v>2054</v>
      </c>
      <c r="B36" s="11">
        <f>'OECD Data MEX'!B38*About!$A$15</f>
        <v>5744281718188.9912</v>
      </c>
    </row>
    <row r="37" spans="1:3" x14ac:dyDescent="0.25">
      <c r="A37">
        <v>2055</v>
      </c>
      <c r="B37" s="11">
        <f>'OECD Data MEX'!B39*About!$A$15</f>
        <v>5870210322466.3213</v>
      </c>
    </row>
    <row r="38" spans="1:3" x14ac:dyDescent="0.25">
      <c r="A38">
        <v>2056</v>
      </c>
      <c r="B38" s="11">
        <f>'OECD Data MEX'!B40*About!$A$15</f>
        <v>6005825742457.292</v>
      </c>
    </row>
    <row r="39" spans="1:3" x14ac:dyDescent="0.25">
      <c r="A39">
        <v>2057</v>
      </c>
      <c r="B39" s="11">
        <f>'OECD Data MEX'!B41*About!$A$15</f>
        <v>6141441162448.2637</v>
      </c>
    </row>
    <row r="40" spans="1:3" x14ac:dyDescent="0.25">
      <c r="A40">
        <v>2058</v>
      </c>
      <c r="B40" s="11">
        <f>'OECD Data MEX'!B42*About!$A$15</f>
        <v>6277056582439.2344</v>
      </c>
    </row>
    <row r="41" spans="1:3" x14ac:dyDescent="0.25">
      <c r="A41">
        <v>2059</v>
      </c>
      <c r="B41" s="11">
        <f>'OECD Data MEX'!B43*About!$A$15</f>
        <v>6412672002430.2061</v>
      </c>
    </row>
    <row r="42" spans="1:3" x14ac:dyDescent="0.25">
      <c r="A42">
        <v>2060</v>
      </c>
      <c r="B42" s="11">
        <f>'OECD Data MEX'!B44*About!$A$15</f>
        <v>6548287422421.1768</v>
      </c>
      <c r="C42" s="11"/>
    </row>
    <row r="43" spans="1:3" x14ac:dyDescent="0.25">
      <c r="A43">
        <v>2061</v>
      </c>
      <c r="B43" s="11">
        <f>_xlfn.FORECAST.LINEAR(A43,$B$32:$B$42,$A$32:$A$42)</f>
        <v>6680380363970.8125</v>
      </c>
    </row>
    <row r="44" spans="1:3" x14ac:dyDescent="0.25">
      <c r="A44">
        <v>2062</v>
      </c>
      <c r="B44" s="11">
        <f t="shared" ref="B44:B52" si="0">_xlfn.FORECAST.LINEAR(A44,$B$32:$B$42,$A$32:$A$42)</f>
        <v>6814674854546.3125</v>
      </c>
    </row>
    <row r="45" spans="1:3" x14ac:dyDescent="0.25">
      <c r="A45">
        <v>2063</v>
      </c>
      <c r="B45" s="11">
        <f t="shared" si="0"/>
        <v>6948969345121.7813</v>
      </c>
    </row>
    <row r="46" spans="1:3" x14ac:dyDescent="0.25">
      <c r="A46">
        <v>2064</v>
      </c>
      <c r="B46" s="11">
        <f t="shared" si="0"/>
        <v>7083263835697.25</v>
      </c>
    </row>
    <row r="47" spans="1:3" x14ac:dyDescent="0.25">
      <c r="A47">
        <v>2065</v>
      </c>
      <c r="B47" s="11">
        <f t="shared" si="0"/>
        <v>7217558326272.7188</v>
      </c>
    </row>
    <row r="48" spans="1:3" x14ac:dyDescent="0.25">
      <c r="A48">
        <v>2066</v>
      </c>
      <c r="B48" s="11">
        <f t="shared" si="0"/>
        <v>7351852816848.1875</v>
      </c>
    </row>
    <row r="49" spans="1:2" x14ac:dyDescent="0.25">
      <c r="A49">
        <v>2067</v>
      </c>
      <c r="B49" s="11">
        <f t="shared" si="0"/>
        <v>7486147307423.6875</v>
      </c>
    </row>
    <row r="50" spans="1:2" x14ac:dyDescent="0.25">
      <c r="A50">
        <v>2068</v>
      </c>
      <c r="B50" s="11">
        <f t="shared" si="0"/>
        <v>7620441797999.1563</v>
      </c>
    </row>
    <row r="51" spans="1:2" x14ac:dyDescent="0.25">
      <c r="A51">
        <v>2069</v>
      </c>
      <c r="B51" s="11">
        <f t="shared" si="0"/>
        <v>7754736288574.625</v>
      </c>
    </row>
    <row r="52" spans="1:2" x14ac:dyDescent="0.25">
      <c r="A52">
        <v>2070</v>
      </c>
      <c r="B52" s="11">
        <f t="shared" si="0"/>
        <v>7889030779150.0938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6D3E8B-8F8E-4368-804E-DD1D5AFAB5A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0BAFCA2-0CE9-422F-9C1B-DEF4BBE45C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328D08-A500-4F74-8EC4-7A4A835200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OECD Data MEX</vt:lpstr>
      <vt:lpstr>BGDP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2019-12-02T22:49:06Z</dcterms:created>
  <dcterms:modified xsi:type="dcterms:W3CDTF">2026-02-09T22:19:23Z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