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3"/>
  <workbookPr/>
  <mc:AlternateContent xmlns:mc="http://schemas.openxmlformats.org/markup-compatibility/2006">
    <mc:Choice Requires="x15">
      <x15ac:absPath xmlns:x15ac="http://schemas.microsoft.com/office/spreadsheetml/2010/11/ac" url="C:\Users\Rachel Goldstein\Dropbox (Energy Innovation)\Desktop\Vensim files from GitHub\EPS EU\InputData\io-model\BGDP\"/>
    </mc:Choice>
  </mc:AlternateContent>
  <xr:revisionPtr revIDLastSave="45" documentId="13_ncr:1_{2D5140D2-1949-46A2-B41B-228A4DE89685}" xr6:coauthVersionLast="47" xr6:coauthVersionMax="47" xr10:uidLastSave="{F76393E5-AF71-4C5D-942D-0852F8203A8B}"/>
  <bookViews>
    <workbookView xWindow="35415" yWindow="1800" windowWidth="23220" windowHeight="13500" firstSheet="3" activeTab="3" xr2:uid="{00000000-000D-0000-FFFF-FFFF00000000}"/>
  </bookViews>
  <sheets>
    <sheet name="About" sheetId="1" r:id="rId1"/>
    <sheet name="OECD Data US" sheetId="3" r:id="rId2"/>
    <sheet name="OECD Data MEX" sheetId="6" r:id="rId3"/>
    <sheet name="BGDP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2" l="1"/>
  <c r="B45" i="2"/>
  <c r="B46" i="2"/>
  <c r="B47" i="2"/>
  <c r="B48" i="2"/>
  <c r="B49" i="2"/>
  <c r="B50" i="2"/>
  <c r="B51" i="2"/>
  <c r="B52" i="2"/>
  <c r="B43" i="2"/>
  <c r="C4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2" i="2"/>
  <c r="A16" i="1"/>
</calcChain>
</file>

<file path=xl/sharedStrings.xml><?xml version="1.0" encoding="utf-8"?>
<sst xmlns="http://schemas.openxmlformats.org/spreadsheetml/2006/main" count="29" uniqueCount="19">
  <si>
    <t>BGDP BAU Gross Domestic Product</t>
  </si>
  <si>
    <t>Source:</t>
  </si>
  <si>
    <t>OECD</t>
  </si>
  <si>
    <t>https://www.oecd.org/en/data/indicators/real-gdp-long-term-forecast.html</t>
  </si>
  <si>
    <t>Real GDP long-term forecast</t>
  </si>
  <si>
    <t>Notes</t>
  </si>
  <si>
    <t>The OECD long-term forecast gives GDPs in millions of 2015 USD with Purchasing Power Parity.</t>
  </si>
  <si>
    <t>In the U.S. model, input data are converted to 2012 USD (then converted to the</t>
  </si>
  <si>
    <t>output currency year in web-app/OCCF).  Therefore, we use these conversion factors:</t>
  </si>
  <si>
    <t>2012 dollars per 2015 dollar</t>
  </si>
  <si>
    <t>dollars per million dollars</t>
  </si>
  <si>
    <t>Volume, US dollars at 2015 Purchasing Power Parities</t>
  </si>
  <si>
    <t>Category</t>
  </si>
  <si>
    <t>United States</t>
  </si>
  <si>
    <t>USA</t>
  </si>
  <si>
    <t>GDPLTFORECAST</t>
  </si>
  <si>
    <t>Mexico</t>
  </si>
  <si>
    <t>Unit: 2012 USD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</si>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</sst>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11" fontId="5" fillId="0" borderId="0" xfId="0" applyNumberFormat="1" applyFont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ecd.org/en/data/indicators/real-gdp-long-term-forecast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opLeftCell="A3" workbookViewId="0">
      <selection activeCell="C18" sqref="C18"/>
    </sheetView>
  </sheetViews>
  <sheetFormatPr defaultRowHeight="15"/>
  <cols>
    <col min="2" max="2" width="77.5703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2023</v>
      </c>
    </row>
    <row r="5" spans="1:2">
      <c r="B5" s="3" t="s">
        <v>3</v>
      </c>
    </row>
    <row r="6" spans="1:2">
      <c r="B6" t="s">
        <v>4</v>
      </c>
    </row>
    <row r="9" spans="1:2">
      <c r="A9" s="1" t="s">
        <v>5</v>
      </c>
    </row>
    <row r="10" spans="1:2">
      <c r="A10" t="s">
        <v>6</v>
      </c>
    </row>
    <row r="12" spans="1:2">
      <c r="A12" t="s">
        <v>7</v>
      </c>
    </row>
    <row r="13" spans="1:2">
      <c r="A13" t="s">
        <v>8</v>
      </c>
    </row>
    <row r="15" spans="1:2">
      <c r="A15">
        <v>0.9686815713640794</v>
      </c>
      <c r="B15" t="s">
        <v>9</v>
      </c>
    </row>
    <row r="16" spans="1:2">
      <c r="A16">
        <f>10^6</f>
        <v>1000000</v>
      </c>
      <c r="B16" t="s">
        <v>10</v>
      </c>
    </row>
  </sheetData>
  <hyperlinks>
    <hyperlink ref="B5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workbookViewId="0">
      <selection activeCell="E15" sqref="E15"/>
    </sheetView>
  </sheetViews>
  <sheetFormatPr defaultRowHeight="15"/>
  <cols>
    <col min="1" max="1" width="13.140625" customWidth="1"/>
    <col min="2" max="2" width="21" customWidth="1"/>
    <col min="3" max="3" width="10.85546875" customWidth="1"/>
    <col min="4" max="4" width="13" customWidth="1"/>
    <col min="5" max="5" width="13.28515625" customWidth="1"/>
    <col min="7" max="7" width="17.140625" customWidth="1"/>
  </cols>
  <sheetData>
    <row r="1" spans="1:7">
      <c r="A1" s="9" t="s">
        <v>4</v>
      </c>
      <c r="B1" s="9"/>
      <c r="F1" s="4"/>
      <c r="G1" s="4"/>
    </row>
    <row r="2" spans="1:7">
      <c r="A2" s="9" t="s">
        <v>11</v>
      </c>
      <c r="B2" s="9"/>
    </row>
    <row r="3" spans="1:7">
      <c r="A3" s="9" t="s">
        <v>12</v>
      </c>
      <c r="B3" s="9" t="s">
        <v>13</v>
      </c>
      <c r="G3" s="5"/>
    </row>
    <row r="4" spans="1:7">
      <c r="A4" s="9">
        <v>2020</v>
      </c>
      <c r="B4" s="10">
        <v>19700000000000</v>
      </c>
    </row>
    <row r="5" spans="1:7">
      <c r="A5" s="9">
        <v>2021</v>
      </c>
      <c r="B5" s="10">
        <v>20800000000000</v>
      </c>
    </row>
    <row r="6" spans="1:7">
      <c r="A6" s="9">
        <v>2022</v>
      </c>
      <c r="B6" s="10">
        <v>21200000000000</v>
      </c>
    </row>
    <row r="7" spans="1:7">
      <c r="A7" s="9">
        <v>2023</v>
      </c>
      <c r="B7" s="10">
        <v>21700000000000</v>
      </c>
    </row>
    <row r="8" spans="1:7">
      <c r="A8" s="9">
        <v>2024</v>
      </c>
      <c r="B8" s="10">
        <v>22100000000000</v>
      </c>
    </row>
    <row r="9" spans="1:7">
      <c r="A9" s="9">
        <v>2025</v>
      </c>
      <c r="B9" s="10">
        <v>22500000000000</v>
      </c>
    </row>
    <row r="10" spans="1:7">
      <c r="A10" s="9">
        <v>2026</v>
      </c>
      <c r="B10" s="10">
        <v>22900000000000</v>
      </c>
    </row>
    <row r="11" spans="1:7">
      <c r="A11" s="9">
        <v>2027</v>
      </c>
      <c r="B11" s="10">
        <v>23400000000000</v>
      </c>
    </row>
    <row r="12" spans="1:7">
      <c r="A12" s="9">
        <v>2028</v>
      </c>
      <c r="B12" s="10">
        <v>23800000000000</v>
      </c>
    </row>
    <row r="13" spans="1:7">
      <c r="A13" s="9">
        <v>2029</v>
      </c>
      <c r="B13" s="10">
        <v>24200000000000</v>
      </c>
    </row>
    <row r="14" spans="1:7">
      <c r="A14" s="9">
        <v>2030</v>
      </c>
      <c r="B14" s="10">
        <v>24700000000000</v>
      </c>
    </row>
    <row r="15" spans="1:7">
      <c r="A15" s="9">
        <v>2031</v>
      </c>
      <c r="B15" s="10">
        <v>25100000000000</v>
      </c>
    </row>
    <row r="16" spans="1:7">
      <c r="A16" s="9">
        <v>2032</v>
      </c>
      <c r="B16" s="10">
        <v>25500000000000</v>
      </c>
    </row>
    <row r="17" spans="1:2">
      <c r="A17" s="9">
        <v>2033</v>
      </c>
      <c r="B17" s="10">
        <v>25900000000000</v>
      </c>
    </row>
    <row r="18" spans="1:2">
      <c r="A18" s="9">
        <v>2034</v>
      </c>
      <c r="B18" s="10">
        <v>26300000000000</v>
      </c>
    </row>
    <row r="19" spans="1:2">
      <c r="A19" s="9">
        <v>2035</v>
      </c>
      <c r="B19" s="10">
        <v>26700000000000</v>
      </c>
    </row>
    <row r="20" spans="1:2">
      <c r="A20" s="9">
        <v>2036</v>
      </c>
      <c r="B20" s="10">
        <v>27100000000000</v>
      </c>
    </row>
    <row r="21" spans="1:2">
      <c r="A21" s="9">
        <v>2037</v>
      </c>
      <c r="B21" s="10">
        <v>27500000000000</v>
      </c>
    </row>
    <row r="22" spans="1:2">
      <c r="A22" s="9">
        <v>2038</v>
      </c>
      <c r="B22" s="10">
        <v>27900000000000</v>
      </c>
    </row>
    <row r="23" spans="1:2">
      <c r="A23" s="9">
        <v>2039</v>
      </c>
      <c r="B23" s="10">
        <v>28300000000000</v>
      </c>
    </row>
    <row r="24" spans="1:2">
      <c r="A24" s="9">
        <v>2040</v>
      </c>
      <c r="B24" s="10">
        <v>28700000000000</v>
      </c>
    </row>
    <row r="25" spans="1:2">
      <c r="A25" s="9">
        <v>2041</v>
      </c>
      <c r="B25" s="10">
        <v>29100000000000</v>
      </c>
    </row>
    <row r="26" spans="1:2">
      <c r="A26" s="9">
        <v>2042</v>
      </c>
      <c r="B26" s="10">
        <v>29400000000000</v>
      </c>
    </row>
    <row r="27" spans="1:2">
      <c r="A27" s="9">
        <v>2043</v>
      </c>
      <c r="B27" s="10">
        <v>29800000000000</v>
      </c>
    </row>
    <row r="28" spans="1:2">
      <c r="A28" s="9">
        <v>2044</v>
      </c>
      <c r="B28" s="10">
        <v>30200000000000</v>
      </c>
    </row>
    <row r="29" spans="1:2">
      <c r="A29" s="9">
        <v>2045</v>
      </c>
      <c r="B29" s="10">
        <v>30500000000000</v>
      </c>
    </row>
    <row r="30" spans="1:2">
      <c r="A30" s="9">
        <v>2046</v>
      </c>
      <c r="B30" s="10">
        <v>30900000000000</v>
      </c>
    </row>
    <row r="31" spans="1:2">
      <c r="A31" s="9">
        <v>2047</v>
      </c>
      <c r="B31" s="10">
        <v>31300000000000</v>
      </c>
    </row>
    <row r="32" spans="1:2">
      <c r="A32" s="9">
        <v>2048</v>
      </c>
      <c r="B32" s="10">
        <v>31600000000000</v>
      </c>
    </row>
    <row r="33" spans="1:2">
      <c r="A33" s="9">
        <v>2049</v>
      </c>
      <c r="B33" s="10">
        <v>32000000000000</v>
      </c>
    </row>
    <row r="34" spans="1:2">
      <c r="A34" s="9">
        <v>2050</v>
      </c>
      <c r="B34" s="10">
        <v>32400000000000</v>
      </c>
    </row>
    <row r="35" spans="1:2">
      <c r="A35" s="9">
        <v>2051</v>
      </c>
      <c r="B35" s="10">
        <v>32700000000000</v>
      </c>
    </row>
    <row r="36" spans="1:2">
      <c r="A36" s="9">
        <v>2052</v>
      </c>
      <c r="B36" s="10">
        <v>33100000000000</v>
      </c>
    </row>
    <row r="37" spans="1:2">
      <c r="A37" s="9">
        <v>2053</v>
      </c>
      <c r="B37" s="10">
        <v>33500000000000</v>
      </c>
    </row>
    <row r="38" spans="1:2">
      <c r="A38" s="9">
        <v>2054</v>
      </c>
      <c r="B38" s="10">
        <v>33900000000000</v>
      </c>
    </row>
    <row r="39" spans="1:2">
      <c r="A39" s="9">
        <v>2055</v>
      </c>
      <c r="B39" s="10">
        <v>34200000000000</v>
      </c>
    </row>
    <row r="40" spans="1:2">
      <c r="A40" s="9">
        <v>2056</v>
      </c>
      <c r="B40" s="10">
        <v>34600000000000</v>
      </c>
    </row>
    <row r="41" spans="1:2">
      <c r="A41" s="9">
        <v>2057</v>
      </c>
      <c r="B41" s="10">
        <v>35000000000000</v>
      </c>
    </row>
    <row r="42" spans="1:2">
      <c r="A42" s="9">
        <v>2058</v>
      </c>
      <c r="B42" s="10">
        <v>35300000000000</v>
      </c>
    </row>
    <row r="43" spans="1:2">
      <c r="A43" s="9">
        <v>2059</v>
      </c>
      <c r="B43" s="10">
        <v>35700000000000</v>
      </c>
    </row>
    <row r="44" spans="1:2">
      <c r="A44" s="9">
        <v>2060</v>
      </c>
      <c r="B44" s="10">
        <v>36100000000000</v>
      </c>
    </row>
    <row r="45" spans="1:2">
      <c r="A45" t="s">
        <v>14</v>
      </c>
      <c r="B45" t="s">
        <v>15</v>
      </c>
    </row>
    <row r="46" spans="1:2">
      <c r="A46" t="s">
        <v>14</v>
      </c>
      <c r="B46" t="s">
        <v>15</v>
      </c>
    </row>
    <row r="47" spans="1:2">
      <c r="A47" t="s">
        <v>14</v>
      </c>
      <c r="B47" t="s">
        <v>15</v>
      </c>
    </row>
    <row r="48" spans="1:2">
      <c r="A48" t="s">
        <v>14</v>
      </c>
      <c r="B48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9B33-3B88-4EAB-9BC5-98CC93E0EEDA}">
  <dimension ref="A1:G48"/>
  <sheetViews>
    <sheetView topLeftCell="A11" workbookViewId="0">
      <selection activeCell="G7" sqref="G7"/>
    </sheetView>
  </sheetViews>
  <sheetFormatPr defaultRowHeight="15"/>
  <cols>
    <col min="1" max="1" width="13.140625" customWidth="1"/>
    <col min="2" max="2" width="21" customWidth="1"/>
    <col min="3" max="3" width="10.85546875" customWidth="1"/>
    <col min="4" max="4" width="13" customWidth="1"/>
    <col min="5" max="5" width="13.28515625" customWidth="1"/>
    <col min="7" max="7" width="17.140625" customWidth="1"/>
  </cols>
  <sheetData>
    <row r="1" spans="1:7">
      <c r="A1" s="9" t="s">
        <v>4</v>
      </c>
      <c r="B1" s="9"/>
      <c r="F1" s="4"/>
      <c r="G1" s="4"/>
    </row>
    <row r="2" spans="1:7">
      <c r="A2" s="9" t="s">
        <v>11</v>
      </c>
      <c r="B2" s="9"/>
    </row>
    <row r="3" spans="1:7">
      <c r="A3" s="9" t="s">
        <v>12</v>
      </c>
      <c r="B3" s="9" t="s">
        <v>16</v>
      </c>
      <c r="G3" s="5"/>
    </row>
    <row r="4" spans="1:7">
      <c r="A4" s="9">
        <v>2020</v>
      </c>
      <c r="B4" s="10">
        <v>2220000000000</v>
      </c>
    </row>
    <row r="5" spans="1:7">
      <c r="A5" s="9">
        <v>2021</v>
      </c>
      <c r="B5" s="10">
        <v>2350000000000</v>
      </c>
    </row>
    <row r="6" spans="1:7">
      <c r="A6" s="9">
        <v>2022</v>
      </c>
      <c r="B6" s="10">
        <v>2450000000000</v>
      </c>
    </row>
    <row r="7" spans="1:7">
      <c r="A7" s="9">
        <v>2023</v>
      </c>
      <c r="B7" s="10">
        <v>2530000000000</v>
      </c>
    </row>
    <row r="8" spans="1:7">
      <c r="A8" s="9">
        <v>2024</v>
      </c>
      <c r="B8" s="10">
        <v>2590000000000</v>
      </c>
    </row>
    <row r="9" spans="1:7">
      <c r="A9" s="9">
        <v>2025</v>
      </c>
      <c r="B9" s="10">
        <v>2650000000000</v>
      </c>
    </row>
    <row r="10" spans="1:7">
      <c r="A10" s="9">
        <v>2026</v>
      </c>
      <c r="B10" s="10">
        <v>2710000000000</v>
      </c>
    </row>
    <row r="11" spans="1:7">
      <c r="A11" s="9">
        <v>2027</v>
      </c>
      <c r="B11" s="10">
        <v>2790000000000</v>
      </c>
    </row>
    <row r="12" spans="1:7">
      <c r="A12" s="9">
        <v>2028</v>
      </c>
      <c r="B12" s="10">
        <v>2860000000000</v>
      </c>
    </row>
    <row r="13" spans="1:7">
      <c r="A13" s="9">
        <v>2029</v>
      </c>
      <c r="B13" s="10">
        <v>2940000000000</v>
      </c>
    </row>
    <row r="14" spans="1:7">
      <c r="A14" s="9">
        <v>2030</v>
      </c>
      <c r="B14" s="10">
        <v>3030000000000</v>
      </c>
    </row>
    <row r="15" spans="1:7">
      <c r="A15" s="9">
        <v>2031</v>
      </c>
      <c r="B15" s="10">
        <v>3120000000000</v>
      </c>
    </row>
    <row r="16" spans="1:7">
      <c r="A16" s="9">
        <v>2032</v>
      </c>
      <c r="B16" s="10">
        <v>3210000000000</v>
      </c>
    </row>
    <row r="17" spans="1:2">
      <c r="A17" s="9">
        <v>2033</v>
      </c>
      <c r="B17" s="10">
        <v>3300000000000</v>
      </c>
    </row>
    <row r="18" spans="1:2">
      <c r="A18" s="9">
        <v>2034</v>
      </c>
      <c r="B18" s="10">
        <v>3400000000000</v>
      </c>
    </row>
    <row r="19" spans="1:2">
      <c r="A19" s="9">
        <v>2035</v>
      </c>
      <c r="B19" s="10">
        <v>3510000000000</v>
      </c>
    </row>
    <row r="20" spans="1:2">
      <c r="A20" s="9">
        <v>2036</v>
      </c>
      <c r="B20" s="10">
        <v>3610000000000</v>
      </c>
    </row>
    <row r="21" spans="1:2">
      <c r="A21" s="9">
        <v>2037</v>
      </c>
      <c r="B21" s="10">
        <v>3720000000000</v>
      </c>
    </row>
    <row r="22" spans="1:2">
      <c r="A22" s="9">
        <v>2038</v>
      </c>
      <c r="B22" s="10">
        <v>3840000000000</v>
      </c>
    </row>
    <row r="23" spans="1:2">
      <c r="A23" s="9">
        <v>2039</v>
      </c>
      <c r="B23" s="10">
        <v>3950000000000</v>
      </c>
    </row>
    <row r="24" spans="1:2">
      <c r="A24" s="9">
        <v>2040</v>
      </c>
      <c r="B24" s="10">
        <v>4070000000000</v>
      </c>
    </row>
    <row r="25" spans="1:2">
      <c r="A25" s="9">
        <v>2041</v>
      </c>
      <c r="B25" s="10">
        <v>4190000000000</v>
      </c>
    </row>
    <row r="26" spans="1:2">
      <c r="A26" s="9">
        <v>2042</v>
      </c>
      <c r="B26" s="10">
        <v>4310000000000</v>
      </c>
    </row>
    <row r="27" spans="1:2">
      <c r="A27" s="9">
        <v>2043</v>
      </c>
      <c r="B27" s="10">
        <v>4440000000000</v>
      </c>
    </row>
    <row r="28" spans="1:2">
      <c r="A28" s="9">
        <v>2044</v>
      </c>
      <c r="B28" s="10">
        <v>4570000000000</v>
      </c>
    </row>
    <row r="29" spans="1:2">
      <c r="A29" s="9">
        <v>2045</v>
      </c>
      <c r="B29" s="10">
        <v>4700000000000</v>
      </c>
    </row>
    <row r="30" spans="1:2">
      <c r="A30" s="9">
        <v>2046</v>
      </c>
      <c r="B30" s="10">
        <v>4830000000000</v>
      </c>
    </row>
    <row r="31" spans="1:2">
      <c r="A31" s="9">
        <v>2047</v>
      </c>
      <c r="B31" s="10">
        <v>4960000000000</v>
      </c>
    </row>
    <row r="32" spans="1:2">
      <c r="A32" s="9">
        <v>2048</v>
      </c>
      <c r="B32" s="10">
        <v>5100000000000</v>
      </c>
    </row>
    <row r="33" spans="1:2">
      <c r="A33" s="9">
        <v>2049</v>
      </c>
      <c r="B33" s="10">
        <v>5230000000000</v>
      </c>
    </row>
    <row r="34" spans="1:2">
      <c r="A34" s="9">
        <v>2050</v>
      </c>
      <c r="B34" s="10">
        <v>5370000000000</v>
      </c>
    </row>
    <row r="35" spans="1:2">
      <c r="A35" s="9">
        <v>2051</v>
      </c>
      <c r="B35" s="10">
        <v>5510000000000</v>
      </c>
    </row>
    <row r="36" spans="1:2">
      <c r="A36" s="9">
        <v>2052</v>
      </c>
      <c r="B36" s="10">
        <v>5650000000000</v>
      </c>
    </row>
    <row r="37" spans="1:2">
      <c r="A37" s="9">
        <v>2053</v>
      </c>
      <c r="B37" s="10">
        <v>5790000000000</v>
      </c>
    </row>
    <row r="38" spans="1:2">
      <c r="A38" s="9">
        <v>2054</v>
      </c>
      <c r="B38" s="10">
        <v>5930000000000</v>
      </c>
    </row>
    <row r="39" spans="1:2">
      <c r="A39" s="9">
        <v>2055</v>
      </c>
      <c r="B39" s="10">
        <v>6060000000000</v>
      </c>
    </row>
    <row r="40" spans="1:2">
      <c r="A40" s="9">
        <v>2056</v>
      </c>
      <c r="B40" s="10">
        <v>6200000000000</v>
      </c>
    </row>
    <row r="41" spans="1:2">
      <c r="A41" s="9">
        <v>2057</v>
      </c>
      <c r="B41" s="10">
        <v>6340000000000</v>
      </c>
    </row>
    <row r="42" spans="1:2">
      <c r="A42" s="9">
        <v>2058</v>
      </c>
      <c r="B42" s="10">
        <v>6480000000000</v>
      </c>
    </row>
    <row r="43" spans="1:2">
      <c r="A43" s="9">
        <v>2059</v>
      </c>
      <c r="B43" s="10">
        <v>6620000000000</v>
      </c>
    </row>
    <row r="44" spans="1:2">
      <c r="A44" s="9">
        <v>2060</v>
      </c>
      <c r="B44" s="10">
        <v>6760000000000</v>
      </c>
    </row>
    <row r="45" spans="1:2">
      <c r="A45" s="8"/>
    </row>
    <row r="46" spans="1:2">
      <c r="A46" s="8"/>
    </row>
    <row r="47" spans="1:2">
      <c r="A47" s="8"/>
    </row>
    <row r="48" spans="1:2">
      <c r="A4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D52"/>
  <sheetViews>
    <sheetView tabSelected="1" workbookViewId="0">
      <selection sqref="A1:B1048576"/>
    </sheetView>
  </sheetViews>
  <sheetFormatPr defaultRowHeight="15"/>
  <cols>
    <col min="1" max="1" width="17.7109375" customWidth="1"/>
    <col min="2" max="2" width="15.140625" customWidth="1"/>
    <col min="4" max="4" width="12" bestFit="1" customWidth="1"/>
  </cols>
  <sheetData>
    <row r="1" spans="1:4">
      <c r="A1" s="7" t="s">
        <v>17</v>
      </c>
      <c r="B1" s="6" t="s">
        <v>18</v>
      </c>
      <c r="D1" s="1"/>
    </row>
    <row r="2" spans="1:4">
      <c r="A2">
        <v>2020</v>
      </c>
      <c r="B2" s="11">
        <f>'OECD Data MEX'!B4*About!$A$15*About!$A$16</f>
        <v>2.1504730884282563E+18</v>
      </c>
    </row>
    <row r="3" spans="1:4">
      <c r="A3">
        <v>2021</v>
      </c>
      <c r="B3" s="11">
        <f>'OECD Data MEX'!B5*About!$A$15*About!$A$16</f>
        <v>2.2764016927055864E+18</v>
      </c>
    </row>
    <row r="4" spans="1:4">
      <c r="A4">
        <v>2022</v>
      </c>
      <c r="B4" s="11">
        <f>'OECD Data MEX'!B6*About!$A$15*About!$A$16</f>
        <v>2.3732698498419948E+18</v>
      </c>
    </row>
    <row r="5" spans="1:4">
      <c r="A5">
        <v>2023</v>
      </c>
      <c r="B5" s="11">
        <f>'OECD Data MEX'!B7*About!$A$15*About!$A$16</f>
        <v>2.4507643755511209E+18</v>
      </c>
    </row>
    <row r="6" spans="1:4">
      <c r="A6">
        <v>2024</v>
      </c>
      <c r="B6" s="11">
        <f>'OECD Data MEX'!B8*About!$A$15*About!$A$16</f>
        <v>2.5088852698329656E+18</v>
      </c>
    </row>
    <row r="7" spans="1:4">
      <c r="A7">
        <v>2025</v>
      </c>
      <c r="B7" s="11">
        <f>'OECD Data MEX'!B9*About!$A$15*About!$A$16</f>
        <v>2.5670061641148104E+18</v>
      </c>
    </row>
    <row r="8" spans="1:4">
      <c r="A8">
        <v>2026</v>
      </c>
      <c r="B8" s="11">
        <f>'OECD Data MEX'!B10*About!$A$15*About!$A$16</f>
        <v>2.6251270583966551E+18</v>
      </c>
    </row>
    <row r="9" spans="1:4">
      <c r="A9">
        <v>2027</v>
      </c>
      <c r="B9" s="11">
        <f>'OECD Data MEX'!B11*About!$A$15*About!$A$16</f>
        <v>2.7026215841057818E+18</v>
      </c>
    </row>
    <row r="10" spans="1:4">
      <c r="A10">
        <v>2028</v>
      </c>
      <c r="B10" s="11">
        <f>'OECD Data MEX'!B12*About!$A$15*About!$A$16</f>
        <v>2.7704292941012669E+18</v>
      </c>
    </row>
    <row r="11" spans="1:4">
      <c r="A11">
        <v>2029</v>
      </c>
      <c r="B11" s="11">
        <f>'OECD Data MEX'!B13*About!$A$15*About!$A$16</f>
        <v>2.8479238198103936E+18</v>
      </c>
    </row>
    <row r="12" spans="1:4">
      <c r="A12">
        <v>2030</v>
      </c>
      <c r="B12" s="11">
        <f>'OECD Data MEX'!B14*About!$A$15*About!$A$16</f>
        <v>2.9351051612331607E+18</v>
      </c>
    </row>
    <row r="13" spans="1:4">
      <c r="A13">
        <v>2031</v>
      </c>
      <c r="B13" s="11">
        <f>'OECD Data MEX'!B15*About!$A$15*About!$A$16</f>
        <v>3.0222865026559278E+18</v>
      </c>
    </row>
    <row r="14" spans="1:4">
      <c r="A14">
        <v>2032</v>
      </c>
      <c r="B14" s="11">
        <f>'OECD Data MEX'!B16*About!$A$15*About!$A$16</f>
        <v>3.1094678440786949E+18</v>
      </c>
    </row>
    <row r="15" spans="1:4">
      <c r="A15">
        <v>2033</v>
      </c>
      <c r="B15" s="11">
        <f>'OECD Data MEX'!B17*About!$A$15*About!$A$16</f>
        <v>3.196649185501462E+18</v>
      </c>
    </row>
    <row r="16" spans="1:4">
      <c r="A16">
        <v>2034</v>
      </c>
      <c r="B16" s="11">
        <f>'OECD Data MEX'!B18*About!$A$15*About!$A$16</f>
        <v>3.2935173426378701E+18</v>
      </c>
    </row>
    <row r="17" spans="1:2">
      <c r="A17">
        <v>2035</v>
      </c>
      <c r="B17" s="11">
        <f>'OECD Data MEX'!B19*About!$A$15*About!$A$16</f>
        <v>3.4000723154879186E+18</v>
      </c>
    </row>
    <row r="18" spans="1:2">
      <c r="A18">
        <v>2036</v>
      </c>
      <c r="B18" s="11">
        <f>'OECD Data MEX'!B20*About!$A$15*About!$A$16</f>
        <v>3.4969404726243267E+18</v>
      </c>
    </row>
    <row r="19" spans="1:2">
      <c r="A19">
        <v>2037</v>
      </c>
      <c r="B19" s="11">
        <f>'OECD Data MEX'!B21*About!$A$15*About!$A$16</f>
        <v>3.6034954454743757E+18</v>
      </c>
    </row>
    <row r="20" spans="1:2">
      <c r="A20">
        <v>2038</v>
      </c>
      <c r="B20" s="11">
        <f>'OECD Data MEX'!B22*About!$A$15*About!$A$16</f>
        <v>3.7197372340380652E+18</v>
      </c>
    </row>
    <row r="21" spans="1:2">
      <c r="A21">
        <v>2039</v>
      </c>
      <c r="B21" s="11">
        <f>'OECD Data MEX'!B23*About!$A$15*About!$A$16</f>
        <v>3.8262922068881137E+18</v>
      </c>
    </row>
    <row r="22" spans="1:2">
      <c r="A22">
        <v>2040</v>
      </c>
      <c r="B22" s="11">
        <f>'OECD Data MEX'!B24*About!$A$15*About!$A$16</f>
        <v>3.9425339954518031E+18</v>
      </c>
    </row>
    <row r="23" spans="1:2">
      <c r="A23">
        <v>2041</v>
      </c>
      <c r="B23" s="11">
        <f>'OECD Data MEX'!B25*About!$A$15*About!$A$16</f>
        <v>4.0587757840154926E+18</v>
      </c>
    </row>
    <row r="24" spans="1:2">
      <c r="A24">
        <v>2042</v>
      </c>
      <c r="B24" s="11">
        <f>'OECD Data MEX'!B26*About!$A$15*About!$A$16</f>
        <v>4.1750175725791821E+18</v>
      </c>
    </row>
    <row r="25" spans="1:2">
      <c r="A25">
        <v>2043</v>
      </c>
      <c r="B25" s="11">
        <f>'OECD Data MEX'!B27*About!$A$15*About!$A$16</f>
        <v>4.3009461768565125E+18</v>
      </c>
    </row>
    <row r="26" spans="1:2">
      <c r="A26">
        <v>2044</v>
      </c>
      <c r="B26" s="11">
        <f>'OECD Data MEX'!B28*About!$A$15*About!$A$16</f>
        <v>4.4268747811338429E+18</v>
      </c>
    </row>
    <row r="27" spans="1:2">
      <c r="A27">
        <v>2045</v>
      </c>
      <c r="B27" s="11">
        <f>'OECD Data MEX'!B29*About!$A$15*About!$A$16</f>
        <v>4.5528033854111729E+18</v>
      </c>
    </row>
    <row r="28" spans="1:2">
      <c r="A28">
        <v>2046</v>
      </c>
      <c r="B28" s="11">
        <f>'OECD Data MEX'!B30*About!$A$15*About!$A$16</f>
        <v>4.6787319896885043E+18</v>
      </c>
    </row>
    <row r="29" spans="1:2">
      <c r="A29">
        <v>2047</v>
      </c>
      <c r="B29" s="11">
        <f>'OECD Data MEX'!B31*About!$A$15*About!$A$16</f>
        <v>4.8046605939658342E+18</v>
      </c>
    </row>
    <row r="30" spans="1:2">
      <c r="A30">
        <v>2048</v>
      </c>
      <c r="B30" s="11">
        <f>'OECD Data MEX'!B32*About!$A$15*About!$A$16</f>
        <v>4.9402760139568046E+18</v>
      </c>
    </row>
    <row r="31" spans="1:2">
      <c r="A31">
        <v>2049</v>
      </c>
      <c r="B31" s="11">
        <f>'OECD Data MEX'!B33*About!$A$15*About!$A$16</f>
        <v>5.0662046182341345E+18</v>
      </c>
    </row>
    <row r="32" spans="1:2">
      <c r="A32">
        <v>2050</v>
      </c>
      <c r="B32" s="11">
        <f>'OECD Data MEX'!B34*About!$A$15*About!$A$16</f>
        <v>5.2018200382251069E+18</v>
      </c>
    </row>
    <row r="33" spans="1:3">
      <c r="A33">
        <v>2051</v>
      </c>
      <c r="B33" s="11">
        <f>'OECD Data MEX'!B35*About!$A$15*About!$A$16</f>
        <v>5.3374354582160773E+18</v>
      </c>
    </row>
    <row r="34" spans="1:3">
      <c r="A34">
        <v>2052</v>
      </c>
      <c r="B34" s="11">
        <f>'OECD Data MEX'!B36*About!$A$15*About!$A$16</f>
        <v>5.4730508782070487E+18</v>
      </c>
    </row>
    <row r="35" spans="1:3">
      <c r="A35">
        <v>2053</v>
      </c>
      <c r="B35" s="11">
        <f>'OECD Data MEX'!B37*About!$A$15*About!$A$16</f>
        <v>5.6086662981980191E+18</v>
      </c>
    </row>
    <row r="36" spans="1:3">
      <c r="A36">
        <v>2054</v>
      </c>
      <c r="B36" s="11">
        <f>'OECD Data MEX'!B38*About!$A$15*About!$A$16</f>
        <v>5.7442817181889915E+18</v>
      </c>
    </row>
    <row r="37" spans="1:3">
      <c r="A37">
        <v>2055</v>
      </c>
      <c r="B37" s="11">
        <f>'OECD Data MEX'!B39*About!$A$15*About!$A$16</f>
        <v>5.8702103224663214E+18</v>
      </c>
    </row>
    <row r="38" spans="1:3">
      <c r="A38">
        <v>2056</v>
      </c>
      <c r="B38" s="11">
        <f>'OECD Data MEX'!B40*About!$A$15*About!$A$16</f>
        <v>6.0058257424572918E+18</v>
      </c>
    </row>
    <row r="39" spans="1:3">
      <c r="A39">
        <v>2057</v>
      </c>
      <c r="B39" s="11">
        <f>'OECD Data MEX'!B41*About!$A$15*About!$A$16</f>
        <v>6.1414411624482632E+18</v>
      </c>
    </row>
    <row r="40" spans="1:3">
      <c r="A40">
        <v>2058</v>
      </c>
      <c r="B40" s="11">
        <f>'OECD Data MEX'!B42*About!$A$15*About!$A$16</f>
        <v>6.2770565824392346E+18</v>
      </c>
    </row>
    <row r="41" spans="1:3">
      <c r="A41">
        <v>2059</v>
      </c>
      <c r="B41" s="11">
        <f>'OECD Data MEX'!B43*About!$A$15*About!$A$16</f>
        <v>6.412672002430206E+18</v>
      </c>
    </row>
    <row r="42" spans="1:3">
      <c r="A42">
        <v>2060</v>
      </c>
      <c r="B42" s="11">
        <f>'OECD Data MEX'!B44*About!$A$15*About!$A$16</f>
        <v>6.5482874224211763E+18</v>
      </c>
      <c r="C42" s="11">
        <f>(B42-B41)/B41</f>
        <v>2.1148036253776318E-2</v>
      </c>
    </row>
    <row r="43" spans="1:3">
      <c r="A43">
        <v>2061</v>
      </c>
      <c r="B43" s="11">
        <f>B42+(B42*$C$42)</f>
        <v>6.6867708422306867E+18</v>
      </c>
    </row>
    <row r="44" spans="1:3">
      <c r="A44">
        <v>2062</v>
      </c>
      <c r="B44" s="11">
        <f t="shared" ref="B44:B52" si="0">B43+(B43*$C$42)</f>
        <v>6.8281829144228762E+18</v>
      </c>
    </row>
    <row r="45" spans="1:3">
      <c r="A45">
        <v>2063</v>
      </c>
      <c r="B45" s="11">
        <f t="shared" si="0"/>
        <v>6.9725855742445076E+18</v>
      </c>
    </row>
    <row r="46" spans="1:3">
      <c r="A46">
        <v>2064</v>
      </c>
      <c r="B46" s="11">
        <f t="shared" si="0"/>
        <v>7.120042066751188E+18</v>
      </c>
    </row>
    <row r="47" spans="1:3">
      <c r="A47">
        <v>2065</v>
      </c>
      <c r="B47" s="11">
        <f t="shared" si="0"/>
        <v>7.2706169745072548E+18</v>
      </c>
    </row>
    <row r="48" spans="1:3">
      <c r="A48">
        <v>2066</v>
      </c>
      <c r="B48" s="11">
        <f t="shared" si="0"/>
        <v>7.4243762458714552E+18</v>
      </c>
    </row>
    <row r="49" spans="1:2">
      <c r="A49">
        <v>2067</v>
      </c>
      <c r="B49" s="11">
        <f t="shared" si="0"/>
        <v>7.5813872238808207E+18</v>
      </c>
    </row>
    <row r="50" spans="1:2">
      <c r="A50">
        <v>2068</v>
      </c>
      <c r="B50" s="11">
        <f t="shared" si="0"/>
        <v>7.7417186757453691E+18</v>
      </c>
    </row>
    <row r="51" spans="1:2">
      <c r="A51">
        <v>2069</v>
      </c>
      <c r="B51" s="11">
        <f t="shared" si="0"/>
        <v>7.905440822966569E+18</v>
      </c>
    </row>
    <row r="52" spans="1:2">
      <c r="A52">
        <v>2070</v>
      </c>
      <c r="B52" s="11">
        <f t="shared" si="0"/>
        <v>8.0726253720927488E+18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328D08-A500-4F74-8EC4-7A4A83520018}"/>
</file>

<file path=customXml/itemProps2.xml><?xml version="1.0" encoding="utf-8"?>
<ds:datastoreItem xmlns:ds="http://schemas.openxmlformats.org/officeDocument/2006/customXml" ds:itemID="{00BAFCA2-0CE9-422F-9C1B-DEF4BBE45CA3}"/>
</file>

<file path=customXml/itemProps3.xml><?xml version="1.0" encoding="utf-8"?>
<ds:datastoreItem xmlns:ds="http://schemas.openxmlformats.org/officeDocument/2006/customXml" ds:itemID="{DE6D3E8B-8F8E-4368-804E-DD1D5AFAB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2019-12-02T22:49:06Z</dcterms:created>
  <dcterms:modified xsi:type="dcterms:W3CDTF">2025-04-16T19:38:28Z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