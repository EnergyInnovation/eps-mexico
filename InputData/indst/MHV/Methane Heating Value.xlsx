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16"/>
  <workbookPr defaultThemeVersion="124226"/>
  <xr:revisionPtr revIDLastSave="5" documentId="11_283EA63E432301FF4A0A121E87221DD8FB92A957" xr6:coauthVersionLast="47" xr6:coauthVersionMax="47" xr10:uidLastSave="{3C1AE83F-1EE0-4CCC-AAD3-9C9C939230D7}"/>
  <bookViews>
    <workbookView xWindow="480" yWindow="135" windowWidth="25875" windowHeight="12855" xr2:uid="{00000000-000D-0000-FFFF-FFFF00000000}"/>
  </bookViews>
  <sheets>
    <sheet name="About" sheetId="1" r:id="rId1"/>
    <sheet name="Data" sheetId="2" r:id="rId2"/>
    <sheet name="MHV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C4" i="2"/>
  <c r="B4" i="2"/>
</calcChain>
</file>

<file path=xl/sharedStrings.xml><?xml version="1.0" encoding="utf-8"?>
<sst xmlns="http://schemas.openxmlformats.org/spreadsheetml/2006/main" count="22" uniqueCount="22">
  <si>
    <t>MHV Methane Heating Value</t>
  </si>
  <si>
    <t>Source:</t>
  </si>
  <si>
    <t>Engineering Toolbox</t>
  </si>
  <si>
    <t>Fuel Gases Heating Values</t>
  </si>
  <si>
    <t>http://www.engineeringtoolbox.com/heating-values-fuel-gases-d_823.html</t>
  </si>
  <si>
    <t>Notes</t>
  </si>
  <si>
    <t>We use higher (or gross) heating values in the model, at least in the U.S. dataset,</t>
  </si>
  <si>
    <t>because EIA data is given in terms of higher heating values.  (This choice is also</t>
  </si>
  <si>
    <t>reflected in a toggle in fuels/PEI.)  To correspond with this convention, we use</t>
  </si>
  <si>
    <t>the higher heating value for methane here.</t>
  </si>
  <si>
    <t>When implementing this model for a new country or region, if your base energy</t>
  </si>
  <si>
    <t>use data is in terms of lower (or net) heating values, switch this variable to use</t>
  </si>
  <si>
    <t>the lower heating value.</t>
  </si>
  <si>
    <t>Mexico notes</t>
  </si>
  <si>
    <t>Lower heating value was used.</t>
  </si>
  <si>
    <t>Higher (gross) heating value</t>
  </si>
  <si>
    <t>Lower (net) heating value</t>
  </si>
  <si>
    <t>BTU/lb</t>
  </si>
  <si>
    <t>grams/lb</t>
  </si>
  <si>
    <t>BTU/g</t>
  </si>
  <si>
    <t>Methane</t>
  </si>
  <si>
    <t>Heating Value (BTU/g)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</si>
</sst>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A19" sqref="A19"/>
    </sheetView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2016</v>
      </c>
    </row>
    <row r="5" spans="1:2">
      <c r="B5" t="s">
        <v>3</v>
      </c>
    </row>
    <row r="6" spans="1:2">
      <c r="B6" t="s">
        <v>4</v>
      </c>
    </row>
    <row r="8" spans="1:2">
      <c r="A8" s="1" t="s">
        <v>5</v>
      </c>
    </row>
    <row r="9" spans="1:2">
      <c r="A9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4" spans="1:2">
      <c r="A14" t="s">
        <v>10</v>
      </c>
    </row>
    <row r="15" spans="1:2">
      <c r="A15" t="s">
        <v>11</v>
      </c>
    </row>
    <row r="16" spans="1:2">
      <c r="A16" t="s">
        <v>12</v>
      </c>
    </row>
    <row r="18" spans="1:1">
      <c r="A18" s="1" t="s">
        <v>13</v>
      </c>
    </row>
    <row r="19" spans="1:1">
      <c r="A19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/>
  <cols>
    <col min="1" max="1" width="24" customWidth="1"/>
    <col min="2" max="2" width="29.42578125" customWidth="1"/>
    <col min="3" max="3" width="33.28515625" customWidth="1"/>
  </cols>
  <sheetData>
    <row r="1" spans="1:3">
      <c r="B1" t="s">
        <v>15</v>
      </c>
      <c r="C1" t="s">
        <v>16</v>
      </c>
    </row>
    <row r="2" spans="1:3">
      <c r="A2" t="s">
        <v>17</v>
      </c>
      <c r="B2">
        <v>23811</v>
      </c>
      <c r="C2">
        <v>21433</v>
      </c>
    </row>
    <row r="3" spans="1:3">
      <c r="A3" t="s">
        <v>18</v>
      </c>
      <c r="B3" s="4">
        <v>453.59199999999998</v>
      </c>
      <c r="C3" s="4">
        <v>453.59199999999998</v>
      </c>
    </row>
    <row r="4" spans="1:3">
      <c r="A4" t="s">
        <v>19</v>
      </c>
      <c r="B4" s="3">
        <f>B2/B3</f>
        <v>52.494312068995924</v>
      </c>
      <c r="C4" s="3">
        <f>C2/C3</f>
        <v>47.251715197798902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RowHeight="15"/>
  <cols>
    <col min="1" max="1" width="30" customWidth="1"/>
    <col min="2" max="2" width="21.28515625" customWidth="1"/>
  </cols>
  <sheetData>
    <row r="1" spans="1:2">
      <c r="B1" t="s">
        <v>20</v>
      </c>
    </row>
    <row r="2" spans="1:2">
      <c r="A2" t="s">
        <v>21</v>
      </c>
      <c r="B2" s="3">
        <f>Data!C4</f>
        <v>47.251715197798902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3D90E9-7C5C-410F-BA8D-92D2053FE95E}"/>
</file>

<file path=customXml/itemProps2.xml><?xml version="1.0" encoding="utf-8"?>
<ds:datastoreItem xmlns:ds="http://schemas.openxmlformats.org/officeDocument/2006/customXml" ds:itemID="{0C8D5F98-C3D7-40F2-82C4-155A85CCFA84}"/>
</file>

<file path=customXml/itemProps3.xml><?xml version="1.0" encoding="utf-8"?>
<ds:datastoreItem xmlns:ds="http://schemas.openxmlformats.org/officeDocument/2006/customXml" ds:itemID="{247677B2-5B42-4D2E-BBB5-9345A977F6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ferolea@gmail.com</cp:lastModifiedBy>
  <cp:revision/>
  <dcterms:created xsi:type="dcterms:W3CDTF">2016-12-04T19:06:00Z</dcterms:created>
  <dcterms:modified xsi:type="dcterms:W3CDTF">2025-04-23T23:27:12Z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